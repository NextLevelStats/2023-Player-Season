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98521907-5A39-43C8-A193-323CE84C4F5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17" l="1"/>
  <c r="B1" i="17"/>
  <c r="C1" i="17"/>
  <c r="D1" i="17"/>
  <c r="G1" i="17" s="1"/>
  <c r="U1" i="17" s="1"/>
  <c r="E1" i="17"/>
  <c r="S1" i="17"/>
  <c r="T1" i="17"/>
  <c r="V1" i="17" s="1"/>
  <c r="AU915" i="14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Q1" i="17" l="1"/>
  <c r="K1" i="17"/>
  <c r="L1" i="17" s="1"/>
  <c r="N1" i="17"/>
  <c r="O1" i="17" s="1"/>
  <c r="AB2" i="15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E6" i="15" l="1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C7" i="19" l="1"/>
  <c r="O7" i="19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C15" i="15" s="1"/>
  <c r="C24" i="15"/>
  <c r="N1" i="15"/>
  <c r="C1" i="15"/>
  <c r="AF1" i="15"/>
  <c r="J1" i="15"/>
  <c r="D1" i="15"/>
  <c r="AE1" i="15"/>
  <c r="R1" i="15"/>
  <c r="C18" i="15" s="1"/>
  <c r="AG1" i="15"/>
  <c r="AH1" i="15"/>
  <c r="H1" i="15"/>
  <c r="C12" i="15" s="1"/>
  <c r="W1" i="15"/>
  <c r="C21" i="15" s="1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R2" i="15"/>
  <c r="R7" i="15" s="1"/>
  <c r="M2" i="15"/>
  <c r="S2" i="15"/>
  <c r="T2" i="15"/>
  <c r="E18" i="15" s="1"/>
  <c r="U2" i="15"/>
  <c r="F18" i="15" s="1"/>
  <c r="V2" i="15"/>
  <c r="N2" i="15"/>
  <c r="C2" i="15"/>
  <c r="L2" i="15"/>
  <c r="AG2" i="15"/>
  <c r="G2" i="15"/>
  <c r="AF2" i="15"/>
  <c r="R2" i="15"/>
  <c r="AE2" i="15"/>
  <c r="Q2" i="15"/>
  <c r="AO2" i="15"/>
  <c r="O2" i="15"/>
  <c r="E15" i="15" s="1"/>
  <c r="K2" i="15"/>
  <c r="I2" i="15"/>
  <c r="H2" i="15"/>
  <c r="B2" i="15"/>
  <c r="P2" i="15"/>
  <c r="F15" i="15" s="1"/>
  <c r="D2" i="15"/>
  <c r="E21" i="15"/>
  <c r="AN2" i="15"/>
  <c r="F21" i="15"/>
  <c r="AL2" i="15"/>
  <c r="AK2" i="15"/>
  <c r="AH2" i="15"/>
  <c r="AJ2" i="15"/>
  <c r="F27" i="15" s="1"/>
  <c r="W2" i="15"/>
  <c r="AM2" i="15"/>
  <c r="J2" i="15"/>
  <c r="AI2" i="15"/>
  <c r="E27" i="15" s="1"/>
  <c r="E2" i="15"/>
  <c r="E9" i="15" s="1"/>
  <c r="F2" i="15"/>
  <c r="F9" i="15" s="1"/>
  <c r="A1" i="15"/>
  <c r="G15" i="15" l="1"/>
  <c r="O15" i="15"/>
  <c r="D18" i="15"/>
  <c r="P12" i="15"/>
  <c r="H6" i="15"/>
  <c r="C6" i="15"/>
  <c r="P6" i="15"/>
  <c r="G18" i="15"/>
  <c r="Q12" i="15"/>
  <c r="E12" i="15"/>
  <c r="O9" i="15"/>
  <c r="G24" i="15"/>
  <c r="Q21" i="15"/>
  <c r="F24" i="15"/>
  <c r="P21" i="15"/>
  <c r="G9" i="15"/>
  <c r="O12" i="15"/>
  <c r="D21" i="15"/>
  <c r="P15" i="15"/>
  <c r="D27" i="15"/>
  <c r="N18" i="15"/>
  <c r="D12" i="15"/>
  <c r="N9" i="15"/>
  <c r="G12" i="15"/>
  <c r="Q9" i="15"/>
  <c r="E7" i="15"/>
  <c r="M7" i="15"/>
  <c r="D9" i="15"/>
  <c r="N12" i="15"/>
  <c r="E24" i="15"/>
  <c r="O21" i="15"/>
  <c r="G27" i="15"/>
  <c r="O18" i="15"/>
  <c r="G21" i="15"/>
  <c r="Q15" i="15"/>
  <c r="D24" i="15"/>
  <c r="N21" i="15"/>
  <c r="F12" i="15"/>
  <c r="P9" i="15"/>
  <c r="D15" i="15"/>
  <c r="N15" i="15"/>
  <c r="G6" i="15"/>
  <c r="B6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<sst xmlns="http://schemas.openxmlformats.org/spreadsheetml/2006/main" count="1868" uniqueCount="1209">
  <si>
    <t>TOI</t>
  </si>
  <si>
    <t>CF%</t>
  </si>
  <si>
    <t>GF%</t>
  </si>
  <si>
    <t>xGF%</t>
  </si>
  <si>
    <t>HDCF%</t>
  </si>
  <si>
    <t>PDO</t>
  </si>
  <si>
    <t>Defense</t>
  </si>
  <si>
    <t>Generation</t>
  </si>
  <si>
    <t>Production</t>
  </si>
  <si>
    <t>Context</t>
  </si>
  <si>
    <t>CF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</si>
  <si>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</si>
  <si>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</si>
  <si>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</si>
  <si>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</si>
  <si>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</si>
  <si>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</si>
  <si>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</si>
  <si>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</si>
  <si>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</si>
  <si>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</si>
  <si>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HDCF</t>
  </si>
  <si>
    <t>CA</t>
  </si>
  <si>
    <t>HDCA</t>
  </si>
  <si>
    <t>Rel CF</t>
  </si>
  <si>
    <t>Rel HDCA</t>
  </si>
  <si>
    <t>Rel CA</t>
  </si>
  <si>
    <t>League Rank</t>
  </si>
  <si>
    <t>Rel HDCF</t>
  </si>
  <si>
    <t>GF</t>
  </si>
  <si>
    <t>GA</t>
  </si>
  <si>
    <t>Rel GF</t>
  </si>
  <si>
    <t>Rel GA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</si>
  <si>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</si>
  <si>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</si>
  <si>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</si>
  <si>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</si>
  <si>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</si>
  <si>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</si>
  <si>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</si>
  <si>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</si>
  <si>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>Rank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</si>
  <si>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</si>
  <si>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</si>
  <si>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</si>
  <si>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</si>
  <si>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</si>
  <si>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</si>
  <si>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</si>
  <si>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 xml:space="preserve">      5v5 Percentile Rank / Minute</t>
  </si>
  <si>
    <t>2021-23 Season</t>
  </si>
  <si>
    <t xml:space="preserve"> 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</si>
  <si>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</si>
  <si>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</si>
  <si>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</si>
  <si>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</si>
  <si>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</si>
  <si>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</si>
  <si>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</si>
  <si>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</si>
  <si>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</si>
  <si>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</si>
  <si>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</si>
  <si>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</si>
  <si>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</si>
  <si>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</si>
  <si>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</si>
  <si>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</si>
  <si>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</si>
  <si>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</si>
  <si>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</si>
  <si>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</si>
  <si>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</si>
  <si>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</si>
  <si>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</si>
  <si>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</si>
  <si>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</si>
  <si>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</si>
  <si>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</si>
  <si>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</si>
  <si>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</si>
  <si>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</si>
  <si>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</si>
  <si>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</si>
  <si>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</si>
  <si>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</si>
  <si>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</si>
  <si>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</si>
  <si>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</si>
  <si>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</si>
  <si>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</si>
  <si>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</si>
  <si>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</si>
  <si>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</si>
  <si>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</si>
  <si>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</si>
  <si>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</si>
  <si>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</si>
  <si>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</si>
  <si>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</si>
  <si>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</si>
  <si>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</si>
  <si>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</si>
  <si>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</si>
  <si>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</si>
  <si>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</si>
  <si>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</si>
  <si>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</si>
  <si>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</si>
  <si>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</si>
  <si>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</si>
  <si>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</si>
  <si>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</si>
  <si>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</si>
  <si>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</si>
  <si>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</si>
  <si>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</si>
  <si>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</si>
  <si>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</si>
  <si>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</si>
  <si>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</si>
  <si>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</si>
  <si>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</si>
  <si>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</si>
  <si>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</si>
  <si>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</si>
  <si>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</si>
  <si>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</si>
  <si>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</si>
  <si>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</si>
  <si>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</si>
  <si>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</si>
  <si>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</si>
  <si>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</si>
  <si>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</si>
  <si>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</si>
  <si>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</si>
  <si>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</si>
  <si>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</si>
  <si>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</si>
  <si>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</si>
  <si>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</si>
  <si>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</si>
  <si>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</si>
  <si>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</si>
  <si>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</si>
  <si>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</si>
  <si>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</si>
  <si>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</si>
  <si>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</si>
  <si>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</si>
  <si>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</si>
  <si>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</si>
  <si>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</si>
  <si>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</si>
  <si>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</si>
  <si>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</si>
  <si>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</si>
  <si>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</si>
  <si>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</si>
  <si>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</si>
  <si>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</si>
  <si>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</si>
  <si>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</si>
  <si>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</si>
  <si>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</si>
  <si>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</si>
  <si>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</si>
  <si>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</si>
  <si>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</si>
  <si>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</si>
  <si>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</si>
  <si>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</si>
  <si>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</si>
  <si>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</si>
  <si>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</si>
  <si>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</si>
  <si>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</si>
  <si>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</si>
  <si>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</si>
  <si>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</si>
  <si>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</si>
  <si>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</si>
  <si>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</si>
  <si>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</si>
  <si>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</si>
  <si>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</si>
  <si>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</si>
  <si>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</si>
  <si>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</si>
  <si>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</si>
  <si>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</si>
  <si>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</si>
  <si>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</si>
  <si>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</si>
  <si>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</si>
  <si>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</si>
  <si>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</si>
  <si>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</si>
  <si>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</si>
  <si>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</si>
  <si>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</si>
  <si>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</si>
  <si>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</si>
  <si>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</si>
  <si>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</si>
  <si>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</si>
  <si>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</si>
  <si>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</si>
  <si>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</si>
  <si>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</si>
  <si>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</si>
  <si>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</si>
  <si>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</si>
  <si>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</si>
  <si>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</si>
  <si>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</si>
  <si>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</si>
  <si>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</si>
  <si>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</si>
  <si>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</si>
  <si>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</si>
  <si>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</si>
  <si>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</si>
  <si>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</si>
  <si>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</si>
  <si>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</si>
  <si>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</si>
  <si>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</si>
  <si>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</si>
  <si>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</si>
  <si>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</si>
  <si>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</si>
  <si>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</si>
  <si>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</si>
  <si>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</si>
  <si>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</si>
  <si>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</si>
  <si>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</si>
  <si>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</si>
  <si>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</si>
  <si>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</si>
  <si>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</si>
  <si>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</si>
  <si>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</si>
  <si>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</si>
  <si>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</si>
  <si>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</si>
  <si>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</si>
  <si>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</si>
  <si>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</si>
  <si>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</si>
  <si>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</si>
  <si>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</si>
  <si>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</si>
  <si>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</si>
  <si>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</si>
  <si>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</si>
  <si>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</si>
  <si>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</si>
  <si>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</si>
  <si>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</si>
  <si>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</si>
  <si>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</si>
  <si>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</si>
  <si>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</si>
  <si>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</si>
  <si>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</si>
  <si>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</si>
  <si>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</si>
  <si>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</si>
  <si>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</si>
  <si>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</si>
  <si>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</si>
  <si>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</si>
  <si>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</si>
  <si>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</si>
  <si>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</si>
  <si>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</si>
  <si>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</si>
  <si>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</si>
  <si>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</si>
  <si>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</si>
  <si>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</si>
  <si>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</si>
  <si>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</si>
  <si>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</si>
  <si>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</si>
  <si>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</si>
  <si>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</si>
  <si>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</si>
  <si>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</si>
  <si>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</si>
  <si>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</si>
  <si>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</si>
  <si>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</si>
  <si>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</si>
  <si>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</si>
  <si>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</si>
  <si>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</si>
  <si>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</si>
  <si>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</si>
  <si>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</si>
  <si>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</si>
  <si>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</si>
  <si>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</si>
  <si>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</si>
  <si>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</si>
  <si>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</si>
  <si>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</si>
  <si>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</si>
  <si>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</si>
  <si>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</si>
  <si>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</si>
  <si>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</si>
  <si>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</si>
  <si>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</si>
  <si>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</si>
  <si>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</si>
  <si>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</si>
  <si>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</si>
  <si>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</si>
  <si>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</si>
  <si>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</si>
  <si>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</si>
  <si>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</si>
  <si>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</si>
  <si>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</si>
  <si>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</si>
  <si>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</si>
  <si>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</si>
  <si>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</si>
  <si>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</si>
  <si>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</si>
  <si>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</si>
  <si>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</si>
  <si>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</si>
  <si>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</si>
  <si>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</si>
  <si>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</si>
  <si>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</si>
  <si>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</si>
  <si>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</si>
  <si>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</si>
  <si>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</si>
  <si>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</si>
  <si>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</si>
  <si>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</si>
  <si>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</si>
  <si>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</si>
  <si>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</si>
  <si>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</si>
  <si>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</si>
  <si>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</si>
  <si>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</si>
  <si>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</si>
  <si>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</si>
  <si>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</si>
  <si>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</si>
  <si>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</si>
  <si>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</si>
  <si>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</si>
  <si>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</si>
  <si>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</si>
  <si>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</si>
  <si>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</si>
  <si>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</si>
  <si>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</si>
  <si>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</si>
  <si>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</si>
  <si>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</si>
  <si>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</si>
  <si>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</si>
  <si>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</si>
  <si>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</si>
  <si>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</si>
  <si>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</si>
  <si>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</si>
  <si>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</si>
  <si>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</si>
  <si>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</si>
  <si>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</si>
  <si>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</si>
  <si>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</si>
  <si>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</si>
  <si>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</si>
  <si>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</si>
  <si>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</si>
  <si>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</si>
  <si>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</si>
  <si>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</si>
  <si>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</si>
  <si>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</si>
  <si>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</si>
  <si>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</si>
  <si>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</si>
  <si>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</si>
  <si>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</si>
  <si>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</si>
  <si>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</si>
  <si>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</si>
  <si>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</si>
  <si>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</si>
  <si>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</si>
  <si>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</si>
  <si>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</si>
  <si>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</si>
  <si>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</si>
  <si>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</si>
  <si>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</si>
  <si>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</si>
  <si>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</si>
  <si>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</si>
  <si>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</si>
  <si>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</si>
  <si>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</si>
  <si>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</si>
  <si>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</si>
  <si>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</si>
  <si>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</si>
  <si>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</si>
  <si>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</si>
  <si>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</si>
  <si>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</si>
  <si>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</si>
  <si>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</si>
  <si>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</si>
  <si>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</si>
  <si>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</si>
  <si>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</si>
  <si>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</si>
  <si>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</si>
  <si>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</si>
  <si>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</si>
  <si>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</si>
  <si>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</si>
  <si>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</si>
  <si>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</si>
  <si>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</si>
  <si>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</si>
  <si>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</si>
  <si>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</si>
  <si>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</si>
  <si>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</si>
  <si>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</si>
  <si>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</si>
  <si>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</si>
  <si>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</si>
  <si>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</si>
  <si>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</si>
  <si>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</si>
  <si>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</si>
  <si>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</si>
  <si>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</si>
  <si>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</si>
  <si>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</si>
  <si>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</si>
  <si>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</si>
  <si>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</si>
  <si>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</si>
  <si>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</si>
  <si>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</si>
  <si>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</si>
  <si>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</si>
  <si>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</si>
  <si>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</si>
  <si>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</si>
  <si>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</si>
  <si>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</si>
  <si>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</si>
  <si>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</si>
  <si>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</si>
  <si>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</si>
  <si>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</si>
  <si>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</si>
  <si>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</si>
  <si>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</si>
  <si>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</si>
  <si>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</si>
  <si>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</si>
  <si>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</si>
  <si>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</si>
  <si>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</si>
  <si>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</si>
  <si>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</si>
  <si>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</si>
  <si>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</si>
  <si>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</si>
  <si>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</si>
  <si>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</si>
  <si>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</si>
  <si>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</si>
  <si>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</si>
  <si>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</si>
  <si>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</si>
  <si>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</si>
  <si>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</si>
  <si>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</si>
  <si>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</si>
  <si>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</si>
  <si>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</si>
  <si>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</si>
  <si>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</si>
  <si>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</si>
  <si>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</si>
  <si>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</si>
  <si>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</si>
  <si>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</si>
  <si>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</si>
  <si>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</si>
  <si>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</si>
  <si>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</si>
  <si>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</si>
  <si>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</si>
  <si>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</si>
  <si>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</si>
  <si>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</si>
  <si>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</si>
  <si>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</si>
  <si>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</si>
  <si>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</si>
  <si>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</si>
  <si>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</si>
  <si>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</si>
  <si>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</si>
  <si>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</si>
  <si>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</si>
  <si>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</si>
  <si>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</si>
  <si>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</si>
  <si>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</si>
  <si>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</si>
  <si>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</si>
  <si>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</si>
  <si>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</si>
  <si>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</si>
  <si>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</si>
  <si>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</si>
  <si>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</si>
  <si>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</si>
  <si>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</si>
  <si>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</si>
  <si>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</si>
  <si>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</si>
  <si>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</si>
  <si>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</si>
  <si>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</si>
  <si>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</si>
  <si>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</si>
  <si>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</si>
  <si>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</si>
  <si>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</si>
  <si>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</si>
  <si>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</si>
  <si>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</si>
  <si>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</si>
  <si>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</si>
  <si>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</si>
  <si>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</si>
  <si>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</si>
  <si>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</si>
  <si>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</si>
  <si>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</si>
  <si>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</si>
  <si>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</si>
  <si>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</si>
  <si>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</si>
  <si>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</si>
  <si>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</si>
  <si>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</si>
  <si>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</si>
  <si>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</si>
  <si>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</si>
  <si>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</si>
  <si>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</si>
  <si>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</si>
  <si>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</si>
  <si>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</si>
  <si>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</si>
  <si>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</si>
  <si>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</si>
  <si>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</si>
  <si>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</si>
  <si>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</si>
  <si>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</si>
  <si>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</si>
  <si>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</si>
  <si>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</si>
  <si>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</si>
  <si>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</si>
  <si>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</si>
  <si>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</si>
  <si>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</si>
  <si>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</si>
  <si>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</si>
  <si>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</si>
  <si>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</si>
  <si>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</si>
  <si>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</si>
  <si>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</si>
  <si>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</si>
  <si>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</si>
  <si>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</si>
  <si>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</si>
  <si>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</si>
  <si>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</si>
  <si>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</si>
  <si>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</si>
  <si>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</si>
  <si>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</si>
  <si>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</si>
  <si>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</si>
  <si>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</si>
  <si>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</si>
  <si>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</si>
  <si>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</si>
  <si>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</si>
  <si>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</si>
  <si>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</si>
  <si>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</si>
  <si>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</si>
  <si>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</si>
  <si>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</si>
  <si>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</si>
  <si>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</si>
  <si>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</si>
  <si>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</si>
  <si>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</si>
  <si>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</si>
  <si>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</si>
  <si>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</si>
  <si>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</si>
  <si>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</si>
  <si>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</si>
  <si>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</si>
  <si>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</si>
  <si>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</si>
  <si>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</si>
  <si>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</si>
  <si>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</si>
  <si>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</si>
  <si>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</si>
  <si>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</si>
  <si>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</si>
  <si>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</si>
  <si>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</si>
  <si>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</si>
  <si>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</si>
  <si>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</si>
  <si>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</si>
  <si>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</si>
  <si>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</si>
  <si>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</si>
  <si>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</si>
  <si>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</si>
  <si>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</si>
  <si>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</si>
  <si>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</si>
  <si>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</si>
  <si>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</si>
  <si>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</si>
  <si>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</si>
  <si>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</si>
  <si>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</si>
  <si>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</si>
  <si>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</si>
  <si>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</si>
  <si>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</si>
  <si>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</si>
  <si>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</si>
  <si>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</si>
  <si>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</si>
  <si>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</si>
  <si>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</si>
  <si>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</si>
  <si>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</si>
  <si>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</si>
  <si>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</si>
  <si>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</si>
  <si>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</si>
  <si>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</si>
  <si>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</si>
  <si>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</si>
  <si>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</si>
  <si>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</si>
  <si>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</si>
  <si>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</si>
  <si>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</si>
  <si>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</si>
  <si>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</si>
  <si>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</si>
  <si>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</si>
  <si>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</si>
  <si>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</si>
  <si>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</si>
  <si>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</si>
  <si>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</si>
  <si>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</si>
  <si>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</si>
  <si>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</si>
  <si>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</si>
  <si>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</si>
  <si>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</si>
  <si>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</si>
  <si>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</si>
  <si>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</si>
  <si>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</si>
  <si>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</si>
  <si>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</si>
  <si>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</si>
  <si>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</si>
  <si>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</si>
  <si>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</si>
  <si>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</si>
  <si>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</si>
  <si>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</si>
  <si>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</si>
  <si>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</si>
  <si>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</si>
  <si>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</si>
  <si>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</si>
  <si>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</si>
  <si>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</si>
  <si>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</si>
  <si>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</si>
  <si>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</si>
  <si>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</si>
  <si>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</si>
  <si>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</si>
  <si>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</si>
  <si>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</si>
  <si>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</si>
  <si>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</si>
  <si>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</si>
  <si>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</si>
  <si>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</si>
  <si>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</si>
  <si>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</si>
  <si>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</si>
  <si>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</si>
  <si>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</si>
  <si>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</si>
  <si>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</si>
  <si>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</si>
  <si>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</si>
  <si>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</si>
  <si>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</si>
  <si>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</si>
  <si>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</si>
  <si>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</si>
  <si>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</si>
  <si>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</si>
  <si>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</si>
  <si>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</si>
  <si>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</si>
  <si>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</si>
  <si>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</si>
  <si>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</si>
  <si>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</si>
  <si>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</si>
  <si>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</si>
  <si>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</si>
  <si>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</si>
  <si>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</si>
  <si>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</si>
  <si>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</si>
  <si>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</si>
  <si>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</si>
  <si>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</si>
  <si>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</si>
  <si>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</si>
  <si>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</si>
  <si>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</si>
  <si>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</si>
  <si>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</si>
  <si>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</si>
  <si>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</si>
  <si>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</si>
  <si>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</si>
  <si>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</si>
  <si>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</si>
  <si>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</si>
  <si>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</si>
  <si>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</si>
  <si>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</si>
  <si>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</si>
  <si>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</si>
  <si>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</si>
  <si>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</si>
  <si>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</si>
  <si>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</si>
  <si>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</si>
  <si>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</si>
  <si>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</si>
  <si>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</si>
  <si>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</si>
  <si>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</si>
  <si>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</si>
  <si>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</si>
  <si>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</si>
  <si>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</si>
  <si>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</si>
  <si>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</si>
  <si>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</si>
  <si>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</si>
  <si>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</si>
  <si>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</si>
  <si>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</si>
  <si>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</si>
  <si>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</si>
  <si>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</si>
  <si>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</si>
  <si>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</si>
  <si>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</si>
  <si>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</si>
  <si>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</si>
  <si>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</si>
  <si>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</si>
  <si>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</si>
  <si>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</si>
  <si>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</si>
  <si>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</si>
  <si>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</si>
  <si>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</si>
  <si>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</si>
  <si>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</si>
  <si>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</si>
  <si>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</si>
  <si>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</si>
  <si>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</si>
  <si>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</si>
  <si>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</si>
  <si>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</si>
  <si>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</si>
  <si>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</si>
  <si>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</si>
  <si>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</si>
  <si>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</si>
  <si>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</si>
  <si>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</si>
  <si>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</si>
  <si>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</si>
  <si>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</si>
  <si>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</si>
  <si>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</si>
  <si>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</si>
  <si>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</si>
  <si>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</si>
  <si>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</si>
  <si>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</si>
  <si>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</si>
  <si>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</si>
  <si>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</si>
  <si>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</si>
  <si>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</si>
  <si>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</si>
  <si>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</si>
  <si>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</si>
  <si>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</si>
  <si>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</si>
  <si>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</si>
  <si>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</si>
  <si>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</si>
  <si>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</si>
  <si>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</si>
  <si>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</si>
  <si>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</si>
  <si>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</si>
  <si>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</si>
  <si>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</si>
  <si>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</si>
  <si>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</si>
  <si>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</si>
  <si>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</si>
  <si>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</si>
  <si>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</si>
  <si>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</si>
  <si>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</si>
  <si>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</si>
  <si>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</si>
  <si>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</si>
  <si>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</si>
  <si>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</si>
  <si>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</si>
  <si>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</si>
  <si>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</si>
  <si>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</si>
  <si>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</si>
  <si>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</si>
  <si>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</si>
  <si>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</si>
  <si>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</si>
  <si>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</si>
  <si>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</si>
  <si>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</si>
  <si>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</si>
  <si>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</si>
  <si>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</si>
  <si>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</si>
  <si>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</si>
  <si>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</si>
  <si>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</si>
  <si>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</si>
  <si>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</si>
  <si>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</si>
  <si>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</si>
  <si>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</si>
  <si>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</si>
  <si>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</si>
  <si>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</si>
  <si>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</si>
  <si>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</si>
  <si>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</si>
  <si>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</si>
  <si>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</si>
  <si>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</si>
  <si>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</si>
  <si>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</si>
  <si>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</si>
  <si>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</si>
  <si>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</si>
  <si>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</si>
  <si>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</si>
  <si>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</si>
  <si>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</si>
  <si>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</si>
  <si>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</si>
  <si>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</si>
  <si>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</si>
  <si>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</si>
  <si>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</si>
  <si>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</si>
  <si>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</si>
  <si>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</si>
  <si>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</si>
  <si>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</si>
  <si>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</si>
  <si>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</si>
  <si>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</si>
  <si>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</si>
  <si>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</si>
  <si>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</si>
  <si>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</si>
  <si>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</si>
  <si>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</si>
  <si>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</si>
  <si>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</si>
  <si>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</si>
  <si>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</si>
  <si>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</si>
  <si>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</si>
  <si>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</si>
  <si>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</si>
  <si>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</si>
  <si>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</si>
  <si>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</si>
  <si>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</si>
  <si>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</si>
  <si>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</si>
  <si>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</si>
  <si>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</si>
  <si>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</si>
  <si>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</si>
  <si>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</si>
  <si>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</si>
  <si>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</si>
  <si>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</si>
  <si>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</si>
  <si>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</si>
  <si>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</si>
  <si>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</si>
  <si>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</si>
  <si>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</si>
  <si>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</si>
  <si>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</si>
  <si>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</si>
  <si>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</si>
  <si>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</si>
  <si>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</si>
  <si>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</si>
  <si>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</si>
  <si>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</si>
  <si>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</si>
  <si>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</si>
  <si>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</si>
  <si>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</si>
  <si>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</si>
  <si>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</si>
  <si>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</si>
  <si>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</si>
  <si>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</si>
  <si>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</si>
  <si>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</si>
  <si>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</si>
  <si>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</si>
  <si>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</si>
  <si>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</si>
  <si>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</si>
  <si>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</si>
  <si>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</si>
  <si>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</si>
  <si>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</si>
  <si>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</si>
  <si>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</si>
  <si>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</si>
  <si>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</si>
  <si>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</si>
  <si>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</si>
  <si>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</si>
  <si>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</si>
  <si>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</si>
  <si>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</si>
  <si>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</si>
  <si>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</si>
  <si>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</si>
  <si>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</si>
  <si>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</si>
  <si>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</si>
  <si>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</si>
  <si>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</si>
  <si>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</si>
  <si>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</si>
  <si>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</si>
  <si>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</si>
  <si>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</si>
  <si>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</si>
  <si>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</si>
  <si>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</si>
  <si>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</si>
  <si>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</si>
  <si>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</si>
  <si>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</si>
  <si>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</si>
  <si>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</si>
  <si>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</si>
  <si>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</si>
  <si>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</si>
  <si>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</si>
  <si>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</si>
  <si>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</si>
  <si>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</si>
  <si>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</si>
  <si>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</si>
  <si>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</si>
  <si>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</si>
  <si>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</si>
  <si>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</si>
  <si>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</si>
  <si>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</si>
  <si>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</si>
  <si>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</si>
  <si>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</si>
  <si>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</si>
  <si>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</si>
  <si>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</si>
  <si>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</si>
  <si>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</si>
  <si>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</si>
  <si>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</si>
  <si>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</si>
  <si>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</si>
  <si>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</si>
  <si>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</si>
  <si>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</si>
  <si>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</si>
  <si>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</si>
  <si>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</si>
  <si>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</si>
  <si>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</si>
  <si>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</si>
  <si>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</si>
  <si>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</si>
  <si>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</si>
  <si>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</si>
  <si>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</si>
  <si>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</si>
  <si>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</si>
  <si>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</si>
  <si>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</si>
  <si>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</si>
  <si>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</si>
  <si>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</si>
  <si>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</si>
  <si>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</si>
  <si>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</si>
  <si>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</si>
  <si>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</si>
  <si>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</si>
  <si>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</si>
  <si>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</si>
  <si>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</si>
  <si>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</si>
  <si>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</si>
  <si>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</si>
  <si>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</si>
  <si>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</si>
  <si>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</si>
  <si>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</si>
  <si>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</si>
  <si>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</si>
  <si>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</si>
  <si>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</si>
  <si>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</si>
  <si>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</si>
  <si>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</si>
  <si>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</si>
  <si>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</si>
  <si>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</si>
  <si>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</si>
  <si>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</si>
  <si>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</si>
  <si>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</si>
  <si>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</si>
  <si>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</si>
  <si>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</si>
  <si>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</si>
  <si>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</si>
  <si>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</si>
  <si>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</si>
  <si>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</si>
  <si>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</si>
  <si>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</si>
  <si>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</si>
  <si>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</si>
  <si>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</si>
  <si>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</si>
  <si>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</si>
  <si>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</si>
  <si>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</si>
  <si>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</si>
  <si>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</si>
  <si>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</si>
  <si>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</si>
  <si>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</si>
  <si>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</si>
  <si>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</si>
  <si>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</si>
  <si>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</si>
  <si>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</si>
  <si>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</si>
  <si>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</si>
  <si>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</si>
  <si>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</si>
  <si>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</si>
  <si>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</si>
  <si>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</si>
  <si>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</si>
  <si>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</si>
  <si>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</si>
  <si>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</si>
  <si>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</si>
  <si>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</si>
  <si>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</si>
  <si>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</si>
  <si>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</si>
  <si>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</si>
  <si>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</si>
  <si>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</si>
  <si>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</si>
  <si>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</si>
  <si>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</si>
  <si>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</si>
  <si>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</si>
  <si>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</si>
  <si>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</si>
  <si>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</si>
  <si>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2021-23 Season | Raw Data from NaturalStatTrick | Percentile Rank / Minute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</si>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</sst>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quotePrefix="1" applyFill="1" applyBorder="1"/>
    <xf numFmtId="0" fontId="0" fillId="2" borderId="0" xfId="0" applyFill="1" applyBorder="1"/>
    <xf numFmtId="0" fontId="0" fillId="2" borderId="0" xfId="0" applyFill="1"/>
    <xf numFmtId="9" fontId="5" fillId="2" borderId="0" xfId="1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9" fontId="3" fillId="2" borderId="0" xfId="1" applyFont="1" applyFill="1" applyBorder="1" applyAlignment="1">
      <alignment horizontal="center"/>
    </xf>
    <xf numFmtId="9" fontId="2" fillId="2" borderId="0" xfId="1" applyFont="1" applyFill="1" applyBorder="1" applyAlignment="1">
      <alignment horizontal="center"/>
    </xf>
    <xf numFmtId="0" fontId="0" fillId="2" borderId="0" xfId="0" applyFill="1" applyBorder="1" applyAlignment="1"/>
    <xf numFmtId="9" fontId="6" fillId="2" borderId="0" xfId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9" fontId="5" fillId="2" borderId="0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2" borderId="0" xfId="0" applyFont="1" applyFill="1" applyBorder="1" applyAlignment="1">
      <alignment horizontal="center" vertical="top"/>
    </xf>
    <xf numFmtId="0" fontId="10" fillId="2" borderId="0" xfId="0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6" fillId="2" borderId="0" xfId="0" applyFont="1" applyFill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15" fontId="12" fillId="2" borderId="0" xfId="0" applyNumberFormat="1" applyFont="1" applyFill="1" applyBorder="1"/>
    <xf numFmtId="0" fontId="6" fillId="2" borderId="0" xfId="0" quotePrefix="1" applyFont="1" applyFill="1" applyBorder="1" applyAlignment="1">
      <alignment horizontal="center"/>
    </xf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15" fontId="12" fillId="3" borderId="0" xfId="0" applyNumberFormat="1" applyFont="1" applyFill="1"/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4" fillId="2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>
        <row r="1">
          <cell r="E1" t="str">
            <v>GP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>
        <row r="1">
          <cell r="A1" t="str">
            <v>Player</v>
          </cell>
        </row>
      </sheetData>
      <sheetData sheetId="8"/>
      <sheetData sheetId="9"/>
      <sheetData sheetId="10"/>
      <sheetData sheetId="11">
        <row r="1">
          <cell r="E1" t="str">
            <v>% Rank Impact Score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topLeftCell="A2"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7" width="10.5546875" customWidth="1"/>
    <col min="8" max="8" width="9.88671875" customWidth="1"/>
    <col min="11" max="11" width="8.88671875" customWidth="1"/>
    <col min="13" max="13" width="10.88671875" customWidth="1"/>
    <col min="14" max="17" width="10.5546875" customWidth="1"/>
    <col min="31" max="31" width="8.88671875" customWidth="1"/>
    <col min="44" max="44" width="10.88671875" customWidth="1"/>
    <col min="45" max="45" width="10.5546875" style="39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7" t="str">
        <f>'Ranks for Cards and Graph'!A1</f>
        <v>Player</v>
      </c>
      <c r="B1" s="37"/>
      <c r="C1" s="37" t="str">
        <f>'Ranks for Cards and Graph'!B1</f>
        <v>Generation</v>
      </c>
      <c r="D1" s="37" t="str">
        <f>'Ranks for Cards and Graph'!C1</f>
        <v>% Rank FF/60</v>
      </c>
      <c r="E1" s="37" t="str">
        <f>'Ranks for Cards and Graph'!D1</f>
        <v>% Rank HDCF/60</v>
      </c>
      <c r="F1" s="37" t="str">
        <f>'Ranks for Cards and Graph'!E1</f>
        <v>% Rank GF/60</v>
      </c>
      <c r="G1" s="37" t="str">
        <f>'Ranks for Cards and Graph'!F1</f>
        <v>% Rank xGF/60</v>
      </c>
      <c r="H1" s="37" t="str">
        <f>'Ranks for Cards and Graph'!G1</f>
        <v>Production</v>
      </c>
      <c r="I1" s="37" t="str">
        <f>'Ranks for Cards and Graph'!H1</f>
        <v>% Rank Goals/60</v>
      </c>
      <c r="J1" s="37" t="str">
        <f>'Ranks for Cards and Graph'!I1</f>
        <v>% Rank Assists/60</v>
      </c>
      <c r="K1" s="37" t="str">
        <f>'Ranks for Cards and Graph'!J1</f>
        <v>% Rank First Assists/60</v>
      </c>
      <c r="L1" s="37" t="str">
        <f>'Ranks for Cards and Graph'!K1</f>
        <v>% Rank Points/60</v>
      </c>
      <c r="M1" s="37" t="str">
        <f>'Ranks for Cards and Graph'!L1</f>
        <v>Defense</v>
      </c>
      <c r="N1" s="37" t="str">
        <f>'Ranks for Cards and Graph'!M1</f>
        <v>% Rank FA/60</v>
      </c>
      <c r="O1" s="37" t="str">
        <f>'Ranks for Cards and Graph'!N1</f>
        <v>% Rank HDCA/60</v>
      </c>
      <c r="P1" s="37" t="str">
        <f>'Ranks for Cards and Graph'!O1</f>
        <v>% Rank GA/60</v>
      </c>
      <c r="Q1" s="37" t="str">
        <f>'Ranks for Cards and Graph'!P1</f>
        <v>% Rank xGA/60</v>
      </c>
      <c r="R1" s="37" t="str">
        <f>'Ranks for Cards and Graph'!Q1</f>
        <v>Rel Offense</v>
      </c>
      <c r="S1" s="37" t="str">
        <f>'Ranks for Cards and Graph'!R1</f>
        <v>% Rank FF/60 Rel</v>
      </c>
      <c r="T1" s="37" t="str">
        <f>'Ranks for Cards and Graph'!S1</f>
        <v>% Rank HDCF/60 Rel</v>
      </c>
      <c r="U1" s="37" t="str">
        <f>'Ranks for Cards and Graph'!T1</f>
        <v>% Rank GF/60 Rel</v>
      </c>
      <c r="V1" s="37" t="str">
        <f>'Ranks for Cards and Graph'!U1</f>
        <v>% Rank xGF/60 Rel</v>
      </c>
      <c r="W1" s="37" t="str">
        <f>'Ranks for Cards and Graph'!V1</f>
        <v>Rel Defense</v>
      </c>
      <c r="X1" s="37" t="str">
        <f>'Ranks for Cards and Graph'!W1</f>
        <v>% Rank FA/60 Rel</v>
      </c>
      <c r="Y1" s="37" t="str">
        <f>'Ranks for Cards and Graph'!X1</f>
        <v>% Rank HDCA/60 Rel</v>
      </c>
      <c r="Z1" s="37" t="str">
        <f>'Ranks for Cards and Graph'!Y1</f>
        <v>% Rank GA/60 Rel</v>
      </c>
      <c r="AA1" s="37" t="str">
        <f>'Ranks for Cards and Graph'!Z1</f>
        <v>% Rank xGA/60 Rel</v>
      </c>
      <c r="AB1" s="37" t="str">
        <f>'Ranks for Cards and Graph'!AA1</f>
        <v>Context</v>
      </c>
      <c r="AC1" s="37" t="str">
        <f>'Ranks for Cards and Graph'!AB1</f>
        <v>% Rank TOI/GP</v>
      </c>
      <c r="AD1" s="37" t="str">
        <f>'Ranks for Cards and Graph'!AC1</f>
        <v>% Rank Zone Start %</v>
      </c>
      <c r="AE1" s="37" t="str">
        <f>'Ranks for Cards and Graph'!AD1</f>
        <v>% Rank Shooting Luck</v>
      </c>
      <c r="AF1" s="37" t="str">
        <f>'Ranks for Cards and Graph'!AE1</f>
        <v>% Rank PDO</v>
      </c>
      <c r="AG1" s="37" t="str">
        <f>'Ranks for Cards and Graph'!AF1</f>
        <v>Percentages</v>
      </c>
      <c r="AH1" s="37" t="str">
        <f>'Ranks for Cards and Graph'!AG1</f>
        <v>% Rank FF%</v>
      </c>
      <c r="AI1" s="37" t="str">
        <f>'Ranks for Cards and Graph'!AH1</f>
        <v>% Rank HDCF%</v>
      </c>
      <c r="AJ1" s="37" t="str">
        <f>'Ranks for Cards and Graph'!AI1</f>
        <v>% Rank GF%</v>
      </c>
      <c r="AK1" s="37" t="str">
        <f>'Ranks for Cards and Graph'!AJ1</f>
        <v>% Rank xGF%</v>
      </c>
      <c r="AL1" s="37">
        <f>'Ranks for Cards and Graph'!AK1</f>
        <v>0</v>
      </c>
      <c r="AM1" s="37" t="str">
        <f>'Ranks for Cards and Graph'!AL1</f>
        <v>% Rank Impact/Minute</v>
      </c>
      <c r="AN1" s="37">
        <f>'Ranks for Cards and Graph'!AM1</f>
        <v>0</v>
      </c>
      <c r="AO1" s="37" t="str">
        <f>'Ranks for Cards and Graph'!AN1</f>
        <v>Team</v>
      </c>
      <c r="AP1" s="37" t="str">
        <f>'Ranks for Cards and Graph'!AO1</f>
        <v>GP</v>
      </c>
      <c r="AQ1" s="37" t="str">
        <f>'Ranks for Cards and Graph'!AP1</f>
        <v>% Rank Impact Score</v>
      </c>
      <c r="AR1" s="37" t="str">
        <f>'Ranks for Cards and Graph'!AQ1</f>
        <v>Rank Impact Score</v>
      </c>
      <c r="AS1" s="37">
        <f>'Ranks for Cards and Graph'!AR1</f>
        <v>0</v>
      </c>
      <c r="AT1" s="35" t="str">
        <f>'Ranks for Cards and Graph'!AS1</f>
        <v>Penalties</v>
      </c>
      <c r="AU1" s="35" t="str">
        <f>'Ranks for Cards and Graph'!AT1</f>
        <v>% Rank Clean Play/60 (Lower means more penalties)</v>
      </c>
      <c r="AV1" s="35" t="str">
        <f>'Ranks for Cards and Graph'!AU1</f>
        <v>% Rank Penalties Drawn/60</v>
      </c>
      <c r="AW1" s="35"/>
      <c r="AX1" s="35"/>
    </row>
    <row r="2" spans="1:59" x14ac:dyDescent="0.3">
      <c r="A2" s="61" t="s">
        <v>163</v>
      </c>
      <c r="B2" s="37" t="str">
        <f>INDEX('Ranks for Cards and Graph'!A:A,MATCH('Player Cards'!$A2,'Ranks for Cards and Graph'!$A:$A,0))</f>
        <v>Brandon Tanev</v>
      </c>
      <c r="C2" s="37">
        <f>INDEX('Ranks for Cards and Graph'!B:B,MATCH('Player Cards'!$A2,'Ranks for Cards and Graph'!$A:$A,0))</f>
        <v>0</v>
      </c>
      <c r="D2" s="37">
        <f>INDEX('Ranks for Cards and Graph'!C:C,MATCH('Player Cards'!$A2,'Ranks for Cards and Graph'!$A:$A,0))</f>
        <v>0.33200795228628233</v>
      </c>
      <c r="E2" s="37">
        <f>INDEX('Ranks for Cards and Graph'!D:D,MATCH('Player Cards'!$A2,'Ranks for Cards and Graph'!$A:$A,0))</f>
        <v>0.39165009940357853</v>
      </c>
      <c r="F2" s="37">
        <f>INDEX('Ranks for Cards and Graph'!E:E,MATCH('Player Cards'!$A2,'Ranks for Cards and Graph'!$A:$A,0))</f>
        <v>0.43141153081510936</v>
      </c>
      <c r="G2" s="37">
        <f>INDEX('Ranks for Cards and Graph'!F:F,MATCH('Player Cards'!$A2,'Ranks for Cards and Graph'!$A:$A,0))</f>
        <v>0.32803180914512925</v>
      </c>
      <c r="H2" s="37">
        <f>INDEX('Ranks for Cards and Graph'!G:G,MATCH('Player Cards'!$A2,'Ranks for Cards and Graph'!$A:$A,0))</f>
        <v>0</v>
      </c>
      <c r="I2" s="37">
        <f>INDEX('Ranks for Cards and Graph'!H:H,MATCH('Player Cards'!$A2,'Ranks for Cards and Graph'!$A:$A,0))</f>
        <v>0.46322067594433397</v>
      </c>
      <c r="J2" s="37">
        <f>INDEX('Ranks for Cards and Graph'!I:I,MATCH('Player Cards'!$A2,'Ranks for Cards and Graph'!$A:$A,0))</f>
        <v>0.52087475149105367</v>
      </c>
      <c r="K2" s="37">
        <f>INDEX('Ranks for Cards and Graph'!J:J,MATCH('Player Cards'!$A2,'Ranks for Cards and Graph'!$A:$A,0))</f>
        <v>0.53479125248508941</v>
      </c>
      <c r="L2" s="37">
        <f>INDEX('Ranks for Cards and Graph'!K:K,MATCH('Player Cards'!$A2,'Ranks for Cards and Graph'!$A:$A,0))</f>
        <v>0.47514910536779326</v>
      </c>
      <c r="M2" s="37">
        <f>INDEX('Ranks for Cards and Graph'!L:L,MATCH('Player Cards'!$A2,'Ranks for Cards and Graph'!$A:$A,0))</f>
        <v>0</v>
      </c>
      <c r="N2" s="37">
        <f>INDEX('Ranks for Cards and Graph'!M:M,MATCH('Player Cards'!$A2,'Ranks for Cards and Graph'!$A:$A,0))</f>
        <v>0.96620278330019882</v>
      </c>
      <c r="O2" s="37">
        <f>INDEX('Ranks for Cards and Graph'!N:N,MATCH('Player Cards'!$A2,'Ranks for Cards and Graph'!$A:$A,0))</f>
        <v>0.97614314115308154</v>
      </c>
      <c r="P2" s="37">
        <f>INDEX('Ranks for Cards and Graph'!O:O,MATCH('Player Cards'!$A2,'Ranks for Cards and Graph'!$A:$A,0))</f>
        <v>0.92246520874751492</v>
      </c>
      <c r="Q2" s="37">
        <f>INDEX('Ranks for Cards and Graph'!P:P,MATCH('Player Cards'!$A2,'Ranks for Cards and Graph'!$A:$A,0))</f>
        <v>0.96620278330019882</v>
      </c>
      <c r="R2" s="37">
        <f>INDEX('Ranks for Cards and Graph'!Q:Q,MATCH('Player Cards'!$A2,'Ranks for Cards and Graph'!$A:$A,0))</f>
        <v>0</v>
      </c>
      <c r="S2" s="37">
        <f>INDEX('Ranks for Cards and Graph'!R:R,MATCH('Player Cards'!$A2,'Ranks for Cards and Graph'!$A:$A,0))</f>
        <v>0.25248508946322068</v>
      </c>
      <c r="T2" s="37">
        <f>INDEX('Ranks for Cards and Graph'!S:S,MATCH('Player Cards'!$A2,'Ranks for Cards and Graph'!$A:$A,0))</f>
        <v>0.67594433399602383</v>
      </c>
      <c r="U2" s="37">
        <f>INDEX('Ranks for Cards and Graph'!T:T,MATCH('Player Cards'!$A2,'Ranks for Cards and Graph'!$A:$A,0))</f>
        <v>0.23260437375745527</v>
      </c>
      <c r="V2" s="37">
        <f>INDEX('Ranks for Cards and Graph'!U:U,MATCH('Player Cards'!$A2,'Ranks for Cards and Graph'!$A:$A,0))</f>
        <v>0.41351888667992048</v>
      </c>
      <c r="W2" s="37">
        <f>INDEX('Ranks for Cards and Graph'!V:V,MATCH('Player Cards'!$A2,'Ranks for Cards and Graph'!$A:$A,0))</f>
        <v>0</v>
      </c>
      <c r="X2" s="37">
        <f>INDEX('Ranks for Cards and Graph'!W:W,MATCH('Player Cards'!$A2,'Ranks for Cards and Graph'!$A:$A,0))</f>
        <v>0.77137176938369778</v>
      </c>
      <c r="Y2" s="37">
        <f>INDEX('Ranks for Cards and Graph'!X:X,MATCH('Player Cards'!$A2,'Ranks for Cards and Graph'!$A:$A,0))</f>
        <v>0.91650099403578533</v>
      </c>
      <c r="Z2" s="37">
        <f>INDEX('Ranks for Cards and Graph'!Y:Y,MATCH('Player Cards'!$A2,'Ranks for Cards and Graph'!$A:$A,0))</f>
        <v>0.95825049701789267</v>
      </c>
      <c r="AA2" s="37">
        <f>INDEX('Ranks for Cards and Graph'!Z:Z,MATCH('Player Cards'!$A2,'Ranks for Cards and Graph'!$A:$A,0))</f>
        <v>0.90258449304174948</v>
      </c>
      <c r="AB2" s="37">
        <f>INDEX('Ranks for Cards and Graph'!AA:AA,MATCH('Player Cards'!$A2,'Ranks for Cards and Graph'!$A:$A,0))</f>
        <v>0</v>
      </c>
      <c r="AC2" s="37">
        <f>INDEX('Ranks for Cards and Graph'!AB:AB,MATCH('Player Cards'!$A2,'Ranks for Cards and Graph'!$A:$A,0))</f>
        <v>0.38966202783300197</v>
      </c>
      <c r="AD2" s="37">
        <f>INDEX('Ranks for Cards and Graph'!AC:AC,MATCH('Player Cards'!$A2,'Ranks for Cards and Graph'!$A:$A,0))</f>
        <v>0.76739562624254476</v>
      </c>
      <c r="AE2" s="37">
        <f>INDEX('Ranks for Cards and Graph'!AD:AD,MATCH('Player Cards'!$A2,'Ranks for Cards and Graph'!$A:$A,0))</f>
        <v>0.65208747514910537</v>
      </c>
      <c r="AF2" s="37">
        <f>INDEX('Ranks for Cards and Graph'!AE:AE,MATCH('Player Cards'!$A2,'Ranks for Cards and Graph'!$A:$A,0))</f>
        <v>0.75745526838966204</v>
      </c>
      <c r="AG2" s="37">
        <f>INDEX('Ranks for Cards and Graph'!AF:AF,MATCH('Player Cards'!$A2,'Ranks for Cards and Graph'!$A:$A,0))</f>
        <v>0</v>
      </c>
      <c r="AH2" s="37">
        <f>INDEX('Ranks for Cards and Graph'!AG:AG,MATCH('Player Cards'!$A2,'Ranks for Cards and Graph'!$A:$A,0))</f>
        <v>0.70377733598409542</v>
      </c>
      <c r="AI2" s="37">
        <f>INDEX('Ranks for Cards and Graph'!AH:AH,MATCH('Player Cards'!$A2,'Ranks for Cards and Graph'!$A:$A,0))</f>
        <v>0.78727634194831009</v>
      </c>
      <c r="AJ2" s="37">
        <f>INDEX('Ranks for Cards and Graph'!AI:AI,MATCH('Player Cards'!$A2,'Ranks for Cards and Graph'!$A:$A,0))</f>
        <v>0.76938369781312133</v>
      </c>
      <c r="AK2" s="37">
        <f>INDEX('Ranks for Cards and Graph'!AJ:AJ,MATCH('Player Cards'!$A2,'Ranks for Cards and Graph'!$A:$A,0))</f>
        <v>0.74751491053677932</v>
      </c>
      <c r="AL2" s="37">
        <f>INDEX('Ranks for Cards and Graph'!AK:AK,MATCH('Player Cards'!$A2,'Ranks for Cards and Graph'!$A:$A,0))</f>
        <v>0</v>
      </c>
      <c r="AM2" s="37">
        <f>INDEX('Ranks for Cards and Graph'!AL:AL,MATCH('Player Cards'!$A2,'Ranks for Cards and Graph'!$A:$A,0))</f>
        <v>0.66998011928429424</v>
      </c>
      <c r="AN2" s="37">
        <f>INDEX('Ranks for Cards and Graph'!AM:AM,MATCH('Player Cards'!$A2,'Ranks for Cards and Graph'!$A:$A,0))</f>
        <v>0</v>
      </c>
      <c r="AO2" s="37" t="str">
        <f>INDEX('Ranks for Cards and Graph'!AN:AN,MATCH('Player Cards'!$A2,'Ranks for Cards and Graph'!$A:$A,0))</f>
        <v>SEA</v>
      </c>
      <c r="AP2" s="37">
        <f>INDEX('Ranks for Cards and Graph'!AO:AO,MATCH('Player Cards'!$A2,'Ranks for Cards and Graph'!$A:$A,0))</f>
        <v>112</v>
      </c>
      <c r="AQ2" s="38">
        <f>INDEX('Ranks for Cards and Graph'!AP:AP,MATCH('Player Cards'!$A2,'Ranks for Cards and Graph'!$A:$A,0))</f>
        <v>0.6352705410821643</v>
      </c>
      <c r="AR2" s="37">
        <f>INDEX('Ranks for Cards and Graph'!AQ:AQ,MATCH('Player Cards'!$A2,'Ranks for Cards and Graph'!$A:$A,0))</f>
        <v>183</v>
      </c>
      <c r="AS2" s="37">
        <f>INDEX('Ranks for Cards and Graph'!AR:AR,MATCH('Player Cards'!$A2,'Ranks for Cards and Graph'!$A:$A,0))</f>
        <v>0</v>
      </c>
      <c r="AT2" s="35">
        <f>INDEX('Ranks for Cards and Graph'!AS:AS,MATCH('Player Cards'!$A2,'Ranks for Cards and Graph'!$A:$A,0))</f>
        <v>0</v>
      </c>
      <c r="AU2" s="36">
        <f>INDEX('Ranks for Cards and Graph'!AT:AT,MATCH('Player Cards'!$A2,'Ranks for Cards and Graph'!$A:$A,0))</f>
        <v>0.38767395626242546</v>
      </c>
      <c r="AV2" s="36">
        <f>INDEX('Ranks for Cards and Graph'!AU:AU,MATCH('Player Cards'!$A2,'Ranks for Cards and Graph'!$A:$A,0))</f>
        <v>0.75745526838966204</v>
      </c>
      <c r="AW2" s="35">
        <f>INDEX('Ranks for Cards and Graph'!AV:AV,MATCH('Player Cards'!$A2,'Ranks for Cards and Graph'!$A:$A,0))</f>
        <v>0</v>
      </c>
      <c r="AX2" s="35"/>
    </row>
    <row r="3" spans="1:59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9"/>
      <c r="B4" s="5"/>
      <c r="C4" s="7"/>
      <c r="D4" s="7"/>
      <c r="E4" s="34" t="s">
        <v>39</v>
      </c>
      <c r="F4" s="7"/>
      <c r="G4" s="7"/>
      <c r="H4" s="7"/>
      <c r="I4" s="39"/>
      <c r="J4" s="39"/>
      <c r="K4" s="39"/>
      <c r="L4" s="44"/>
      <c r="M4" s="39"/>
      <c r="N4" s="39"/>
      <c r="O4" s="39"/>
      <c r="P4" s="45"/>
      <c r="Q4" s="39"/>
      <c r="R4" s="46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9"/>
      <c r="B5" s="9" t="s">
        <v>40</v>
      </c>
      <c r="C5" s="6"/>
      <c r="D5" s="7"/>
      <c r="E5" s="6"/>
      <c r="F5" s="6"/>
      <c r="G5" s="6"/>
      <c r="H5" s="9" t="s">
        <v>41</v>
      </c>
      <c r="I5" s="39"/>
      <c r="J5" s="39"/>
      <c r="K5" s="39"/>
      <c r="L5" s="32" t="s">
        <v>39</v>
      </c>
      <c r="M5" s="21"/>
      <c r="N5" s="21"/>
      <c r="O5" s="7"/>
      <c r="P5" s="21"/>
      <c r="Q5" s="21"/>
      <c r="R5" s="16"/>
      <c r="S5" s="39"/>
      <c r="T5" s="39"/>
      <c r="U5" s="47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39"/>
      <c r="B6" s="17">
        <f>AP2</f>
        <v>112</v>
      </c>
      <c r="C6" s="15">
        <f>AQ2</f>
        <v>0.6352705410821643</v>
      </c>
      <c r="D6" s="7"/>
      <c r="E6" s="19" t="str">
        <f>A2</f>
        <v>Brandon Tanev</v>
      </c>
      <c r="F6" s="7"/>
      <c r="G6" s="8">
        <f>AM2</f>
        <v>0.66998011928429424</v>
      </c>
      <c r="H6" s="17">
        <f>AR2</f>
        <v>183</v>
      </c>
      <c r="I6" s="39"/>
      <c r="J6" s="39"/>
      <c r="K6" s="39"/>
      <c r="L6" s="16" t="s">
        <v>40</v>
      </c>
      <c r="M6" s="26" t="str">
        <f>A2</f>
        <v>Brandon Tanev</v>
      </c>
      <c r="N6" s="21"/>
      <c r="O6" s="7"/>
      <c r="P6" s="22">
        <f>AQ2</f>
        <v>0.6352705410821643</v>
      </c>
      <c r="Q6" s="7"/>
      <c r="R6" s="16" t="s">
        <v>41</v>
      </c>
      <c r="S6" s="39"/>
      <c r="T6" s="39"/>
      <c r="U6" s="48"/>
      <c r="V6" s="39"/>
      <c r="W6" s="39"/>
      <c r="X6" s="58"/>
      <c r="Y6" s="39"/>
      <c r="Z6" s="58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9"/>
      <c r="B7" s="7"/>
      <c r="C7" s="9" t="s">
        <v>37</v>
      </c>
      <c r="D7" s="7"/>
      <c r="E7" s="18" t="str">
        <f>AO2</f>
        <v>SEA</v>
      </c>
      <c r="F7" s="7"/>
      <c r="G7" s="9" t="s">
        <v>44</v>
      </c>
      <c r="H7" s="7"/>
      <c r="I7" s="39"/>
      <c r="J7" s="39"/>
      <c r="K7" s="39"/>
      <c r="L7" s="20">
        <f>AP2</f>
        <v>112</v>
      </c>
      <c r="M7" s="23" t="str">
        <f>AO2</f>
        <v>SEA</v>
      </c>
      <c r="N7" s="7"/>
      <c r="O7" s="7"/>
      <c r="P7" s="16" t="s">
        <v>37</v>
      </c>
      <c r="Q7" s="7"/>
      <c r="R7" s="20">
        <f>AR2</f>
        <v>183</v>
      </c>
      <c r="S7" s="39"/>
      <c r="T7" s="39"/>
      <c r="U7" s="49"/>
      <c r="V7" s="50"/>
      <c r="W7" s="39"/>
      <c r="X7" s="46"/>
      <c r="Y7" s="39"/>
      <c r="Z7" s="46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9"/>
      <c r="B8" s="7"/>
      <c r="C8" s="6"/>
      <c r="D8" s="6"/>
      <c r="E8" s="6"/>
      <c r="F8" s="6"/>
      <c r="G8" s="6"/>
      <c r="H8" s="7"/>
      <c r="I8" s="39"/>
      <c r="J8" s="39"/>
      <c r="K8" s="39"/>
      <c r="L8" s="7"/>
      <c r="M8" s="7"/>
      <c r="N8" s="21"/>
      <c r="O8" s="21"/>
      <c r="P8" s="21"/>
      <c r="Q8" s="21"/>
      <c r="R8" s="7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9"/>
      <c r="B9" s="6"/>
      <c r="C9" s="12" t="s">
        <v>7</v>
      </c>
      <c r="D9" s="10">
        <f>D2</f>
        <v>0.33200795228628233</v>
      </c>
      <c r="E9" s="10">
        <f>E2</f>
        <v>0.39165009940357853</v>
      </c>
      <c r="F9" s="10">
        <f>F2</f>
        <v>0.43141153081510936</v>
      </c>
      <c r="G9" s="10">
        <f>G2</f>
        <v>0.32803180914512925</v>
      </c>
      <c r="H9" s="6"/>
      <c r="I9" s="39"/>
      <c r="J9" s="39"/>
      <c r="K9" s="39"/>
      <c r="L9" s="7"/>
      <c r="M9" s="7" t="s">
        <v>8</v>
      </c>
      <c r="N9" s="24">
        <f>I2</f>
        <v>0.46322067594433397</v>
      </c>
      <c r="O9" s="24">
        <f t="shared" ref="O9:Q9" si="0">J2</f>
        <v>0.52087475149105367</v>
      </c>
      <c r="P9" s="24">
        <f t="shared" si="0"/>
        <v>0.53479125248508941</v>
      </c>
      <c r="Q9" s="24">
        <f t="shared" si="0"/>
        <v>0.47514910536779326</v>
      </c>
      <c r="R9" s="21"/>
      <c r="S9" s="39"/>
      <c r="T9" s="39"/>
      <c r="U9" s="51"/>
      <c r="V9" s="39"/>
      <c r="W9" s="39"/>
      <c r="X9" s="56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9"/>
      <c r="B10" s="6"/>
      <c r="C10" s="6"/>
      <c r="D10" s="9" t="s">
        <v>10</v>
      </c>
      <c r="E10" s="9" t="s">
        <v>21</v>
      </c>
      <c r="F10" s="9" t="s">
        <v>29</v>
      </c>
      <c r="G10" s="9" t="s">
        <v>11</v>
      </c>
      <c r="H10" s="6"/>
      <c r="I10" s="39"/>
      <c r="J10" s="39"/>
      <c r="K10" s="39"/>
      <c r="L10" s="7"/>
      <c r="M10" s="7"/>
      <c r="N10" s="16" t="s">
        <v>12</v>
      </c>
      <c r="O10" s="16" t="s">
        <v>13</v>
      </c>
      <c r="P10" s="16" t="s">
        <v>14</v>
      </c>
      <c r="Q10" s="16" t="s">
        <v>15</v>
      </c>
      <c r="R10" s="21"/>
      <c r="S10" s="39"/>
      <c r="T10" s="39"/>
      <c r="U10" s="52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9"/>
      <c r="B11" s="6"/>
      <c r="C11" s="6"/>
      <c r="D11" s="6"/>
      <c r="E11" s="6"/>
      <c r="F11" s="6"/>
      <c r="G11" s="6"/>
      <c r="H11" s="6"/>
      <c r="I11" s="39"/>
      <c r="J11" s="39"/>
      <c r="K11" s="39"/>
      <c r="L11" s="21"/>
      <c r="M11" s="21"/>
      <c r="N11" s="16"/>
      <c r="O11" s="16"/>
      <c r="P11" s="16"/>
      <c r="Q11" s="16"/>
      <c r="R11" s="21"/>
      <c r="S11" s="39"/>
      <c r="T11" s="39"/>
      <c r="U11" s="41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9"/>
      <c r="B12" s="6"/>
      <c r="C12" s="6" t="str">
        <f>H1</f>
        <v>Production</v>
      </c>
      <c r="D12" s="10">
        <f>I2</f>
        <v>0.46322067594433397</v>
      </c>
      <c r="E12" s="10">
        <f>J2</f>
        <v>0.52087475149105367</v>
      </c>
      <c r="F12" s="10">
        <f>K2</f>
        <v>0.53479125248508941</v>
      </c>
      <c r="G12" s="10">
        <f>L2</f>
        <v>0.47514910536779326</v>
      </c>
      <c r="H12" s="6"/>
      <c r="I12" s="39"/>
      <c r="J12" s="39"/>
      <c r="K12" s="39"/>
      <c r="L12" s="21"/>
      <c r="M12" s="7" t="s">
        <v>43</v>
      </c>
      <c r="N12" s="24">
        <f>D2</f>
        <v>0.33200795228628233</v>
      </c>
      <c r="O12" s="24">
        <f>G2</f>
        <v>0.32803180914512925</v>
      </c>
      <c r="P12" s="24">
        <f>S2</f>
        <v>0.25248508946322068</v>
      </c>
      <c r="Q12" s="24">
        <f>V2</f>
        <v>0.41351888667992048</v>
      </c>
      <c r="R12" s="21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9"/>
      <c r="B13" s="6"/>
      <c r="C13" s="6"/>
      <c r="D13" s="11" t="s">
        <v>12</v>
      </c>
      <c r="E13" s="11" t="s">
        <v>13</v>
      </c>
      <c r="F13" s="11" t="s">
        <v>14</v>
      </c>
      <c r="G13" s="11" t="s">
        <v>15</v>
      </c>
      <c r="H13" s="6"/>
      <c r="I13" s="39"/>
      <c r="J13" s="39"/>
      <c r="K13" s="39"/>
      <c r="L13" s="21"/>
      <c r="M13" s="21"/>
      <c r="N13" s="16" t="s">
        <v>10</v>
      </c>
      <c r="O13" s="16" t="s">
        <v>11</v>
      </c>
      <c r="P13" s="16" t="s">
        <v>24</v>
      </c>
      <c r="Q13" s="16" t="s">
        <v>17</v>
      </c>
      <c r="R13" s="21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9"/>
      <c r="B14" s="6"/>
      <c r="C14" s="6"/>
      <c r="D14" s="10"/>
      <c r="E14" s="10"/>
      <c r="F14" s="10"/>
      <c r="G14" s="10"/>
      <c r="H14" s="6"/>
      <c r="I14" s="39"/>
      <c r="J14" s="39"/>
      <c r="K14" s="39"/>
      <c r="L14" s="21"/>
      <c r="M14" s="21"/>
      <c r="N14" s="16"/>
      <c r="O14" s="16"/>
      <c r="P14" s="16"/>
      <c r="Q14" s="16"/>
      <c r="R14" s="21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9"/>
      <c r="B15" s="6"/>
      <c r="C15" s="6" t="str">
        <f>M1</f>
        <v>Defense</v>
      </c>
      <c r="D15" s="10">
        <f>N2</f>
        <v>0.96620278330019882</v>
      </c>
      <c r="E15" s="10">
        <f>O2</f>
        <v>0.97614314115308154</v>
      </c>
      <c r="F15" s="10">
        <f>P2</f>
        <v>0.92246520874751492</v>
      </c>
      <c r="G15" s="10">
        <f>Q2</f>
        <v>0.96620278330019882</v>
      </c>
      <c r="H15" s="6"/>
      <c r="I15" s="39"/>
      <c r="J15" s="39"/>
      <c r="K15" s="39"/>
      <c r="L15" s="21"/>
      <c r="M15" s="21" t="s">
        <v>6</v>
      </c>
      <c r="N15" s="24">
        <f>N2</f>
        <v>0.96620278330019882</v>
      </c>
      <c r="O15" s="24">
        <f>Q2</f>
        <v>0.96620278330019882</v>
      </c>
      <c r="P15" s="24">
        <f>X2</f>
        <v>0.77137176938369778</v>
      </c>
      <c r="Q15" s="24">
        <f>AA2</f>
        <v>0.90258449304174948</v>
      </c>
      <c r="R15" s="21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9"/>
      <c r="B16" s="6"/>
      <c r="C16" s="6"/>
      <c r="D16" s="11" t="s">
        <v>22</v>
      </c>
      <c r="E16" s="11" t="s">
        <v>23</v>
      </c>
      <c r="F16" s="11" t="s">
        <v>30</v>
      </c>
      <c r="G16" s="11" t="s">
        <v>16</v>
      </c>
      <c r="H16" s="6"/>
      <c r="I16" s="39"/>
      <c r="J16" s="39"/>
      <c r="K16" s="39"/>
      <c r="L16" s="21"/>
      <c r="M16" s="21"/>
      <c r="N16" s="16" t="s">
        <v>22</v>
      </c>
      <c r="O16" s="16" t="s">
        <v>16</v>
      </c>
      <c r="P16" s="16" t="s">
        <v>26</v>
      </c>
      <c r="Q16" s="16" t="s">
        <v>18</v>
      </c>
      <c r="R16" s="21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9"/>
      <c r="B17" s="6"/>
      <c r="C17" s="6"/>
      <c r="D17" s="10"/>
      <c r="E17" s="10"/>
      <c r="F17" s="10"/>
      <c r="G17" s="10"/>
      <c r="H17" s="6"/>
      <c r="I17" s="39"/>
      <c r="J17" s="39"/>
      <c r="K17" s="39"/>
      <c r="L17" s="7"/>
      <c r="M17" s="7"/>
      <c r="N17" s="16"/>
      <c r="O17" s="16"/>
      <c r="P17" s="16"/>
      <c r="Q17" s="16"/>
      <c r="R17" s="7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9"/>
      <c r="B18" s="6"/>
      <c r="C18" s="6" t="str">
        <f>R1</f>
        <v>Rel Offense</v>
      </c>
      <c r="D18" s="10">
        <f>S2</f>
        <v>0.25248508946322068</v>
      </c>
      <c r="E18" s="10">
        <f>T2</f>
        <v>0.67594433399602383</v>
      </c>
      <c r="F18" s="10">
        <f>U2</f>
        <v>0.23260437375745527</v>
      </c>
      <c r="G18" s="10">
        <f>V2</f>
        <v>0.41351888667992048</v>
      </c>
      <c r="H18" s="6"/>
      <c r="I18" s="39"/>
      <c r="J18" s="39"/>
      <c r="K18" s="39"/>
      <c r="L18" s="7"/>
      <c r="M18" s="7" t="s">
        <v>27</v>
      </c>
      <c r="N18" s="24">
        <f>AH2</f>
        <v>0.70377733598409542</v>
      </c>
      <c r="O18" s="24">
        <f>AK2</f>
        <v>0.74751491053677932</v>
      </c>
      <c r="P18" s="27">
        <f>AU2</f>
        <v>0.38767395626242546</v>
      </c>
      <c r="Q18" s="27">
        <f>AV2</f>
        <v>0.75745526838966204</v>
      </c>
      <c r="R18" s="7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9"/>
      <c r="B19" s="6"/>
      <c r="C19" s="6"/>
      <c r="D19" s="11" t="s">
        <v>24</v>
      </c>
      <c r="E19" s="11" t="s">
        <v>28</v>
      </c>
      <c r="F19" s="11" t="s">
        <v>31</v>
      </c>
      <c r="G19" s="11" t="s">
        <v>17</v>
      </c>
      <c r="H19" s="6"/>
      <c r="I19" s="39"/>
      <c r="J19" s="39"/>
      <c r="K19" s="39"/>
      <c r="L19" s="7"/>
      <c r="M19" s="7"/>
      <c r="N19" s="16" t="s">
        <v>1</v>
      </c>
      <c r="O19" s="16" t="s">
        <v>3</v>
      </c>
      <c r="P19" s="16" t="s">
        <v>46</v>
      </c>
      <c r="Q19" s="16" t="s">
        <v>45</v>
      </c>
      <c r="R19" s="7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9"/>
      <c r="B20" s="6"/>
      <c r="C20" s="6"/>
      <c r="D20" s="10"/>
      <c r="E20" s="10"/>
      <c r="F20" s="10"/>
      <c r="G20" s="10"/>
      <c r="H20" s="6"/>
      <c r="I20" s="39"/>
      <c r="J20" s="39"/>
      <c r="K20" s="39"/>
      <c r="L20" s="7"/>
      <c r="M20" s="7"/>
      <c r="N20" s="16"/>
      <c r="O20" s="16"/>
      <c r="P20" s="16"/>
      <c r="Q20" s="16"/>
      <c r="R20" s="7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9"/>
      <c r="B21" s="6"/>
      <c r="C21" s="6" t="str">
        <f>W1</f>
        <v>Rel Defense</v>
      </c>
      <c r="D21" s="10">
        <f>X2</f>
        <v>0.77137176938369778</v>
      </c>
      <c r="E21" s="10">
        <f>Y2</f>
        <v>0.91650099403578533</v>
      </c>
      <c r="F21" s="10">
        <f>Z2</f>
        <v>0.95825049701789267</v>
      </c>
      <c r="G21" s="10">
        <f>AA2</f>
        <v>0.90258449304174948</v>
      </c>
      <c r="H21" s="6"/>
      <c r="I21" s="39"/>
      <c r="J21" s="39"/>
      <c r="K21" s="39"/>
      <c r="L21" s="7"/>
      <c r="M21" s="7" t="s">
        <v>9</v>
      </c>
      <c r="N21" s="24">
        <f>AC2</f>
        <v>0.38966202783300197</v>
      </c>
      <c r="O21" s="24">
        <f>AD2</f>
        <v>0.76739562624254476</v>
      </c>
      <c r="P21" s="24">
        <f>AE2</f>
        <v>0.65208747514910537</v>
      </c>
      <c r="Q21" s="24">
        <f>AF2</f>
        <v>0.75745526838966204</v>
      </c>
      <c r="R21" s="7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9"/>
      <c r="B22" s="6"/>
      <c r="C22" s="6"/>
      <c r="D22" s="11" t="s">
        <v>26</v>
      </c>
      <c r="E22" s="11" t="s">
        <v>25</v>
      </c>
      <c r="F22" s="11" t="s">
        <v>32</v>
      </c>
      <c r="G22" s="11" t="s">
        <v>18</v>
      </c>
      <c r="H22" s="6"/>
      <c r="I22" s="39"/>
      <c r="J22" s="39"/>
      <c r="K22" s="39"/>
      <c r="L22" s="7"/>
      <c r="M22" s="7"/>
      <c r="N22" s="16" t="s">
        <v>0</v>
      </c>
      <c r="O22" s="25" t="s">
        <v>19</v>
      </c>
      <c r="P22" s="16" t="s">
        <v>20</v>
      </c>
      <c r="Q22" s="16" t="s">
        <v>5</v>
      </c>
      <c r="R22" s="7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9"/>
      <c r="B23" s="6"/>
      <c r="C23" s="6"/>
      <c r="D23" s="10"/>
      <c r="E23" s="10"/>
      <c r="F23" s="10"/>
      <c r="G23" s="10"/>
      <c r="H23" s="6"/>
      <c r="I23" s="39"/>
      <c r="J23" s="39"/>
      <c r="K23" s="39"/>
      <c r="L23" s="32"/>
      <c r="M23" s="7"/>
      <c r="N23" s="7"/>
      <c r="O23" s="7"/>
      <c r="P23" s="7"/>
      <c r="Q23" s="7"/>
      <c r="R23" s="7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9"/>
      <c r="B24" s="6"/>
      <c r="C24" s="6" t="str">
        <f>AB1</f>
        <v>Context</v>
      </c>
      <c r="D24" s="10">
        <f>AC2</f>
        <v>0.38966202783300197</v>
      </c>
      <c r="E24" s="10">
        <f>AD2</f>
        <v>0.76739562624254476</v>
      </c>
      <c r="F24" s="10">
        <f>AE2</f>
        <v>0.65208747514910537</v>
      </c>
      <c r="G24" s="10">
        <f>AF2</f>
        <v>0.75745526838966204</v>
      </c>
      <c r="H24" s="6"/>
      <c r="I24" s="39"/>
      <c r="J24" s="39"/>
      <c r="K24" s="39"/>
      <c r="L24" s="31" t="s">
        <v>51</v>
      </c>
      <c r="M24" s="7"/>
      <c r="N24" s="7"/>
      <c r="O24" s="30" t="s">
        <v>47</v>
      </c>
      <c r="P24" s="7"/>
      <c r="Q24" s="29" t="s">
        <v>48</v>
      </c>
      <c r="R24" s="7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9"/>
      <c r="B25" s="6"/>
      <c r="C25" s="6"/>
      <c r="D25" s="11" t="s">
        <v>0</v>
      </c>
      <c r="E25" s="13" t="s">
        <v>19</v>
      </c>
      <c r="F25" s="11" t="s">
        <v>20</v>
      </c>
      <c r="G25" s="11" t="s">
        <v>5</v>
      </c>
      <c r="H25" s="6"/>
      <c r="I25" s="39"/>
      <c r="J25" s="39"/>
      <c r="K25" s="39"/>
      <c r="L25" s="49"/>
      <c r="M25" s="53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9"/>
      <c r="B26" s="6"/>
      <c r="C26" s="6"/>
      <c r="D26" s="10"/>
      <c r="E26" s="10"/>
      <c r="F26" s="10"/>
      <c r="G26" s="10"/>
      <c r="H26" s="6"/>
      <c r="I26" s="39"/>
      <c r="J26" s="39"/>
      <c r="K26" s="39"/>
      <c r="L26" s="54"/>
      <c r="M26" s="54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9"/>
      <c r="B27" s="6"/>
      <c r="C27" s="28" t="s">
        <v>27</v>
      </c>
      <c r="D27" s="10">
        <f>AH2</f>
        <v>0.70377733598409542</v>
      </c>
      <c r="E27" s="10">
        <f>AI2</f>
        <v>0.78727634194831009</v>
      </c>
      <c r="F27" s="10">
        <f>AJ2</f>
        <v>0.76938369781312133</v>
      </c>
      <c r="G27" s="10">
        <f>AK2</f>
        <v>0.74751491053677932</v>
      </c>
      <c r="H27" s="6"/>
      <c r="I27" s="39"/>
      <c r="J27" s="39"/>
      <c r="K27" s="39"/>
      <c r="L27" s="55"/>
      <c r="M27" s="56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9"/>
      <c r="B28" s="32"/>
      <c r="C28" s="6"/>
      <c r="D28" s="14" t="s">
        <v>1</v>
      </c>
      <c r="E28" s="14" t="s">
        <v>4</v>
      </c>
      <c r="F28" s="14" t="s">
        <v>2</v>
      </c>
      <c r="G28" s="14" t="s">
        <v>3</v>
      </c>
      <c r="H28" s="6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9"/>
      <c r="B29" s="31" t="s">
        <v>50</v>
      </c>
      <c r="C29" s="31"/>
      <c r="D29" s="31"/>
      <c r="E29" s="30" t="s">
        <v>47</v>
      </c>
      <c r="F29" s="31"/>
      <c r="G29" s="31" t="s">
        <v>49</v>
      </c>
      <c r="H29" s="33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41"/>
      <c r="AQ29" s="39"/>
      <c r="AR29" s="39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41"/>
      <c r="AQ30" s="41"/>
      <c r="AR30" s="41"/>
      <c r="AS30" s="41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9"/>
      <c r="B31" s="39"/>
      <c r="C31" s="39"/>
      <c r="D31" s="39" t="s">
        <v>38</v>
      </c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41"/>
      <c r="AQ31" s="41"/>
      <c r="AR31" s="41"/>
      <c r="AS31" s="41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9"/>
      <c r="B32" s="39"/>
      <c r="C32" s="39"/>
      <c r="D32" s="57">
        <v>45033</v>
      </c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41"/>
      <c r="AQ32" s="41"/>
      <c r="AR32" s="41"/>
      <c r="AS32" s="41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41"/>
      <c r="AQ33" s="41"/>
      <c r="AR33" s="41"/>
      <c r="AS33" s="41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41"/>
      <c r="AQ34" s="41"/>
      <c r="AR34" s="41"/>
      <c r="AS34" s="41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41"/>
      <c r="AQ35" s="41"/>
      <c r="AR35" s="41"/>
      <c r="AS35" s="41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41"/>
      <c r="AQ36" s="41"/>
      <c r="AR36" s="41"/>
      <c r="AS36" s="41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41"/>
      <c r="AR37" s="41"/>
      <c r="AS37" s="41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</row>
    <row r="39" spans="1:59" x14ac:dyDescent="0.3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</row>
    <row r="40" spans="1:59" x14ac:dyDescent="0.3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</row>
    <row r="41" spans="1:59" x14ac:dyDescent="0.3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</row>
    <row r="42" spans="1:59" x14ac:dyDescent="0.3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</row>
    <row r="43" spans="1:59" x14ac:dyDescent="0.3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</row>
    <row r="44" spans="1:59" x14ac:dyDescent="0.3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</row>
    <row r="45" spans="1:59" x14ac:dyDescent="0.3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</row>
    <row r="46" spans="1:59" x14ac:dyDescent="0.3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</row>
    <row r="47" spans="1:59" x14ac:dyDescent="0.3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</row>
    <row r="48" spans="1:59" x14ac:dyDescent="0.3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</row>
    <row r="49" spans="1:44" x14ac:dyDescent="0.3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</row>
    <row r="50" spans="1:44" x14ac:dyDescent="0.3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</row>
    <row r="51" spans="1:44" x14ac:dyDescent="0.3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</row>
    <row r="52" spans="1:44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</row>
    <row r="53" spans="1:44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</row>
    <row r="54" spans="1:44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</row>
    <row r="55" spans="1:44" x14ac:dyDescent="0.3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</row>
    <row r="56" spans="1:44" x14ac:dyDescent="0.3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</row>
    <row r="57" spans="1:44" x14ac:dyDescent="0.3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</row>
    <row r="58" spans="1:44" x14ac:dyDescent="0.3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</row>
    <row r="59" spans="1:44" x14ac:dyDescent="0.3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</row>
    <row r="60" spans="1:44" x14ac:dyDescent="0.3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</row>
    <row r="61" spans="1:44" x14ac:dyDescent="0.3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</row>
    <row r="62" spans="1:44" x14ac:dyDescent="0.3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</row>
    <row r="63" spans="1:44" x14ac:dyDescent="0.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</row>
    <row r="64" spans="1:44" x14ac:dyDescent="0.3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</row>
    <row r="65" spans="1:44" x14ac:dyDescent="0.3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</row>
    <row r="66" spans="1:44" x14ac:dyDescent="0.3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</row>
    <row r="67" spans="1:44" x14ac:dyDescent="0.3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</row>
    <row r="68" spans="1:44" x14ac:dyDescent="0.3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</row>
    <row r="69" spans="1:44" x14ac:dyDescent="0.3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</row>
    <row r="70" spans="1:44" x14ac:dyDescent="0.3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</row>
    <row r="71" spans="1:44" x14ac:dyDescent="0.3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</row>
    <row r="72" spans="1:44" x14ac:dyDescent="0.3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</row>
    <row r="73" spans="1:44" x14ac:dyDescent="0.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</row>
    <row r="74" spans="1:44" x14ac:dyDescent="0.3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</row>
    <row r="75" spans="1:44" x14ac:dyDescent="0.3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</row>
    <row r="76" spans="1:44" x14ac:dyDescent="0.3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</row>
    <row r="77" spans="1:44" x14ac:dyDescent="0.3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</row>
    <row r="78" spans="1:44" x14ac:dyDescent="0.3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</row>
    <row r="79" spans="1:44" x14ac:dyDescent="0.3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</row>
    <row r="80" spans="1:44" x14ac:dyDescent="0.3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</row>
    <row r="81" spans="1:44" x14ac:dyDescent="0.3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</row>
    <row r="82" spans="1:44" x14ac:dyDescent="0.3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</row>
    <row r="83" spans="1:44" x14ac:dyDescent="0.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</row>
    <row r="84" spans="1:44" x14ac:dyDescent="0.3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</row>
    <row r="85" spans="1:44" x14ac:dyDescent="0.3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</row>
    <row r="86" spans="1:44" x14ac:dyDescent="0.3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</row>
    <row r="87" spans="1:44" x14ac:dyDescent="0.3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</row>
    <row r="88" spans="1:44" x14ac:dyDescent="0.3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</row>
    <row r="89" spans="1:44" x14ac:dyDescent="0.3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</row>
    <row r="90" spans="1:44" x14ac:dyDescent="0.3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</row>
    <row r="91" spans="1:44" x14ac:dyDescent="0.3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</row>
    <row r="92" spans="1:44" x14ac:dyDescent="0.3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</row>
    <row r="93" spans="1:44" x14ac:dyDescent="0.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</row>
    <row r="94" spans="1:44" x14ac:dyDescent="0.3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</row>
    <row r="95" spans="1:44" x14ac:dyDescent="0.3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</row>
    <row r="96" spans="1:44" x14ac:dyDescent="0.3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</row>
    <row r="97" spans="1:44" x14ac:dyDescent="0.3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</row>
    <row r="98" spans="1:44" x14ac:dyDescent="0.3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</row>
    <row r="99" spans="1:44" x14ac:dyDescent="0.3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</row>
    <row r="100" spans="1:44" x14ac:dyDescent="0.3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</row>
    <row r="101" spans="1:44" x14ac:dyDescent="0.3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</row>
    <row r="102" spans="1:44" x14ac:dyDescent="0.3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</row>
    <row r="103" spans="1:44" x14ac:dyDescent="0.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</row>
    <row r="104" spans="1:44" x14ac:dyDescent="0.3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</row>
    <row r="105" spans="1:44" x14ac:dyDescent="0.3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</row>
    <row r="106" spans="1:44" x14ac:dyDescent="0.3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</row>
    <row r="107" spans="1:44" x14ac:dyDescent="0.3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</row>
    <row r="108" spans="1:44" x14ac:dyDescent="0.3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</row>
    <row r="109" spans="1:44" x14ac:dyDescent="0.3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</row>
    <row r="110" spans="1:44" x14ac:dyDescent="0.3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</row>
    <row r="111" spans="1:44" x14ac:dyDescent="0.3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</row>
    <row r="112" spans="1:44" x14ac:dyDescent="0.3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</row>
    <row r="113" spans="1:44" x14ac:dyDescent="0.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</row>
    <row r="114" spans="1:44" x14ac:dyDescent="0.3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</row>
    <row r="115" spans="1:44" x14ac:dyDescent="0.3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</row>
    <row r="116" spans="1:44" x14ac:dyDescent="0.3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</row>
    <row r="117" spans="1:44" x14ac:dyDescent="0.3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</row>
    <row r="118" spans="1:44" x14ac:dyDescent="0.3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</row>
    <row r="119" spans="1:44" x14ac:dyDescent="0.3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</row>
    <row r="120" spans="1:44" x14ac:dyDescent="0.3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</row>
    <row r="121" spans="1:44" x14ac:dyDescent="0.3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</row>
    <row r="122" spans="1:44" x14ac:dyDescent="0.3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</row>
    <row r="123" spans="1:44" x14ac:dyDescent="0.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</row>
    <row r="124" spans="1:44" x14ac:dyDescent="0.3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</row>
    <row r="125" spans="1:44" x14ac:dyDescent="0.3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</row>
    <row r="126" spans="1:44" x14ac:dyDescent="0.3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</row>
    <row r="127" spans="1:44" x14ac:dyDescent="0.3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</row>
    <row r="128" spans="1:44" x14ac:dyDescent="0.3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</row>
    <row r="129" spans="1:44" x14ac:dyDescent="0.3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</row>
    <row r="130" spans="1:44" x14ac:dyDescent="0.3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</row>
    <row r="131" spans="1:44" x14ac:dyDescent="0.3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</row>
    <row r="132" spans="1:44" x14ac:dyDescent="0.3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</row>
    <row r="133" spans="1:44" x14ac:dyDescent="0.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</row>
    <row r="134" spans="1:44" x14ac:dyDescent="0.3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</row>
    <row r="135" spans="1:44" x14ac:dyDescent="0.3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</row>
    <row r="136" spans="1:44" x14ac:dyDescent="0.3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</row>
    <row r="137" spans="1:44" x14ac:dyDescent="0.3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</row>
    <row r="138" spans="1:44" x14ac:dyDescent="0.3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</row>
    <row r="139" spans="1:44" x14ac:dyDescent="0.3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</row>
    <row r="140" spans="1:44" x14ac:dyDescent="0.3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</row>
    <row r="141" spans="1:44" x14ac:dyDescent="0.3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</row>
    <row r="142" spans="1:44" x14ac:dyDescent="0.3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</row>
    <row r="143" spans="1:44" x14ac:dyDescent="0.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</row>
    <row r="144" spans="1:44" x14ac:dyDescent="0.3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</row>
    <row r="145" spans="1:44" x14ac:dyDescent="0.3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</row>
    <row r="146" spans="1:44" x14ac:dyDescent="0.3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</row>
    <row r="147" spans="1:44" x14ac:dyDescent="0.3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</row>
    <row r="148" spans="1:44" x14ac:dyDescent="0.3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</row>
    <row r="149" spans="1:44" x14ac:dyDescent="0.3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</row>
    <row r="150" spans="1:44" x14ac:dyDescent="0.3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</row>
    <row r="151" spans="1:44" x14ac:dyDescent="0.3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</row>
    <row r="152" spans="1:44" x14ac:dyDescent="0.3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</row>
    <row r="153" spans="1:44" x14ac:dyDescent="0.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</row>
    <row r="154" spans="1:44" x14ac:dyDescent="0.3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</row>
  </sheetData>
  <sheetProtection algorithmName="SHA-512" hashValue="LtYm4dL5BhrpPLokdlMUYJV/1sUOa5JKNghJ0CXU+qNt11Hv/1wx6SCok+EVQRuxEQbRJOupbheFtpvATuEuBQ==" saltValue="H6/jy+2MF1F5YYhJbR1VSw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3" width="10.88671875" customWidth="1"/>
    <col min="4" max="7" width="10.5546875" customWidth="1"/>
    <col min="8" max="8" width="9.88671875" customWidth="1"/>
    <col min="9" max="9" width="8.88671875" style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7" t="str">
        <f>'G Ranks'!A1</f>
        <v>Player</v>
      </c>
      <c r="B1" s="37"/>
      <c r="C1" s="37" t="str">
        <f>'G Ranks'!B1</f>
        <v>Team</v>
      </c>
      <c r="D1" s="37" t="str">
        <f>'G Ranks'!C1</f>
        <v>GP</v>
      </c>
      <c r="E1" s="37" t="str">
        <f>'G Ranks'!D1</f>
        <v>xGA/60</v>
      </c>
      <c r="F1" s="37" t="str">
        <f>'G Ranks'!E1</f>
        <v>GA/60</v>
      </c>
      <c r="G1" s="37">
        <f>'G Ranks'!F1</f>
        <v>0</v>
      </c>
      <c r="H1" s="37" t="e">
        <f>'G Ranks'!G1</f>
        <v>#VALUE!</v>
      </c>
      <c r="I1" s="38" t="e">
        <f>'G Ranks'!H1</f>
        <v>#VALUE!</v>
      </c>
      <c r="J1" s="37" t="e">
        <f>'G Ranks'!I1</f>
        <v>#VALUE!</v>
      </c>
      <c r="K1" s="37">
        <f>'G Ranks'!J1</f>
        <v>0</v>
      </c>
      <c r="L1" s="38" t="e">
        <f>'G Ranks'!K1</f>
        <v>#VALUE!</v>
      </c>
      <c r="M1" s="37" t="e">
        <f>'G Ranks'!L1</f>
        <v>#VALUE!</v>
      </c>
      <c r="N1" s="37">
        <f>'G Ranks'!M1</f>
        <v>0</v>
      </c>
      <c r="O1" s="38" t="e">
        <f>'G Ranks'!N1</f>
        <v>#VALUE!</v>
      </c>
      <c r="P1" s="37" t="e">
        <f>'G Ranks'!O1</f>
        <v>#VALUE!</v>
      </c>
      <c r="Q1" s="37">
        <f>'G Ranks'!P1</f>
        <v>0</v>
      </c>
      <c r="R1" s="38" t="e">
        <f>'G Ranks'!Q1</f>
        <v>#VALUE!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</row>
    <row r="2" spans="1:59" x14ac:dyDescent="0.3">
      <c r="A2" s="61" t="s">
        <v>1070</v>
      </c>
      <c r="B2" s="37" t="str">
        <f>INDEX('G Ranks'!A:A,MATCH('Goalie Card'!$A2,'G Ranks'!$A:$A,0))</f>
        <v>Andrei Vasilevskiy</v>
      </c>
      <c r="C2" s="37" t="str">
        <f>INDEX('G Ranks'!B:B,MATCH('Goalie Card'!$A2,'G Ranks'!$A:$A,0))</f>
        <v>T.B</v>
      </c>
      <c r="D2" s="37">
        <f>INDEX('G Ranks'!C:C,MATCH('Goalie Card'!$A2,'G Ranks'!$A:$A,0))</f>
        <v>123</v>
      </c>
      <c r="E2" s="37">
        <f>INDEX('G Ranks'!D:D,MATCH('Goalie Card'!$A2,'G Ranks'!$A:$A,0))</f>
        <v>2.81</v>
      </c>
      <c r="F2" s="37">
        <f>INDEX('G Ranks'!E:E,MATCH('Goalie Card'!$A2,'G Ranks'!$A:$A,0))</f>
        <v>2.57</v>
      </c>
      <c r="G2" s="37">
        <f>INDEX('G Ranks'!F:F,MATCH('Goalie Card'!$A2,'G Ranks'!$A:$A,0))</f>
        <v>0</v>
      </c>
      <c r="H2" s="37">
        <f>INDEX('G Ranks'!G:G,MATCH('Goalie Card'!$A2,'G Ranks'!$A:$A,0))</f>
        <v>0.24000000000000021</v>
      </c>
      <c r="I2" s="38">
        <f>INDEX('G Ranks'!H:H,MATCH('Goalie Card'!$A2,'G Ranks'!$A:$A,0))</f>
        <v>0.91954022988505746</v>
      </c>
      <c r="J2" s="37">
        <f>INDEX('G Ranks'!I:I,MATCH('Goalie Card'!$A2,'G Ranks'!$A:$A,0))</f>
        <v>8</v>
      </c>
      <c r="K2" s="37">
        <f>INDEX('G Ranks'!J:J,MATCH('Goalie Card'!$A2,'G Ranks'!$A:$A,0))</f>
        <v>0</v>
      </c>
      <c r="L2" s="38">
        <f>INDEX('G Ranks'!K:K,MATCH('Goalie Card'!$A2,'G Ranks'!$A:$A,0))</f>
        <v>0.37931034482758619</v>
      </c>
      <c r="M2" s="37">
        <f>INDEX('G Ranks'!L:L,MATCH('Goalie Card'!$A2,'G Ranks'!$A:$A,0))</f>
        <v>54</v>
      </c>
      <c r="N2" s="37">
        <f>INDEX('G Ranks'!M:M,MATCH('Goalie Card'!$A2,'G Ranks'!$A:$A,0))</f>
        <v>0</v>
      </c>
      <c r="O2" s="37">
        <f>INDEX('G Ranks'!N:N,MATCH('Goalie Card'!$A2,'G Ranks'!$A:$A,0))</f>
        <v>0.86206896551724133</v>
      </c>
      <c r="P2" s="37">
        <f>INDEX('G Ranks'!O:O,MATCH('Goalie Card'!$A2,'G Ranks'!$A:$A,0))</f>
        <v>12</v>
      </c>
      <c r="Q2" s="37">
        <f>INDEX('G Ranks'!P:P,MATCH('Goalie Card'!$A2,'G Ranks'!$A:$A,0))</f>
        <v>0</v>
      </c>
      <c r="R2" s="38">
        <f>INDEX('G Ranks'!Q:Q,MATCH('Goalie Card'!$A2,'G Ranks'!$A:$A,0))</f>
        <v>0.97701149425287359</v>
      </c>
      <c r="S2" s="37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</row>
    <row r="3" spans="1:59" x14ac:dyDescent="0.3">
      <c r="A3" s="39"/>
      <c r="B3" s="39"/>
      <c r="C3" s="39"/>
      <c r="D3" s="39"/>
      <c r="E3" s="39"/>
      <c r="F3" s="39"/>
      <c r="G3" s="39"/>
      <c r="H3" s="39"/>
      <c r="I3" s="40"/>
      <c r="J3" s="39"/>
      <c r="K3" s="39"/>
      <c r="L3" s="40"/>
      <c r="M3" s="39"/>
      <c r="N3" s="39"/>
      <c r="O3" s="40"/>
      <c r="P3" s="39"/>
      <c r="Q3" s="39"/>
      <c r="R3" s="40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9"/>
      <c r="B4" s="39"/>
      <c r="C4" s="39"/>
      <c r="D4" s="39"/>
      <c r="E4" s="39"/>
      <c r="F4" s="39"/>
      <c r="G4" s="39"/>
      <c r="H4" s="39"/>
      <c r="I4" s="40"/>
      <c r="J4" s="39"/>
      <c r="K4" s="39"/>
      <c r="L4" s="40"/>
      <c r="M4" s="39"/>
      <c r="N4" s="39"/>
      <c r="O4" s="40"/>
      <c r="P4" s="39"/>
      <c r="Q4" s="39"/>
      <c r="R4" s="40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9"/>
      <c r="B5" s="71" t="s">
        <v>39</v>
      </c>
      <c r="C5" s="72"/>
      <c r="D5" s="37"/>
      <c r="E5" s="72"/>
      <c r="F5" s="72"/>
      <c r="G5" s="72"/>
      <c r="H5" s="72"/>
      <c r="I5" s="40"/>
      <c r="J5" s="62"/>
      <c r="K5" s="7"/>
      <c r="L5" s="63"/>
      <c r="M5" s="7"/>
      <c r="N5" s="7"/>
      <c r="O5" s="62"/>
      <c r="P5" s="7"/>
      <c r="Q5" s="39"/>
      <c r="R5" s="40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39"/>
      <c r="B6" s="73" t="str">
        <f>B2</f>
        <v>Andrei Vasilevskiy</v>
      </c>
      <c r="C6" s="72"/>
      <c r="D6" s="72"/>
      <c r="E6" s="74">
        <f>I2</f>
        <v>0.91954022988505746</v>
      </c>
      <c r="F6" s="72"/>
      <c r="G6" s="75" t="str">
        <f>C2</f>
        <v>T.B</v>
      </c>
      <c r="H6" s="72"/>
      <c r="I6" s="40"/>
      <c r="J6" s="84" t="str">
        <f>B2</f>
        <v>Andrei Vasilevskiy</v>
      </c>
      <c r="K6" s="7"/>
      <c r="L6" s="63"/>
      <c r="M6" s="64">
        <f>I2</f>
        <v>0.91954022988505746</v>
      </c>
      <c r="N6" s="65"/>
      <c r="O6" s="16" t="s">
        <v>40</v>
      </c>
      <c r="P6" s="66"/>
      <c r="Q6" s="39"/>
      <c r="R6" s="40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9"/>
      <c r="B7" s="76" t="s">
        <v>36</v>
      </c>
      <c r="C7" s="77">
        <f>D2</f>
        <v>123</v>
      </c>
      <c r="D7" s="72"/>
      <c r="E7" s="78" t="s">
        <v>44</v>
      </c>
      <c r="F7" s="72"/>
      <c r="G7" s="72"/>
      <c r="H7" s="72"/>
      <c r="I7" s="40"/>
      <c r="J7" s="65"/>
      <c r="K7" s="67" t="str">
        <f>C2</f>
        <v>T.B</v>
      </c>
      <c r="L7" s="68"/>
      <c r="M7" s="16" t="s">
        <v>37</v>
      </c>
      <c r="N7" s="7"/>
      <c r="O7" s="69">
        <f>D2</f>
        <v>123</v>
      </c>
      <c r="P7" s="7"/>
      <c r="Q7" s="39"/>
      <c r="R7" s="40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9"/>
      <c r="B8" s="79"/>
      <c r="C8" s="72"/>
      <c r="D8" s="72"/>
      <c r="E8" s="72"/>
      <c r="F8" s="72"/>
      <c r="G8" s="72"/>
      <c r="H8" s="72"/>
      <c r="I8" s="40"/>
      <c r="J8" s="7"/>
      <c r="K8" s="7"/>
      <c r="L8" s="63"/>
      <c r="M8" s="7"/>
      <c r="N8" s="7"/>
      <c r="O8" s="63"/>
      <c r="P8" s="7"/>
      <c r="Q8" s="39"/>
      <c r="R8" s="40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9"/>
      <c r="B9" s="72"/>
      <c r="C9" s="72" t="s">
        <v>33</v>
      </c>
      <c r="D9" s="72"/>
      <c r="E9" s="80">
        <f>L2</f>
        <v>0.37931034482758619</v>
      </c>
      <c r="F9" s="81"/>
      <c r="G9" s="81"/>
      <c r="H9" s="72"/>
      <c r="I9" s="40"/>
      <c r="J9" s="7"/>
      <c r="K9" s="24">
        <f>L2</f>
        <v>0.37931034482758619</v>
      </c>
      <c r="L9" s="24"/>
      <c r="M9" s="24">
        <f>O2</f>
        <v>0.86206896551724133</v>
      </c>
      <c r="N9" s="24"/>
      <c r="O9" s="24">
        <f>R2</f>
        <v>0.97701149425287359</v>
      </c>
      <c r="P9" s="7"/>
      <c r="Q9" s="39"/>
      <c r="R9" s="40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9"/>
      <c r="B10" s="72"/>
      <c r="C10" s="72"/>
      <c r="D10" s="78"/>
      <c r="E10" s="78"/>
      <c r="F10" s="78"/>
      <c r="G10" s="78"/>
      <c r="H10" s="72"/>
      <c r="I10" s="40"/>
      <c r="J10" s="7"/>
      <c r="K10" s="16" t="s">
        <v>1167</v>
      </c>
      <c r="L10" s="63"/>
      <c r="M10" s="16" t="s">
        <v>1168</v>
      </c>
      <c r="N10" s="7"/>
      <c r="O10" s="16" t="s">
        <v>34</v>
      </c>
      <c r="P10" s="7"/>
      <c r="Q10" s="39"/>
      <c r="R10" s="40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9"/>
      <c r="B11" s="72"/>
      <c r="C11" s="72" t="s">
        <v>35</v>
      </c>
      <c r="D11" s="82"/>
      <c r="E11" s="81">
        <f>O2</f>
        <v>0.86206896551724133</v>
      </c>
      <c r="F11" s="72"/>
      <c r="G11" s="72"/>
      <c r="H11" s="72"/>
      <c r="I11" s="40"/>
      <c r="J11" s="7"/>
      <c r="K11" s="7"/>
      <c r="L11" s="63"/>
      <c r="M11" s="7"/>
      <c r="N11" s="7"/>
      <c r="O11" s="63"/>
      <c r="P11" s="7"/>
      <c r="Q11" s="39"/>
      <c r="R11" s="40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9"/>
      <c r="B12" s="72"/>
      <c r="C12" s="72"/>
      <c r="D12" s="81"/>
      <c r="E12" s="81"/>
      <c r="F12" s="81"/>
      <c r="G12" s="81"/>
      <c r="H12" s="72"/>
      <c r="I12" s="40"/>
      <c r="J12" s="7"/>
      <c r="K12" s="7"/>
      <c r="L12" s="63"/>
      <c r="M12" s="30" t="s">
        <v>1166</v>
      </c>
      <c r="N12" s="7"/>
      <c r="O12" s="63"/>
      <c r="P12" s="7"/>
      <c r="Q12" s="39"/>
      <c r="R12" s="40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9"/>
      <c r="B13" s="72"/>
      <c r="C13" s="83" t="s">
        <v>34</v>
      </c>
      <c r="D13" s="81"/>
      <c r="E13" s="81">
        <f>R2</f>
        <v>0.97701149425287359</v>
      </c>
      <c r="F13" s="82"/>
      <c r="G13" s="82"/>
      <c r="H13" s="72"/>
      <c r="I13" s="40"/>
      <c r="J13" s="7"/>
      <c r="K13" s="7"/>
      <c r="L13" s="63"/>
      <c r="M13" s="70" t="s">
        <v>39</v>
      </c>
      <c r="N13" s="7"/>
      <c r="O13" s="63"/>
      <c r="P13" s="7"/>
      <c r="Q13" s="39"/>
      <c r="R13" s="40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9"/>
      <c r="B14" s="72"/>
      <c r="C14" s="72"/>
      <c r="D14" s="81"/>
      <c r="E14" s="81"/>
      <c r="F14" s="81"/>
      <c r="G14" s="81"/>
      <c r="H14" s="72"/>
      <c r="I14" s="40"/>
      <c r="J14" s="39"/>
      <c r="K14" s="39"/>
      <c r="L14" s="40"/>
      <c r="M14" s="39"/>
      <c r="N14" s="39"/>
      <c r="O14" s="40"/>
      <c r="P14" s="39"/>
      <c r="Q14" s="39"/>
      <c r="R14" s="40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9"/>
      <c r="B15" s="72" t="s">
        <v>50</v>
      </c>
      <c r="C15" s="37"/>
      <c r="D15" s="37"/>
      <c r="E15" s="37"/>
      <c r="F15" s="72" t="s">
        <v>42</v>
      </c>
      <c r="G15" s="81"/>
      <c r="H15" s="72"/>
      <c r="I15" s="40"/>
      <c r="J15" s="39"/>
      <c r="K15" s="39"/>
      <c r="L15" s="40"/>
      <c r="M15" s="39"/>
      <c r="N15" s="39"/>
      <c r="O15" s="40"/>
      <c r="P15" s="39"/>
      <c r="Q15" s="39"/>
      <c r="R15" s="40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9"/>
      <c r="B16" s="41"/>
      <c r="C16" s="41"/>
      <c r="D16" s="42"/>
      <c r="E16" s="42"/>
      <c r="F16" s="42"/>
      <c r="G16" s="42"/>
      <c r="H16" s="41"/>
      <c r="I16" s="40"/>
      <c r="J16" s="39"/>
      <c r="K16" s="39"/>
      <c r="L16" s="40"/>
      <c r="M16" s="39"/>
      <c r="N16" s="39"/>
      <c r="O16" s="40"/>
      <c r="P16" s="39"/>
      <c r="Q16" s="39"/>
      <c r="R16" s="40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9"/>
      <c r="B17" s="41"/>
      <c r="C17" s="41"/>
      <c r="D17" s="43"/>
      <c r="E17" s="43"/>
      <c r="F17" s="43"/>
      <c r="G17" s="43"/>
      <c r="H17" s="41"/>
      <c r="I17" s="40"/>
      <c r="J17" s="39"/>
      <c r="K17" s="39"/>
      <c r="L17" s="40"/>
      <c r="M17" s="39"/>
      <c r="N17" s="39"/>
      <c r="O17" s="40"/>
      <c r="P17" s="39"/>
      <c r="Q17" s="39"/>
      <c r="R17" s="40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9"/>
      <c r="B18" s="41"/>
      <c r="C18" s="41"/>
      <c r="D18" s="43"/>
      <c r="E18" s="43"/>
      <c r="F18" s="43"/>
      <c r="G18" s="43"/>
      <c r="H18" s="41"/>
      <c r="I18" s="40"/>
      <c r="J18" s="39"/>
      <c r="K18" s="39"/>
      <c r="L18" s="40"/>
      <c r="M18" s="39"/>
      <c r="N18" s="39"/>
      <c r="O18" s="40"/>
      <c r="P18" s="39"/>
      <c r="Q18" s="39"/>
      <c r="R18" s="40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9"/>
      <c r="B19" s="41"/>
      <c r="C19" s="41"/>
      <c r="D19" s="42"/>
      <c r="E19" s="42"/>
      <c r="F19" s="42"/>
      <c r="G19" s="42"/>
      <c r="H19" s="41"/>
      <c r="I19" s="40"/>
      <c r="J19" s="39"/>
      <c r="K19" s="39"/>
      <c r="L19" s="40"/>
      <c r="M19" s="39"/>
      <c r="N19" s="39"/>
      <c r="O19" s="40"/>
      <c r="P19" s="39"/>
      <c r="Q19" s="39"/>
      <c r="R19" s="40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9"/>
      <c r="B20" s="41"/>
      <c r="C20" s="41"/>
      <c r="D20" s="43"/>
      <c r="E20" s="43"/>
      <c r="F20" s="43"/>
      <c r="G20" s="43"/>
      <c r="H20" s="41"/>
      <c r="I20" s="40"/>
      <c r="J20" s="39"/>
      <c r="K20" s="39"/>
      <c r="L20" s="40"/>
      <c r="M20" s="39"/>
      <c r="N20" s="39"/>
      <c r="O20" s="40"/>
      <c r="P20" s="39"/>
      <c r="Q20" s="39"/>
      <c r="R20" s="40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9"/>
      <c r="B21" s="41"/>
      <c r="C21" s="41"/>
      <c r="D21" s="43"/>
      <c r="E21" s="43"/>
      <c r="F21" s="43"/>
      <c r="G21" s="43"/>
      <c r="H21" s="41"/>
      <c r="I21" s="40"/>
      <c r="J21" s="39"/>
      <c r="K21" s="39"/>
      <c r="L21" s="40"/>
      <c r="M21" s="39"/>
      <c r="N21" s="39"/>
      <c r="O21" s="40"/>
      <c r="P21" s="39"/>
      <c r="Q21" s="39"/>
      <c r="R21" s="40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9"/>
      <c r="B22" s="41"/>
      <c r="C22" s="41"/>
      <c r="D22" s="42"/>
      <c r="E22" s="42"/>
      <c r="F22" s="42"/>
      <c r="G22" s="42"/>
      <c r="H22" s="41"/>
      <c r="I22" s="40"/>
      <c r="J22" s="39"/>
      <c r="K22" s="39"/>
      <c r="L22" s="40"/>
      <c r="M22" s="39"/>
      <c r="N22" s="39"/>
      <c r="O22" s="40"/>
      <c r="P22" s="39"/>
      <c r="Q22" s="39"/>
      <c r="R22" s="40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9"/>
      <c r="B23" s="41"/>
      <c r="C23" s="41"/>
      <c r="D23" s="43"/>
      <c r="E23" s="43"/>
      <c r="F23" s="43"/>
      <c r="G23" s="43"/>
      <c r="H23" s="41"/>
      <c r="I23" s="40"/>
      <c r="J23" s="39"/>
      <c r="K23" s="39"/>
      <c r="L23" s="40"/>
      <c r="M23" s="39"/>
      <c r="N23" s="39"/>
      <c r="O23" s="40"/>
      <c r="P23" s="39"/>
      <c r="Q23" s="39"/>
      <c r="R23" s="40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9"/>
      <c r="B24" s="41"/>
      <c r="C24" s="41"/>
      <c r="D24" s="43"/>
      <c r="E24" s="43"/>
      <c r="F24" s="43"/>
      <c r="G24" s="43"/>
      <c r="H24" s="41"/>
      <c r="I24" s="40"/>
      <c r="J24" s="39"/>
      <c r="K24" s="39"/>
      <c r="L24" s="40"/>
      <c r="M24" s="39"/>
      <c r="N24" s="39"/>
      <c r="O24" s="40"/>
      <c r="P24" s="39"/>
      <c r="Q24" s="39"/>
      <c r="R24" s="40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9"/>
      <c r="B25" s="41"/>
      <c r="C25" s="41"/>
      <c r="D25" s="42"/>
      <c r="E25" s="42"/>
      <c r="F25" s="42"/>
      <c r="G25" s="42"/>
      <c r="H25" s="41"/>
      <c r="I25" s="40"/>
      <c r="J25" s="39"/>
      <c r="K25" s="39"/>
      <c r="L25" s="40"/>
      <c r="M25" s="39"/>
      <c r="N25" s="39"/>
      <c r="O25" s="40"/>
      <c r="P25" s="39"/>
      <c r="Q25" s="39"/>
      <c r="R25" s="40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9"/>
      <c r="B26" s="41"/>
      <c r="C26" s="41"/>
      <c r="D26" s="43"/>
      <c r="E26" s="43"/>
      <c r="F26" s="43"/>
      <c r="G26" s="43"/>
      <c r="H26" s="41"/>
      <c r="I26" s="40"/>
      <c r="J26" s="39"/>
      <c r="K26" s="39"/>
      <c r="L26" s="40"/>
      <c r="M26" s="39"/>
      <c r="N26" s="39"/>
      <c r="O26" s="40"/>
      <c r="P26" s="39"/>
      <c r="Q26" s="39"/>
      <c r="R26" s="40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9"/>
      <c r="B27" s="41"/>
      <c r="C27" s="41"/>
      <c r="D27" s="43"/>
      <c r="E27" s="43"/>
      <c r="F27" s="43"/>
      <c r="G27" s="43"/>
      <c r="H27" s="41"/>
      <c r="I27" s="40"/>
      <c r="J27" s="39"/>
      <c r="K27" s="39"/>
      <c r="L27" s="40"/>
      <c r="M27" s="39"/>
      <c r="N27" s="39"/>
      <c r="O27" s="40"/>
      <c r="P27" s="39"/>
      <c r="Q27" s="39"/>
      <c r="R27" s="40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9"/>
      <c r="B28" s="41"/>
      <c r="C28" s="41"/>
      <c r="D28" s="59"/>
      <c r="E28" s="59"/>
      <c r="F28" s="59"/>
      <c r="G28" s="59"/>
      <c r="H28" s="41"/>
      <c r="I28" s="40"/>
      <c r="J28" s="39"/>
      <c r="K28" s="39"/>
      <c r="L28" s="40"/>
      <c r="M28" s="39"/>
      <c r="N28" s="39"/>
      <c r="O28" s="40"/>
      <c r="P28" s="39"/>
      <c r="Q28" s="39"/>
      <c r="R28" s="40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9"/>
      <c r="B29" s="39"/>
      <c r="C29" s="41"/>
      <c r="D29" s="41"/>
      <c r="E29" s="41"/>
      <c r="F29" s="39"/>
      <c r="G29" s="39"/>
      <c r="H29" s="60"/>
      <c r="I29" s="40"/>
      <c r="J29" s="39"/>
      <c r="K29" s="39"/>
      <c r="L29" s="40"/>
      <c r="M29" s="39"/>
      <c r="N29" s="39"/>
      <c r="O29" s="40"/>
      <c r="P29" s="39"/>
      <c r="Q29" s="39"/>
      <c r="R29" s="40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9"/>
      <c r="B30" s="39"/>
      <c r="C30" s="39"/>
      <c r="D30" s="39"/>
      <c r="E30" s="39"/>
      <c r="F30" s="39"/>
      <c r="G30" s="39"/>
      <c r="H30" s="39"/>
      <c r="I30" s="40"/>
      <c r="J30" s="39"/>
      <c r="K30" s="39"/>
      <c r="L30" s="40"/>
      <c r="M30" s="39"/>
      <c r="N30" s="39"/>
      <c r="O30" s="40"/>
      <c r="P30" s="39"/>
      <c r="Q30" s="39"/>
      <c r="R30" s="40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9"/>
      <c r="B31" s="39"/>
      <c r="C31" s="39"/>
      <c r="D31" s="39"/>
      <c r="E31" s="39"/>
      <c r="F31" s="39"/>
      <c r="G31" s="39"/>
      <c r="H31" s="39"/>
      <c r="I31" s="40"/>
      <c r="J31" s="39"/>
      <c r="K31" s="39"/>
      <c r="L31" s="40"/>
      <c r="M31" s="39"/>
      <c r="N31" s="39"/>
      <c r="O31" s="40"/>
      <c r="P31" s="39"/>
      <c r="Q31" s="39"/>
      <c r="R31" s="40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9"/>
      <c r="B32" s="39"/>
      <c r="C32" s="39"/>
      <c r="D32" s="39"/>
      <c r="E32" s="39"/>
      <c r="F32" s="39"/>
      <c r="G32" s="39"/>
      <c r="H32" s="39"/>
      <c r="I32" s="40"/>
      <c r="J32" s="39"/>
      <c r="K32" s="39"/>
      <c r="L32" s="40"/>
      <c r="M32" s="39"/>
      <c r="N32" s="39"/>
      <c r="O32" s="40"/>
      <c r="P32" s="39"/>
      <c r="Q32" s="39"/>
      <c r="R32" s="40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9"/>
      <c r="B33" s="39"/>
      <c r="C33" s="39"/>
      <c r="D33" s="39"/>
      <c r="E33" s="39"/>
      <c r="F33" s="39"/>
      <c r="G33" s="39"/>
      <c r="H33" s="39"/>
      <c r="I33" s="40"/>
      <c r="J33" s="39"/>
      <c r="K33" s="39"/>
      <c r="L33" s="40"/>
      <c r="M33" s="39"/>
      <c r="N33" s="39"/>
      <c r="O33" s="40"/>
      <c r="P33" s="39"/>
      <c r="Q33" s="39"/>
      <c r="R33" s="40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9"/>
      <c r="B34" s="39"/>
      <c r="C34" s="39"/>
      <c r="D34" s="39"/>
      <c r="E34" s="39"/>
      <c r="F34" s="39"/>
      <c r="G34" s="39"/>
      <c r="H34" s="39"/>
      <c r="I34" s="40"/>
      <c r="J34" s="39"/>
      <c r="K34" s="39"/>
      <c r="L34" s="40"/>
      <c r="M34" s="39"/>
      <c r="N34" s="39"/>
      <c r="O34" s="40"/>
      <c r="P34" s="39"/>
      <c r="Q34" s="39"/>
      <c r="R34" s="40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9"/>
      <c r="B35" s="39"/>
      <c r="C35" s="39"/>
      <c r="D35" s="39"/>
      <c r="E35" s="39"/>
      <c r="F35" s="39"/>
      <c r="G35" s="39"/>
      <c r="H35" s="39"/>
      <c r="I35" s="40"/>
      <c r="J35" s="39"/>
      <c r="K35" s="39"/>
      <c r="L35" s="40"/>
      <c r="M35" s="39"/>
      <c r="N35" s="39"/>
      <c r="O35" s="40"/>
      <c r="P35" s="39"/>
      <c r="Q35" s="39"/>
      <c r="R35" s="40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9"/>
      <c r="B36" s="39"/>
      <c r="C36" s="39"/>
      <c r="D36" s="39"/>
      <c r="E36" s="39"/>
      <c r="F36" s="39"/>
      <c r="G36" s="39"/>
      <c r="H36" s="39"/>
      <c r="I36" s="40"/>
      <c r="J36" s="39"/>
      <c r="K36" s="39"/>
      <c r="L36" s="40"/>
      <c r="M36" s="39"/>
      <c r="N36" s="39"/>
      <c r="O36" s="40"/>
      <c r="P36" s="39"/>
      <c r="Q36" s="39"/>
      <c r="R36" s="40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9"/>
      <c r="B37" s="39"/>
      <c r="C37" s="39"/>
      <c r="D37" s="39"/>
      <c r="E37" s="39"/>
      <c r="F37" s="39"/>
      <c r="G37" s="39"/>
      <c r="H37" s="39"/>
      <c r="I37" s="40"/>
      <c r="J37" s="39"/>
      <c r="K37" s="39"/>
      <c r="L37" s="40"/>
      <c r="M37" s="39"/>
      <c r="N37" s="39"/>
      <c r="O37" s="40"/>
      <c r="P37" s="39"/>
      <c r="Q37" s="39"/>
      <c r="R37" s="40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9"/>
      <c r="B38" s="39"/>
      <c r="C38" s="39"/>
      <c r="D38" s="39"/>
      <c r="E38" s="39"/>
      <c r="F38" s="39"/>
      <c r="G38" s="39"/>
      <c r="H38" s="39"/>
      <c r="I38" s="40"/>
      <c r="J38" s="39"/>
      <c r="K38" s="39"/>
      <c r="L38" s="40"/>
      <c r="M38" s="39"/>
      <c r="N38" s="39"/>
      <c r="O38" s="40"/>
      <c r="P38" s="39"/>
      <c r="Q38" s="39"/>
      <c r="R38" s="40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 spans="1:59" x14ac:dyDescent="0.3">
      <c r="A39" s="39"/>
      <c r="B39" s="39"/>
      <c r="C39" s="39"/>
      <c r="D39" s="39"/>
      <c r="E39" s="39"/>
      <c r="F39" s="39"/>
      <c r="G39" s="39"/>
      <c r="H39" s="39"/>
      <c r="I39" s="40"/>
      <c r="J39" s="39"/>
      <c r="K39" s="39"/>
      <c r="L39" s="40"/>
      <c r="M39" s="39"/>
      <c r="N39" s="39"/>
      <c r="O39" s="40"/>
      <c r="P39" s="39"/>
      <c r="Q39" s="39"/>
      <c r="R39" s="40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 spans="1:59" x14ac:dyDescent="0.3">
      <c r="A40" s="39"/>
      <c r="B40" s="39"/>
      <c r="C40" s="39"/>
      <c r="D40" s="39"/>
      <c r="E40" s="39"/>
      <c r="F40" s="39"/>
      <c r="G40" s="39"/>
      <c r="H40" s="39"/>
      <c r="I40" s="40"/>
      <c r="J40" s="39"/>
      <c r="K40" s="39"/>
      <c r="L40" s="40"/>
      <c r="M40" s="39"/>
      <c r="N40" s="39"/>
      <c r="O40" s="40"/>
      <c r="P40" s="39"/>
      <c r="Q40" s="39"/>
      <c r="R40" s="40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 spans="1:59" x14ac:dyDescent="0.3">
      <c r="A41" s="39"/>
      <c r="B41" s="39"/>
      <c r="C41" s="39"/>
      <c r="D41" s="39"/>
      <c r="E41" s="39"/>
      <c r="F41" s="39"/>
      <c r="G41" s="39"/>
      <c r="H41" s="39"/>
      <c r="I41" s="40"/>
      <c r="J41" s="39"/>
      <c r="K41" s="39"/>
      <c r="L41" s="40"/>
      <c r="M41" s="39"/>
      <c r="N41" s="39"/>
      <c r="O41" s="40"/>
      <c r="P41" s="39"/>
      <c r="Q41" s="39"/>
      <c r="R41" s="40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 spans="1:59" x14ac:dyDescent="0.3">
      <c r="A42" s="39"/>
      <c r="B42" s="39"/>
      <c r="C42" s="39"/>
      <c r="D42" s="39"/>
      <c r="E42" s="39"/>
      <c r="F42" s="39"/>
      <c r="G42" s="39"/>
      <c r="H42" s="39"/>
      <c r="I42" s="40"/>
      <c r="J42" s="39"/>
      <c r="K42" s="39"/>
      <c r="L42" s="40"/>
      <c r="M42" s="39"/>
      <c r="N42" s="39"/>
      <c r="O42" s="40"/>
      <c r="P42" s="39"/>
      <c r="Q42" s="39"/>
      <c r="R42" s="40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 spans="1:59" x14ac:dyDescent="0.3">
      <c r="A43" s="39"/>
      <c r="B43" s="39"/>
      <c r="C43" s="39"/>
      <c r="D43" s="39"/>
      <c r="E43" s="39"/>
      <c r="F43" s="39"/>
      <c r="G43" s="39"/>
      <c r="H43" s="39"/>
      <c r="I43" s="40"/>
      <c r="J43" s="39"/>
      <c r="K43" s="39"/>
      <c r="L43" s="40"/>
      <c r="M43" s="39"/>
      <c r="N43" s="39"/>
      <c r="O43" s="40"/>
      <c r="P43" s="39"/>
      <c r="Q43" s="39"/>
      <c r="R43" s="40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 spans="1:59" x14ac:dyDescent="0.3">
      <c r="A44" s="39"/>
      <c r="B44" s="39"/>
      <c r="C44" s="39"/>
      <c r="D44" s="39"/>
      <c r="E44" s="39"/>
      <c r="F44" s="39"/>
      <c r="G44" s="39"/>
      <c r="H44" s="39"/>
      <c r="I44" s="40"/>
      <c r="J44" s="39"/>
      <c r="K44" s="39"/>
      <c r="L44" s="40"/>
      <c r="M44" s="39"/>
      <c r="N44" s="39"/>
      <c r="O44" s="40"/>
      <c r="P44" s="39"/>
      <c r="Q44" s="39"/>
      <c r="R44" s="40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 spans="1:59" x14ac:dyDescent="0.3">
      <c r="A45" s="39"/>
      <c r="B45" s="39"/>
      <c r="C45" s="39"/>
      <c r="D45" s="39"/>
      <c r="E45" s="39"/>
      <c r="F45" s="39"/>
      <c r="G45" s="39"/>
      <c r="H45" s="39"/>
      <c r="I45" s="40"/>
      <c r="J45" s="39"/>
      <c r="K45" s="39"/>
      <c r="L45" s="40"/>
      <c r="M45" s="39"/>
      <c r="N45" s="39"/>
      <c r="O45" s="40"/>
      <c r="P45" s="39"/>
      <c r="Q45" s="39"/>
      <c r="R45" s="40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 spans="1:59" x14ac:dyDescent="0.3">
      <c r="A46" s="39"/>
      <c r="B46" s="39"/>
      <c r="C46" s="39"/>
      <c r="D46" s="39"/>
      <c r="E46" s="39"/>
      <c r="F46" s="39"/>
      <c r="G46" s="39"/>
      <c r="H46" s="39"/>
      <c r="I46" s="40"/>
      <c r="J46" s="39"/>
      <c r="K46" s="39"/>
      <c r="L46" s="40"/>
      <c r="M46" s="39"/>
      <c r="N46" s="39"/>
      <c r="O46" s="40"/>
      <c r="P46" s="39"/>
      <c r="Q46" s="39"/>
      <c r="R46" s="40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 spans="1:59" x14ac:dyDescent="0.3">
      <c r="A47" s="39"/>
      <c r="B47" s="39"/>
      <c r="C47" s="39"/>
      <c r="D47" s="39"/>
      <c r="E47" s="39"/>
      <c r="F47" s="39"/>
      <c r="G47" s="39"/>
      <c r="H47" s="39"/>
      <c r="I47" s="40"/>
      <c r="J47" s="39"/>
      <c r="K47" s="39"/>
      <c r="L47" s="40"/>
      <c r="M47" s="39"/>
      <c r="N47" s="39"/>
      <c r="O47" s="40"/>
      <c r="P47" s="39"/>
      <c r="Q47" s="39"/>
      <c r="R47" s="40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 spans="1:59" x14ac:dyDescent="0.3">
      <c r="A48" s="39"/>
      <c r="B48" s="39"/>
      <c r="C48" s="39"/>
      <c r="D48" s="39"/>
      <c r="E48" s="39"/>
      <c r="F48" s="39"/>
      <c r="G48" s="39"/>
      <c r="H48" s="39"/>
      <c r="I48" s="40"/>
      <c r="J48" s="39"/>
      <c r="K48" s="39"/>
      <c r="L48" s="40"/>
      <c r="M48" s="39"/>
      <c r="N48" s="39"/>
      <c r="O48" s="40"/>
      <c r="P48" s="39"/>
      <c r="Q48" s="39"/>
      <c r="R48" s="40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 spans="1:34" x14ac:dyDescent="0.3">
      <c r="A49" s="39"/>
      <c r="B49" s="39"/>
      <c r="C49" s="39"/>
      <c r="D49" s="39"/>
      <c r="E49" s="39"/>
      <c r="F49" s="39"/>
      <c r="G49" s="39"/>
      <c r="H49" s="39"/>
      <c r="I49" s="40"/>
      <c r="J49" s="39"/>
      <c r="K49" s="39"/>
      <c r="L49" s="40"/>
      <c r="M49" s="39"/>
      <c r="N49" s="39"/>
      <c r="O49" s="40"/>
      <c r="P49" s="39"/>
      <c r="Q49" s="39"/>
      <c r="R49" s="40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</sheetData>
  <sheetProtection algorithmName="SHA-512" hashValue="YDPQHxpX1UDxIS8Op7EsBeMeTXiUEayl1m2qLeroQycaCBur7rBuD08OB5NlP7OLGXmoD9NxNdA7ySNKVJNqZA==" saltValue="qHtxd7T8CJ+BXnNiZd5eUA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674" activePane="bottomLeft" state="frozen"/>
      <selection pane="bottomLeft" activeCell="AN701" sqref="AN701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35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1169</v>
      </c>
      <c r="B1" t="s">
        <v>7</v>
      </c>
      <c r="C1" s="1" t="s">
        <v>1170</v>
      </c>
      <c r="D1" s="1" t="s">
        <v>1171</v>
      </c>
      <c r="E1" s="1" t="s">
        <v>1172</v>
      </c>
      <c r="F1" s="1" t="s">
        <v>1173</v>
      </c>
      <c r="G1" t="s">
        <v>8</v>
      </c>
      <c r="H1" s="1" t="s">
        <v>1174</v>
      </c>
      <c r="I1" s="1" t="s">
        <v>1175</v>
      </c>
      <c r="J1" s="1" t="s">
        <v>1176</v>
      </c>
      <c r="K1" s="1" t="s">
        <v>1177</v>
      </c>
      <c r="L1" t="s">
        <v>6</v>
      </c>
      <c r="M1" s="1" t="s">
        <v>1178</v>
      </c>
      <c r="N1" s="1" t="s">
        <v>1179</v>
      </c>
      <c r="O1" s="1" t="s">
        <v>1180</v>
      </c>
      <c r="P1" s="1" t="s">
        <v>1181</v>
      </c>
      <c r="Q1" t="s">
        <v>1182</v>
      </c>
      <c r="R1" s="1" t="s">
        <v>1183</v>
      </c>
      <c r="S1" s="1" t="s">
        <v>1184</v>
      </c>
      <c r="T1" s="1" t="s">
        <v>1185</v>
      </c>
      <c r="U1" s="1" t="s">
        <v>1186</v>
      </c>
      <c r="V1" t="s">
        <v>1187</v>
      </c>
      <c r="W1" s="1" t="s">
        <v>1188</v>
      </c>
      <c r="X1" s="1" t="s">
        <v>1189</v>
      </c>
      <c r="Y1" s="1" t="s">
        <v>1190</v>
      </c>
      <c r="Z1" s="1" t="s">
        <v>1191</v>
      </c>
      <c r="AA1" t="s">
        <v>9</v>
      </c>
      <c r="AB1" s="1" t="s">
        <v>1192</v>
      </c>
      <c r="AC1" s="1" t="s">
        <v>1193</v>
      </c>
      <c r="AD1" s="1" t="s">
        <v>1194</v>
      </c>
      <c r="AE1" s="1" t="s">
        <v>1195</v>
      </c>
      <c r="AF1" t="s">
        <v>1196</v>
      </c>
      <c r="AG1" s="1" t="s">
        <v>1197</v>
      </c>
      <c r="AH1" s="1" t="s">
        <v>1198</v>
      </c>
      <c r="AI1" s="1" t="s">
        <v>1199</v>
      </c>
      <c r="AJ1" s="1" t="s">
        <v>1200</v>
      </c>
      <c r="AL1" s="2" t="s">
        <v>1201</v>
      </c>
      <c r="AN1" t="s">
        <v>1202</v>
      </c>
      <c r="AO1" t="s">
        <v>1203</v>
      </c>
      <c r="AP1" s="2" t="s">
        <v>1204</v>
      </c>
      <c r="AQ1" t="s">
        <v>1205</v>
      </c>
      <c r="AS1" t="s">
        <v>1206</v>
      </c>
      <c r="AT1" t="s">
        <v>1207</v>
      </c>
      <c r="AU1" s="35" t="s">
        <v>1208</v>
      </c>
      <c r="AV1" s="35"/>
      <c r="AW1" s="35"/>
      <c r="AX1" s="35"/>
    </row>
    <row r="2" spans="1:50" x14ac:dyDescent="0.3">
      <c r="A2" t="s">
        <v>54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55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56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57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58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59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60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61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62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63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64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65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66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67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68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69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70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71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72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73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74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59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75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76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77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78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79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67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80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81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82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83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84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85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86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87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88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89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90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91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92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93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94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95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96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97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98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99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100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101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102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85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103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104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105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106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107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108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109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110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111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112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113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114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115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116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117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118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119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120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121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122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123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65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124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125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126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81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127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69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128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85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129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122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130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131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132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69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133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67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134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101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135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67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136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137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138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139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140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76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141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93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142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143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144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101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145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122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146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83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147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65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148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67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149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63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150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125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151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97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152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153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154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155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156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157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158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76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159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160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161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153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162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99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163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89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164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81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165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99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166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71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167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168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169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170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171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172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173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174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175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176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177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114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178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179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180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106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181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176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182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106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183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184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185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186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187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67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188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85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189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69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190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106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191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87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192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170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193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155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194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101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195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196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197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71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198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122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199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200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201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122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202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87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203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204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205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71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206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63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207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97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208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204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209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210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211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212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213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204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214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215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216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160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217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218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219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85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220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114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221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85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222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81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223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224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225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226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227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228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229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230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231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176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232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83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233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93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234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155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53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155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235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236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237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238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239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240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241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242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243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61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244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218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245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116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246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247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248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218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249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65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250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63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251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252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253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179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254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76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255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176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256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257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258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67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259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87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260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76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261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218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262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57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263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264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265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266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267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69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268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65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269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114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270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97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271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97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272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69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273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55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274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275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276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218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277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176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278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279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280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85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281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282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283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112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284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101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285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204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286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57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287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288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289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160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290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83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291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67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292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224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293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294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295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296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297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101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298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299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300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264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301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302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303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304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305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61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306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307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308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83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309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114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310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170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311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238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312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122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313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87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314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97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315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316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317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318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319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89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320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155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321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71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322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176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323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324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325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99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326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61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327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97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328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236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329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186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330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95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331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238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332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63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333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89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334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67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335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336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337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95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338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93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339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176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340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91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341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342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343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106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344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176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345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87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346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238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347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238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348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116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349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116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350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351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352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71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353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354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355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87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356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95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357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57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358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71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359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160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360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186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361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95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362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363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364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365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366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367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368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93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369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370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371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91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372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170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373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57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374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91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375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71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376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377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378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170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379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380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381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89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382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89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383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384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385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99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386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116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387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116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388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71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389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390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391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106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392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393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394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76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395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114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396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380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397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398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399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71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400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97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401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204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402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101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403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218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404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405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406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407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408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170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409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97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410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411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412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186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413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91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414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415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416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417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418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419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420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421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422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423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424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160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425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97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426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427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428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63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429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63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430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87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431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106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432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433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434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435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436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437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438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122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439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218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440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97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441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122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442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99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443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91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444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83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445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122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446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57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447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380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448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95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449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450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451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380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452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160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453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454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455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456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457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76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458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63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459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170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460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116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461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462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463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464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465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61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466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160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467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106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468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469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470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471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472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122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473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160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474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160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475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204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476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106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477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118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478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228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479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377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480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481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482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89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483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61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484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485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486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61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487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488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489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186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490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69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491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492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493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93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494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495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496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204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497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238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498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71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499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95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500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57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501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101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502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65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503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504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505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71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506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83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507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65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508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238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509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93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510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511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512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186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513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89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514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515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516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83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517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99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518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519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520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85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521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469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522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523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524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525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526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527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528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155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529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530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531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122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532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71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533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85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534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238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535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536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537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538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539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540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541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170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542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81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543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63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544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114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545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114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546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547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548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186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549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91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550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551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552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553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554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106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555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556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557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558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559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560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561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562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563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564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565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76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566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81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567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69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568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155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569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570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571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572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573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97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574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170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575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576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577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99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578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55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579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580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581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582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583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204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584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380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585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67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586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587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588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81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589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63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590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57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591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67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592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95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593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71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594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456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595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67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596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380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597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170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598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599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600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179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601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602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603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367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604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57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605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99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606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95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607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81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608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106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609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610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611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612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613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89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614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61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615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160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616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204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617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69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618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218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619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218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620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621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622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623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624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625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626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627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628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63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629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69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630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61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631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632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633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634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635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69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636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637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638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639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640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186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641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186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642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97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643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644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645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116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646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116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647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76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648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114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649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176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650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106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651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172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652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116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653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654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655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81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656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85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657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87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658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659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660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114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661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155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662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153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663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664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665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116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666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76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667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112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668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85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669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91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670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155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671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238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672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204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673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122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674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186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675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155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676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65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677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67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678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61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679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61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680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95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681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682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683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99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684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76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685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380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686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687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688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689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690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95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691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644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692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693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694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83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695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114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696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87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697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698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699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67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700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701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702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87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703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704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705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639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706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707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708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186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709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218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710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93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711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170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712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170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713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93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714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95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715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204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716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89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717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97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718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238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719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720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721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218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722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106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723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724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725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726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727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168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728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87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729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69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730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97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731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101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732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89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733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106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734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170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735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160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736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170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737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85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738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67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739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740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741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204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742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743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744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95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745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746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747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97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748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106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749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750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751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71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752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76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753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754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755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756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757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170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758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83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759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760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761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101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762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116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763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155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764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69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765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170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766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767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768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63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769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654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770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771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772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116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773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176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774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659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775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83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776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380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777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160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778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99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779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780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781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122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782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61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783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186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784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89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785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786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787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176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788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155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789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71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790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65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791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218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792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793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794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99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795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796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797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155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798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174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799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380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800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801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802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71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803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238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804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57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805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204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806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218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807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71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808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97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809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155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810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83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811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812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813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224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814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238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815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67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816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218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817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488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818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63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819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63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820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122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821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76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822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81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823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370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824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825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826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83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827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91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828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95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829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830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831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218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832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73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833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834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835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97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836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69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837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57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838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839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840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841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842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87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843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844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845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380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846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847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848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186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849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116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850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743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851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76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852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87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853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118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854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855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856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101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857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97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858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97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859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363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860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93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861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76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862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236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863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864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865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116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866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61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867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89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868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869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870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95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871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122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872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160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873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572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874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875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876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623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877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266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878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71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879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95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880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85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881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882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883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884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885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886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887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160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888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160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889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238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890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71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891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57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892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67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893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894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895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896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897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898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899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342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900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63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901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137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902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903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904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99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905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93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906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230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907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174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908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101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909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71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910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911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912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186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913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238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914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564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915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61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916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176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917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218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918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83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919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114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920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921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922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101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923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63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924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69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925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304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926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377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927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296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928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91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929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99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930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97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931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176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932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91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933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204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934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176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935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936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937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87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938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218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939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85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940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160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941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155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942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85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943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67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944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450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945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946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947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87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948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76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949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65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950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623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951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155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952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67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953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81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954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35" t="s">
        <v>95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955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35" t="s">
        <v>93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956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35" t="s">
        <v>57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957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35" t="s">
        <v>63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958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35" t="s">
        <v>959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960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35" t="s">
        <v>63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961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35" t="s">
        <v>97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962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35" t="s">
        <v>76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963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35" t="s">
        <v>85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964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35" t="s">
        <v>236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965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35" t="s">
        <v>81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966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35" t="s">
        <v>186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967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35" t="s">
        <v>170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968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35" t="s">
        <v>91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969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35" t="s">
        <v>65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970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35" t="s">
        <v>59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971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35" t="s">
        <v>639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972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35" t="s">
        <v>973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974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35" t="s">
        <v>106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975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35" t="s">
        <v>65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976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35" t="s">
        <v>114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977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35" t="s">
        <v>65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978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35" t="s">
        <v>979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980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35" t="s">
        <v>87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981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35" t="s">
        <v>238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982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35" t="s">
        <v>983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984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35" t="s">
        <v>218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985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35" t="s">
        <v>659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986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35" t="s">
        <v>176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987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35" t="s">
        <v>114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988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35" t="s">
        <v>91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989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35" t="s">
        <v>69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990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35" t="s">
        <v>65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991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35" t="s">
        <v>87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992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35" t="s">
        <v>186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993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35" t="s">
        <v>994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995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35" t="s">
        <v>996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997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35" t="s">
        <v>99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998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35" t="s">
        <v>999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1000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35" t="s">
        <v>106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1001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35" t="s">
        <v>204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1002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35" t="s">
        <v>238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1003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35" t="s">
        <v>101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1004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35" t="s">
        <v>659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1005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35" t="s">
        <v>91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1006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35" t="s">
        <v>1007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1008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35" t="s">
        <v>106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1009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35" t="s">
        <v>95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1010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35" t="s">
        <v>83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1011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35" t="s">
        <v>1012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1013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35" t="s">
        <v>106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1014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35" t="s">
        <v>67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1015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35" t="s">
        <v>67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645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35" t="s">
        <v>106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1016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35" t="s">
        <v>380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1017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35" t="s">
        <v>1018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1019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35" t="s">
        <v>170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1020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35" t="s">
        <v>61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1021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35" t="s">
        <v>76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1022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35" t="s">
        <v>95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1023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35" t="s">
        <v>97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1024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35" t="s">
        <v>93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1025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35" t="s">
        <v>93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1026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35" t="s">
        <v>67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1027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35" t="s">
        <v>1028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1029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35" t="s">
        <v>99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1030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35" t="s">
        <v>304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1031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35" t="s">
        <v>1032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1033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35" t="s">
        <v>186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1034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35" t="s">
        <v>85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1035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35" t="s">
        <v>1036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1037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35" t="s">
        <v>114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1038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35" t="s">
        <v>884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1039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35" t="s">
        <v>114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1040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35" t="s">
        <v>946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1041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35" t="s">
        <v>839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1042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35" t="s">
        <v>81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1043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35" t="s">
        <v>1044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1045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35" t="s">
        <v>122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1046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35" t="s">
        <v>89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1047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35" t="s">
        <v>218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1048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35" t="s">
        <v>1049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1050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35" t="s">
        <v>122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1051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35" t="s">
        <v>89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1052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35" t="s">
        <v>87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1053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35" t="s">
        <v>101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1054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35" t="s">
        <v>81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1055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35" t="s">
        <v>97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1056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35" t="s">
        <v>170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1057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35" t="s">
        <v>106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loKagiITfHnientfMqVmoiPyhQt9583+O7h2hvIqcw/L8ep5mtw82XW6q6FfnsmxIEwK8wVxU3zN5EnJnHpSqw==" saltValue="UuaBbkHB9Zo6gAOTP+GCMQ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topLeftCell="A70" workbookViewId="0">
      <selection activeCell="A2" sqref="A2:V88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tr">
        <f>'[1]G On Ice'!B1</f>
        <v>Player</v>
      </c>
      <c r="B1" t="str">
        <f>'[1]G On Ice'!C1</f>
        <v>Team</v>
      </c>
      <c r="C1" t="str">
        <f>'[1]G On Ice'!E1</f>
        <v>GP</v>
      </c>
      <c r="D1" t="str">
        <f>'[1]G On Ice'!U1</f>
        <v>xGA/60</v>
      </c>
      <c r="E1" t="str">
        <f>'[1]G On Ice'!R1</f>
        <v>GA/60</v>
      </c>
      <c r="G1" t="e">
        <f>D1-E1</f>
        <v>#VALUE!</v>
      </c>
      <c r="H1" s="1" t="e">
        <f>_xlfn.RANK.EQ(V1,$V$2:$V$100,)/COUNT($V$2:$V$100)</f>
        <v>#VALUE!</v>
      </c>
      <c r="I1" t="e">
        <f>RANK(H1,$H$2:$H$100)</f>
        <v>#VALUE!</v>
      </c>
      <c r="K1" s="1" t="e">
        <f>_xlfn.RANK.EQ(D1,$D$2:$D$100,1)/COUNT($D$2:$D$100)</f>
        <v>#VALUE!</v>
      </c>
      <c r="L1" t="e">
        <f>RANK(K1,$K$2:$K$100)</f>
        <v>#VALUE!</v>
      </c>
      <c r="N1" s="1" t="e">
        <f>_xlfn.RANK.EQ(E1,$E$2:$E$100,0)/COUNT($E$2:$E$100)</f>
        <v>#VALUE!</v>
      </c>
      <c r="O1" t="e">
        <f>RANK(N1,$N$2:$N$100)</f>
        <v>#VALUE!</v>
      </c>
      <c r="Q1" s="1" t="e">
        <f>_xlfn.RANK.EQ(C1,$C$2:$C$100,1)/COUNT($C$2:$C$100)</f>
        <v>#VALUE!</v>
      </c>
      <c r="S1" t="str">
        <f>'[1]G On Ice'!AG1</f>
        <v>On-Ice SV%</v>
      </c>
      <c r="T1" t="e">
        <f>RANK(S1,$S$2:$S$100)</f>
        <v>#VALUE!</v>
      </c>
      <c r="U1" t="e">
        <f>RANK(G1,$G$2:$G$100)</f>
        <v>#VALUE!</v>
      </c>
      <c r="V1" t="e">
        <f>SUM(T1:U1)</f>
        <v>#VALUE!</v>
      </c>
      <c r="W1" s="35"/>
      <c r="X1" s="35"/>
      <c r="Y1" s="35"/>
    </row>
    <row r="2" spans="1:25" x14ac:dyDescent="0.3">
      <c r="A2" t="s">
        <v>1058</v>
      </c>
      <c r="B2" t="s">
        <v>1059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1060</v>
      </c>
      <c r="B3" t="s">
        <v>1061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1062</v>
      </c>
      <c r="B4" t="s">
        <v>238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1063</v>
      </c>
      <c r="B5" t="s">
        <v>1064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1065</v>
      </c>
      <c r="B6" t="s">
        <v>57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1066</v>
      </c>
      <c r="B7" t="s">
        <v>1067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1068</v>
      </c>
      <c r="B8" t="s">
        <v>1069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1070</v>
      </c>
      <c r="B9" t="s">
        <v>81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1071</v>
      </c>
      <c r="B10" t="s">
        <v>61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1072</v>
      </c>
      <c r="B11" t="s">
        <v>76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1073</v>
      </c>
      <c r="B12" t="s">
        <v>116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1074</v>
      </c>
      <c r="B13" t="s">
        <v>380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1075</v>
      </c>
      <c r="B14" t="s">
        <v>95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1076</v>
      </c>
      <c r="B15" t="s">
        <v>81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1077</v>
      </c>
      <c r="B16" t="s">
        <v>67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1078</v>
      </c>
      <c r="B17" t="s">
        <v>1079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1080</v>
      </c>
      <c r="B18" t="s">
        <v>186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1081</v>
      </c>
      <c r="B19" t="s">
        <v>176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1082</v>
      </c>
      <c r="B20" t="s">
        <v>1083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1084</v>
      </c>
      <c r="B21" t="s">
        <v>89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1085</v>
      </c>
      <c r="B22" t="s">
        <v>336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1086</v>
      </c>
      <c r="B23" t="s">
        <v>63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1087</v>
      </c>
      <c r="B24" t="s">
        <v>1088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1089</v>
      </c>
      <c r="B25" t="s">
        <v>87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1090</v>
      </c>
      <c r="B26" t="s">
        <v>65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1091</v>
      </c>
      <c r="B27" t="s">
        <v>97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1092</v>
      </c>
      <c r="B28" t="s">
        <v>435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1093</v>
      </c>
      <c r="B29" t="s">
        <v>1094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1095</v>
      </c>
      <c r="B30" t="s">
        <v>1096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1097</v>
      </c>
      <c r="B31" t="s">
        <v>97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1098</v>
      </c>
      <c r="B32" t="s">
        <v>1099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1100</v>
      </c>
      <c r="B33" t="s">
        <v>93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1101</v>
      </c>
      <c r="B34" t="s">
        <v>186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1102</v>
      </c>
      <c r="B35" t="s">
        <v>1079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1103</v>
      </c>
      <c r="B36" t="s">
        <v>116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1104</v>
      </c>
      <c r="B37" t="s">
        <v>101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1105</v>
      </c>
      <c r="B38" t="s">
        <v>994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1106</v>
      </c>
      <c r="B39" t="s">
        <v>106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1107</v>
      </c>
      <c r="B40" t="s">
        <v>1108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1109</v>
      </c>
      <c r="B41" t="s">
        <v>65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1110</v>
      </c>
      <c r="B42" t="s">
        <v>71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1111</v>
      </c>
      <c r="B43" t="s">
        <v>95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1112</v>
      </c>
      <c r="B44" t="s">
        <v>91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1113</v>
      </c>
      <c r="B45" t="s">
        <v>704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1114</v>
      </c>
      <c r="B46" t="s">
        <v>155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1115</v>
      </c>
      <c r="B47" t="s">
        <v>61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1116</v>
      </c>
      <c r="B48" t="s">
        <v>1117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1118</v>
      </c>
      <c r="B49" t="s">
        <v>1119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1120</v>
      </c>
      <c r="B50" t="s">
        <v>1049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1121</v>
      </c>
      <c r="B51" t="s">
        <v>99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1122</v>
      </c>
      <c r="B52" t="s">
        <v>204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1123</v>
      </c>
      <c r="B53" t="s">
        <v>855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1124</v>
      </c>
      <c r="B54" t="s">
        <v>122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1125</v>
      </c>
      <c r="B55" t="s">
        <v>1126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1127</v>
      </c>
      <c r="B56" t="s">
        <v>170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1128</v>
      </c>
      <c r="B57" t="s">
        <v>155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1129</v>
      </c>
      <c r="B58" t="s">
        <v>170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1130</v>
      </c>
      <c r="B59" t="s">
        <v>61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1131</v>
      </c>
      <c r="B60" t="s">
        <v>238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1132</v>
      </c>
      <c r="B61" t="s">
        <v>76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1133</v>
      </c>
      <c r="B62" t="s">
        <v>1134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1135</v>
      </c>
      <c r="B63" t="s">
        <v>1136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1137</v>
      </c>
      <c r="B64" t="s">
        <v>1138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52</v>
      </c>
      <c r="B65" t="s">
        <v>1044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1139</v>
      </c>
      <c r="B66" t="s">
        <v>1140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1141</v>
      </c>
      <c r="B67" t="s">
        <v>218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1142</v>
      </c>
      <c r="B68" t="s">
        <v>218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1143</v>
      </c>
      <c r="B69" t="s">
        <v>238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1144</v>
      </c>
      <c r="B70" t="s">
        <v>83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1145</v>
      </c>
      <c r="B71" t="s">
        <v>363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1146</v>
      </c>
      <c r="B72" t="s">
        <v>1147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1148</v>
      </c>
      <c r="B73" t="s">
        <v>89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1149</v>
      </c>
      <c r="B74" t="s">
        <v>116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1150</v>
      </c>
      <c r="B75" t="s">
        <v>170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1151</v>
      </c>
      <c r="B76" t="s">
        <v>71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1152</v>
      </c>
      <c r="B77" t="s">
        <v>1153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1154</v>
      </c>
      <c r="B78" t="s">
        <v>106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1155</v>
      </c>
      <c r="B79" t="s">
        <v>69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1156</v>
      </c>
      <c r="B80" t="s">
        <v>69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1157</v>
      </c>
      <c r="B81" t="s">
        <v>114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1158</v>
      </c>
      <c r="B82" t="s">
        <v>218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1159</v>
      </c>
      <c r="B83" t="s">
        <v>114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1160</v>
      </c>
      <c r="B84" t="s">
        <v>236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1161</v>
      </c>
      <c r="B85" t="s">
        <v>176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1162</v>
      </c>
      <c r="B86" t="s">
        <v>87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1163</v>
      </c>
      <c r="B87" t="s">
        <v>236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1164</v>
      </c>
      <c r="B88" t="s">
        <v>1165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sWSG1QTTxopBZ/aGv9qVJQxk0yldG2PLS0GRGZWdukT/eR1jNMeBiYBL5YCHB2o26YQi8tbJDSi4PgeX+wUCpA==" saltValue="GlINAWJ+WpcWqj2RjnOIE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2023-06-12T15:01:46Z</dcterms:modified>
</cp:coreProperties>
</file>