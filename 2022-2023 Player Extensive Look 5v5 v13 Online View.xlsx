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6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codyh\Desktop\Hockey Stats\Current\2023 Season\Player\"/>
    </mc:Choice>
  </mc:AlternateContent>
  <xr:revisionPtr revIDLastSave="0" documentId="13_ncr:1_{458C623A-C593-4ECE-A2EC-28866A5E583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Player Cards" sheetId="15" r:id="rId1"/>
    <sheet name="Goalie Card" sheetId="19" r:id="rId2"/>
    <sheet name="Ranks for Cards and Graph" sheetId="14" r:id="rId3"/>
    <sheet name="G Ranks" sheetId="17" r:id="rId4"/>
  </sheets>
  <externalReferences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U459" i="14" l="1"/>
  <c r="AT459" i="14"/>
  <c r="AQ459" i="14"/>
  <c r="AP459" i="14"/>
  <c r="AO459" i="14"/>
  <c r="AN459" i="14"/>
  <c r="AL459" i="14"/>
  <c r="AJ459" i="14"/>
  <c r="AI459" i="14"/>
  <c r="AH459" i="14"/>
  <c r="AG459" i="14"/>
  <c r="AF459" i="14"/>
  <c r="AE459" i="14"/>
  <c r="AD459" i="14"/>
  <c r="AC459" i="14"/>
  <c r="AB459" i="14"/>
  <c r="AA459" i="14"/>
  <c r="Z459" i="14"/>
  <c r="Y459" i="14"/>
  <c r="X459" i="14"/>
  <c r="W459" i="14"/>
  <c r="V459" i="14"/>
  <c r="U459" i="14"/>
  <c r="T459" i="14"/>
  <c r="S459" i="14"/>
  <c r="R459" i="14"/>
  <c r="Q459" i="14"/>
  <c r="P459" i="14"/>
  <c r="O459" i="14"/>
  <c r="N459" i="14"/>
  <c r="M459" i="14"/>
  <c r="L459" i="14"/>
  <c r="K459" i="14"/>
  <c r="J459" i="14"/>
  <c r="I459" i="14"/>
  <c r="H459" i="14"/>
  <c r="G459" i="14"/>
  <c r="F459" i="14"/>
  <c r="E459" i="14"/>
  <c r="D459" i="14"/>
  <c r="C459" i="14"/>
  <c r="B459" i="14"/>
  <c r="A459" i="14"/>
  <c r="AU458" i="14"/>
  <c r="AT458" i="14"/>
  <c r="AQ458" i="14"/>
  <c r="AP458" i="14"/>
  <c r="AO458" i="14"/>
  <c r="AN458" i="14"/>
  <c r="AL458" i="14"/>
  <c r="AJ458" i="14"/>
  <c r="AI458" i="14"/>
  <c r="AH458" i="14"/>
  <c r="AG458" i="14"/>
  <c r="AF458" i="14"/>
  <c r="AE458" i="14"/>
  <c r="AD458" i="14"/>
  <c r="AC458" i="14"/>
  <c r="AB458" i="14"/>
  <c r="AA458" i="14"/>
  <c r="Z458" i="14"/>
  <c r="Y458" i="14"/>
  <c r="X458" i="14"/>
  <c r="W458" i="14"/>
  <c r="V458" i="14"/>
  <c r="U458" i="14"/>
  <c r="T458" i="14"/>
  <c r="S458" i="14"/>
  <c r="R458" i="14"/>
  <c r="Q458" i="14"/>
  <c r="P458" i="14"/>
  <c r="O458" i="14"/>
  <c r="N458" i="14"/>
  <c r="M458" i="14"/>
  <c r="L458" i="14"/>
  <c r="K458" i="14"/>
  <c r="J458" i="14"/>
  <c r="I458" i="14"/>
  <c r="H458" i="14"/>
  <c r="G458" i="14"/>
  <c r="F458" i="14"/>
  <c r="E458" i="14"/>
  <c r="D458" i="14"/>
  <c r="C458" i="14"/>
  <c r="B458" i="14"/>
  <c r="A458" i="14"/>
  <c r="AU457" i="14"/>
  <c r="AT457" i="14"/>
  <c r="AQ457" i="14"/>
  <c r="AP457" i="14"/>
  <c r="AO457" i="14"/>
  <c r="AN457" i="14"/>
  <c r="AL457" i="14"/>
  <c r="AJ457" i="14"/>
  <c r="AI457" i="14"/>
  <c r="AH457" i="14"/>
  <c r="AG457" i="14"/>
  <c r="AF457" i="14"/>
  <c r="AE457" i="14"/>
  <c r="AD457" i="14"/>
  <c r="AC457" i="14"/>
  <c r="AB457" i="14"/>
  <c r="AA457" i="14"/>
  <c r="Z457" i="14"/>
  <c r="Y457" i="14"/>
  <c r="X457" i="14"/>
  <c r="W457" i="14"/>
  <c r="V457" i="14"/>
  <c r="U457" i="14"/>
  <c r="T457" i="14"/>
  <c r="S457" i="14"/>
  <c r="R457" i="14"/>
  <c r="Q457" i="14"/>
  <c r="P457" i="14"/>
  <c r="O457" i="14"/>
  <c r="N457" i="14"/>
  <c r="M457" i="14"/>
  <c r="L457" i="14"/>
  <c r="K457" i="14"/>
  <c r="J457" i="14"/>
  <c r="I457" i="14"/>
  <c r="H457" i="14"/>
  <c r="G457" i="14"/>
  <c r="F457" i="14"/>
  <c r="E457" i="14"/>
  <c r="D457" i="14"/>
  <c r="C457" i="14"/>
  <c r="B457" i="14"/>
  <c r="A457" i="14"/>
  <c r="AU456" i="14"/>
  <c r="AT456" i="14"/>
  <c r="AQ456" i="14"/>
  <c r="AP456" i="14"/>
  <c r="AO456" i="14"/>
  <c r="AN456" i="14"/>
  <c r="AL456" i="14"/>
  <c r="AJ456" i="14"/>
  <c r="AI456" i="14"/>
  <c r="AH456" i="14"/>
  <c r="AG456" i="14"/>
  <c r="AF456" i="14"/>
  <c r="AE456" i="14"/>
  <c r="AD456" i="14"/>
  <c r="AC456" i="14"/>
  <c r="AB456" i="14"/>
  <c r="AA456" i="14"/>
  <c r="Z456" i="14"/>
  <c r="Y456" i="14"/>
  <c r="X456" i="14"/>
  <c r="W456" i="14"/>
  <c r="V456" i="14"/>
  <c r="U456" i="14"/>
  <c r="T456" i="14"/>
  <c r="S456" i="14"/>
  <c r="R456" i="14"/>
  <c r="Q456" i="14"/>
  <c r="P456" i="14"/>
  <c r="O456" i="14"/>
  <c r="N456" i="14"/>
  <c r="M456" i="14"/>
  <c r="L456" i="14"/>
  <c r="K456" i="14"/>
  <c r="J456" i="14"/>
  <c r="I456" i="14"/>
  <c r="H456" i="14"/>
  <c r="G456" i="14"/>
  <c r="F456" i="14"/>
  <c r="E456" i="14"/>
  <c r="D456" i="14"/>
  <c r="C456" i="14"/>
  <c r="B456" i="14"/>
  <c r="A456" i="14"/>
  <c r="AU455" i="14"/>
  <c r="AT455" i="14"/>
  <c r="AQ455" i="14"/>
  <c r="AP455" i="14"/>
  <c r="AO455" i="14"/>
  <c r="AN455" i="14"/>
  <c r="AL455" i="14"/>
  <c r="AJ455" i="14"/>
  <c r="AI455" i="14"/>
  <c r="AH455" i="14"/>
  <c r="AG455" i="14"/>
  <c r="AF455" i="14"/>
  <c r="AE455" i="14"/>
  <c r="AD455" i="14"/>
  <c r="AC455" i="14"/>
  <c r="AB455" i="14"/>
  <c r="AA455" i="14"/>
  <c r="Z455" i="14"/>
  <c r="Y455" i="14"/>
  <c r="X455" i="14"/>
  <c r="W455" i="14"/>
  <c r="V455" i="14"/>
  <c r="U455" i="14"/>
  <c r="T455" i="14"/>
  <c r="S455" i="14"/>
  <c r="R455" i="14"/>
  <c r="Q455" i="14"/>
  <c r="P455" i="14"/>
  <c r="O455" i="14"/>
  <c r="N455" i="14"/>
  <c r="M455" i="14"/>
  <c r="L455" i="14"/>
  <c r="K455" i="14"/>
  <c r="J455" i="14"/>
  <c r="I455" i="14"/>
  <c r="H455" i="14"/>
  <c r="G455" i="14"/>
  <c r="F455" i="14"/>
  <c r="E455" i="14"/>
  <c r="D455" i="14"/>
  <c r="C455" i="14"/>
  <c r="B455" i="14"/>
  <c r="A455" i="14"/>
  <c r="AU454" i="14"/>
  <c r="AT454" i="14"/>
  <c r="AQ454" i="14"/>
  <c r="AP454" i="14"/>
  <c r="AO454" i="14"/>
  <c r="AN454" i="14"/>
  <c r="AL454" i="14"/>
  <c r="AJ454" i="14"/>
  <c r="AI454" i="14"/>
  <c r="AH454" i="14"/>
  <c r="AG454" i="14"/>
  <c r="AF454" i="14"/>
  <c r="AE454" i="14"/>
  <c r="AD454" i="14"/>
  <c r="AC454" i="14"/>
  <c r="AB454" i="14"/>
  <c r="AA454" i="14"/>
  <c r="Z454" i="14"/>
  <c r="Y454" i="14"/>
  <c r="X454" i="14"/>
  <c r="W454" i="14"/>
  <c r="V454" i="14"/>
  <c r="U454" i="14"/>
  <c r="T454" i="14"/>
  <c r="S454" i="14"/>
  <c r="R454" i="14"/>
  <c r="Q454" i="14"/>
  <c r="P454" i="14"/>
  <c r="O454" i="14"/>
  <c r="N454" i="14"/>
  <c r="M454" i="14"/>
  <c r="L454" i="14"/>
  <c r="K454" i="14"/>
  <c r="J454" i="14"/>
  <c r="I454" i="14"/>
  <c r="H454" i="14"/>
  <c r="G454" i="14"/>
  <c r="F454" i="14"/>
  <c r="E454" i="14"/>
  <c r="D454" i="14"/>
  <c r="C454" i="14"/>
  <c r="B454" i="14"/>
  <c r="A454" i="14"/>
  <c r="AU453" i="14"/>
  <c r="AT453" i="14"/>
  <c r="AQ453" i="14"/>
  <c r="AP453" i="14"/>
  <c r="AO453" i="14"/>
  <c r="AN453" i="14"/>
  <c r="AL453" i="14"/>
  <c r="AJ453" i="14"/>
  <c r="AI453" i="14"/>
  <c r="AH453" i="14"/>
  <c r="AG453" i="14"/>
  <c r="AF453" i="14"/>
  <c r="AE453" i="14"/>
  <c r="AD453" i="14"/>
  <c r="AC453" i="14"/>
  <c r="AB453" i="14"/>
  <c r="AA453" i="14"/>
  <c r="Z453" i="14"/>
  <c r="Y453" i="14"/>
  <c r="X453" i="14"/>
  <c r="W453" i="14"/>
  <c r="V453" i="14"/>
  <c r="U453" i="14"/>
  <c r="T453" i="14"/>
  <c r="S453" i="14"/>
  <c r="R453" i="14"/>
  <c r="Q453" i="14"/>
  <c r="P453" i="14"/>
  <c r="O453" i="14"/>
  <c r="N453" i="14"/>
  <c r="M453" i="14"/>
  <c r="L453" i="14"/>
  <c r="K453" i="14"/>
  <c r="J453" i="14"/>
  <c r="I453" i="14"/>
  <c r="H453" i="14"/>
  <c r="G453" i="14"/>
  <c r="F453" i="14"/>
  <c r="E453" i="14"/>
  <c r="D453" i="14"/>
  <c r="C453" i="14"/>
  <c r="B453" i="14"/>
  <c r="A453" i="14"/>
  <c r="AU452" i="14"/>
  <c r="AT452" i="14"/>
  <c r="AQ452" i="14"/>
  <c r="AP452" i="14"/>
  <c r="AO452" i="14"/>
  <c r="AN452" i="14"/>
  <c r="AL452" i="14"/>
  <c r="AJ452" i="14"/>
  <c r="AI452" i="14"/>
  <c r="AH452" i="14"/>
  <c r="AG452" i="14"/>
  <c r="AF452" i="14"/>
  <c r="AE452" i="14"/>
  <c r="AD452" i="14"/>
  <c r="AC452" i="14"/>
  <c r="AB452" i="14"/>
  <c r="AA452" i="14"/>
  <c r="Z452" i="14"/>
  <c r="Y452" i="14"/>
  <c r="X452" i="14"/>
  <c r="W452" i="14"/>
  <c r="V452" i="14"/>
  <c r="U452" i="14"/>
  <c r="T452" i="14"/>
  <c r="S452" i="14"/>
  <c r="R452" i="14"/>
  <c r="Q452" i="14"/>
  <c r="P452" i="14"/>
  <c r="O452" i="14"/>
  <c r="N452" i="14"/>
  <c r="M452" i="14"/>
  <c r="L452" i="14"/>
  <c r="K452" i="14"/>
  <c r="J452" i="14"/>
  <c r="I452" i="14"/>
  <c r="H452" i="14"/>
  <c r="G452" i="14"/>
  <c r="F452" i="14"/>
  <c r="E452" i="14"/>
  <c r="D452" i="14"/>
  <c r="C452" i="14"/>
  <c r="B452" i="14"/>
  <c r="A452" i="14"/>
  <c r="AU451" i="14"/>
  <c r="AT451" i="14"/>
  <c r="AQ451" i="14"/>
  <c r="AP451" i="14"/>
  <c r="AO451" i="14"/>
  <c r="AN451" i="14"/>
  <c r="AL451" i="14"/>
  <c r="AJ451" i="14"/>
  <c r="AI451" i="14"/>
  <c r="AH451" i="14"/>
  <c r="AG451" i="14"/>
  <c r="AF451" i="14"/>
  <c r="AE451" i="14"/>
  <c r="AD451" i="14"/>
  <c r="AC451" i="14"/>
  <c r="AB451" i="14"/>
  <c r="AA451" i="14"/>
  <c r="Z451" i="14"/>
  <c r="Y451" i="14"/>
  <c r="X451" i="14"/>
  <c r="W451" i="14"/>
  <c r="V451" i="14"/>
  <c r="U451" i="14"/>
  <c r="T451" i="14"/>
  <c r="S451" i="14"/>
  <c r="R451" i="14"/>
  <c r="Q451" i="14"/>
  <c r="P451" i="14"/>
  <c r="O451" i="14"/>
  <c r="N451" i="14"/>
  <c r="M451" i="14"/>
  <c r="L451" i="14"/>
  <c r="K451" i="14"/>
  <c r="J451" i="14"/>
  <c r="I451" i="14"/>
  <c r="H451" i="14"/>
  <c r="G451" i="14"/>
  <c r="F451" i="14"/>
  <c r="E451" i="14"/>
  <c r="D451" i="14"/>
  <c r="C451" i="14"/>
  <c r="B451" i="14"/>
  <c r="A451" i="14"/>
  <c r="AU450" i="14"/>
  <c r="AT450" i="14"/>
  <c r="AQ450" i="14"/>
  <c r="AP450" i="14"/>
  <c r="AO450" i="14"/>
  <c r="AN450" i="14"/>
  <c r="AL450" i="14"/>
  <c r="AJ450" i="14"/>
  <c r="AI450" i="14"/>
  <c r="AH450" i="14"/>
  <c r="AG450" i="14"/>
  <c r="AF450" i="14"/>
  <c r="AE450" i="14"/>
  <c r="AD450" i="14"/>
  <c r="AC450" i="14"/>
  <c r="AB450" i="14"/>
  <c r="AA450" i="14"/>
  <c r="Z450" i="14"/>
  <c r="Y450" i="14"/>
  <c r="X450" i="14"/>
  <c r="W450" i="14"/>
  <c r="V450" i="14"/>
  <c r="U450" i="14"/>
  <c r="T450" i="14"/>
  <c r="S450" i="14"/>
  <c r="R450" i="14"/>
  <c r="Q450" i="14"/>
  <c r="P450" i="14"/>
  <c r="O450" i="14"/>
  <c r="N450" i="14"/>
  <c r="M450" i="14"/>
  <c r="L450" i="14"/>
  <c r="K450" i="14"/>
  <c r="J450" i="14"/>
  <c r="I450" i="14"/>
  <c r="H450" i="14"/>
  <c r="G450" i="14"/>
  <c r="F450" i="14"/>
  <c r="E450" i="14"/>
  <c r="D450" i="14"/>
  <c r="C450" i="14"/>
  <c r="B450" i="14"/>
  <c r="A450" i="14"/>
  <c r="AU449" i="14"/>
  <c r="AT449" i="14"/>
  <c r="AQ449" i="14"/>
  <c r="AP449" i="14"/>
  <c r="AO449" i="14"/>
  <c r="AN449" i="14"/>
  <c r="AL449" i="14"/>
  <c r="AJ449" i="14"/>
  <c r="AI449" i="14"/>
  <c r="AH449" i="14"/>
  <c r="AG449" i="14"/>
  <c r="AF449" i="14"/>
  <c r="AE449" i="14"/>
  <c r="AD449" i="14"/>
  <c r="AC449" i="14"/>
  <c r="AB449" i="14"/>
  <c r="AA449" i="14"/>
  <c r="Z449" i="14"/>
  <c r="Y449" i="14"/>
  <c r="X449" i="14"/>
  <c r="W449" i="14"/>
  <c r="V449" i="14"/>
  <c r="U449" i="14"/>
  <c r="T449" i="14"/>
  <c r="S449" i="14"/>
  <c r="R449" i="14"/>
  <c r="Q449" i="14"/>
  <c r="P449" i="14"/>
  <c r="O449" i="14"/>
  <c r="N449" i="14"/>
  <c r="M449" i="14"/>
  <c r="L449" i="14"/>
  <c r="K449" i="14"/>
  <c r="J449" i="14"/>
  <c r="I449" i="14"/>
  <c r="H449" i="14"/>
  <c r="G449" i="14"/>
  <c r="F449" i="14"/>
  <c r="E449" i="14"/>
  <c r="D449" i="14"/>
  <c r="C449" i="14"/>
  <c r="B449" i="14"/>
  <c r="A449" i="14"/>
  <c r="AU448" i="14"/>
  <c r="AT448" i="14"/>
  <c r="AQ448" i="14"/>
  <c r="AP448" i="14"/>
  <c r="AO448" i="14"/>
  <c r="AN448" i="14"/>
  <c r="AL448" i="14"/>
  <c r="AJ448" i="14"/>
  <c r="AI448" i="14"/>
  <c r="AH448" i="14"/>
  <c r="AG448" i="14"/>
  <c r="AF448" i="14"/>
  <c r="AE448" i="14"/>
  <c r="AD448" i="14"/>
  <c r="AC448" i="14"/>
  <c r="AB448" i="14"/>
  <c r="AA448" i="14"/>
  <c r="Z448" i="14"/>
  <c r="Y448" i="14"/>
  <c r="X448" i="14"/>
  <c r="W448" i="14"/>
  <c r="V448" i="14"/>
  <c r="U448" i="14"/>
  <c r="T448" i="14"/>
  <c r="S448" i="14"/>
  <c r="R448" i="14"/>
  <c r="Q448" i="14"/>
  <c r="P448" i="14"/>
  <c r="O448" i="14"/>
  <c r="N448" i="14"/>
  <c r="M448" i="14"/>
  <c r="L448" i="14"/>
  <c r="K448" i="14"/>
  <c r="J448" i="14"/>
  <c r="I448" i="14"/>
  <c r="H448" i="14"/>
  <c r="G448" i="14"/>
  <c r="F448" i="14"/>
  <c r="E448" i="14"/>
  <c r="D448" i="14"/>
  <c r="C448" i="14"/>
  <c r="B448" i="14"/>
  <c r="A448" i="14"/>
  <c r="AU447" i="14"/>
  <c r="AT447" i="14"/>
  <c r="AQ447" i="14"/>
  <c r="AP447" i="14"/>
  <c r="AO447" i="14"/>
  <c r="AN447" i="14"/>
  <c r="AL447" i="14"/>
  <c r="AJ447" i="14"/>
  <c r="AI447" i="14"/>
  <c r="AH447" i="14"/>
  <c r="AG447" i="14"/>
  <c r="AF447" i="14"/>
  <c r="AE447" i="14"/>
  <c r="AD447" i="14"/>
  <c r="AC447" i="14"/>
  <c r="AB447" i="14"/>
  <c r="AA447" i="14"/>
  <c r="Z447" i="14"/>
  <c r="Y447" i="14"/>
  <c r="X447" i="14"/>
  <c r="W447" i="14"/>
  <c r="V447" i="14"/>
  <c r="U447" i="14"/>
  <c r="T447" i="14"/>
  <c r="S447" i="14"/>
  <c r="R447" i="14"/>
  <c r="Q447" i="14"/>
  <c r="P447" i="14"/>
  <c r="O447" i="14"/>
  <c r="N447" i="14"/>
  <c r="M447" i="14"/>
  <c r="L447" i="14"/>
  <c r="K447" i="14"/>
  <c r="J447" i="14"/>
  <c r="I447" i="14"/>
  <c r="H447" i="14"/>
  <c r="G447" i="14"/>
  <c r="F447" i="14"/>
  <c r="E447" i="14"/>
  <c r="D447" i="14"/>
  <c r="C447" i="14"/>
  <c r="B447" i="14"/>
  <c r="A447" i="14"/>
  <c r="AU446" i="14"/>
  <c r="AT446" i="14"/>
  <c r="AQ446" i="14"/>
  <c r="AP446" i="14"/>
  <c r="AO446" i="14"/>
  <c r="AN446" i="14"/>
  <c r="AL446" i="14"/>
  <c r="AJ446" i="14"/>
  <c r="AI446" i="14"/>
  <c r="AH446" i="14"/>
  <c r="AG446" i="14"/>
  <c r="AF446" i="14"/>
  <c r="AE446" i="14"/>
  <c r="AD446" i="14"/>
  <c r="AC446" i="14"/>
  <c r="AB446" i="14"/>
  <c r="AA446" i="14"/>
  <c r="Z446" i="14"/>
  <c r="Y446" i="14"/>
  <c r="X446" i="14"/>
  <c r="W446" i="14"/>
  <c r="V446" i="14"/>
  <c r="U446" i="14"/>
  <c r="T446" i="14"/>
  <c r="S446" i="14"/>
  <c r="R446" i="14"/>
  <c r="Q446" i="14"/>
  <c r="P446" i="14"/>
  <c r="O446" i="14"/>
  <c r="N446" i="14"/>
  <c r="M446" i="14"/>
  <c r="L446" i="14"/>
  <c r="K446" i="14"/>
  <c r="J446" i="14"/>
  <c r="I446" i="14"/>
  <c r="H446" i="14"/>
  <c r="G446" i="14"/>
  <c r="F446" i="14"/>
  <c r="E446" i="14"/>
  <c r="D446" i="14"/>
  <c r="C446" i="14"/>
  <c r="B446" i="14"/>
  <c r="A446" i="14"/>
  <c r="AU445" i="14"/>
  <c r="AT445" i="14"/>
  <c r="AQ445" i="14"/>
  <c r="AP445" i="14"/>
  <c r="AO445" i="14"/>
  <c r="AN445" i="14"/>
  <c r="AL445" i="14"/>
  <c r="AJ445" i="14"/>
  <c r="AI445" i="14"/>
  <c r="AH445" i="14"/>
  <c r="AG445" i="14"/>
  <c r="AF445" i="14"/>
  <c r="AE445" i="14"/>
  <c r="AD445" i="14"/>
  <c r="AC445" i="14"/>
  <c r="AB445" i="14"/>
  <c r="AA445" i="14"/>
  <c r="Z445" i="14"/>
  <c r="Y445" i="14"/>
  <c r="X445" i="14"/>
  <c r="W445" i="14"/>
  <c r="V445" i="14"/>
  <c r="U445" i="14"/>
  <c r="T445" i="14"/>
  <c r="S445" i="14"/>
  <c r="R445" i="14"/>
  <c r="Q445" i="14"/>
  <c r="P445" i="14"/>
  <c r="O445" i="14"/>
  <c r="N445" i="14"/>
  <c r="M445" i="14"/>
  <c r="L445" i="14"/>
  <c r="K445" i="14"/>
  <c r="J445" i="14"/>
  <c r="I445" i="14"/>
  <c r="H445" i="14"/>
  <c r="G445" i="14"/>
  <c r="F445" i="14"/>
  <c r="E445" i="14"/>
  <c r="D445" i="14"/>
  <c r="C445" i="14"/>
  <c r="B445" i="14"/>
  <c r="A445" i="14"/>
  <c r="AU444" i="14"/>
  <c r="AT444" i="14"/>
  <c r="AQ444" i="14"/>
  <c r="AP444" i="14"/>
  <c r="AO444" i="14"/>
  <c r="AN444" i="14"/>
  <c r="AL444" i="14"/>
  <c r="AJ444" i="14"/>
  <c r="AI444" i="14"/>
  <c r="AH444" i="14"/>
  <c r="AG444" i="14"/>
  <c r="AF444" i="14"/>
  <c r="AE444" i="14"/>
  <c r="AD444" i="14"/>
  <c r="AC444" i="14"/>
  <c r="AB444" i="14"/>
  <c r="AA444" i="14"/>
  <c r="Z444" i="14"/>
  <c r="Y444" i="14"/>
  <c r="X444" i="14"/>
  <c r="W444" i="14"/>
  <c r="V444" i="14"/>
  <c r="U444" i="14"/>
  <c r="T444" i="14"/>
  <c r="S444" i="14"/>
  <c r="R444" i="14"/>
  <c r="Q444" i="14"/>
  <c r="P444" i="14"/>
  <c r="O444" i="14"/>
  <c r="N444" i="14"/>
  <c r="M444" i="14"/>
  <c r="L444" i="14"/>
  <c r="K444" i="14"/>
  <c r="J444" i="14"/>
  <c r="I444" i="14"/>
  <c r="H444" i="14"/>
  <c r="G444" i="14"/>
  <c r="F444" i="14"/>
  <c r="E444" i="14"/>
  <c r="D444" i="14"/>
  <c r="C444" i="14"/>
  <c r="B444" i="14"/>
  <c r="A444" i="14"/>
  <c r="AU443" i="14"/>
  <c r="AT443" i="14"/>
  <c r="AQ443" i="14"/>
  <c r="AP443" i="14"/>
  <c r="AO443" i="14"/>
  <c r="AN443" i="14"/>
  <c r="AL443" i="14"/>
  <c r="AJ443" i="14"/>
  <c r="AI443" i="14"/>
  <c r="AH443" i="14"/>
  <c r="AG443" i="14"/>
  <c r="AF443" i="14"/>
  <c r="AE443" i="14"/>
  <c r="AD443" i="14"/>
  <c r="AC443" i="14"/>
  <c r="AB443" i="14"/>
  <c r="AA443" i="14"/>
  <c r="Z443" i="14"/>
  <c r="Y443" i="14"/>
  <c r="X443" i="14"/>
  <c r="W443" i="14"/>
  <c r="V443" i="14"/>
  <c r="U443" i="14"/>
  <c r="T443" i="14"/>
  <c r="S443" i="14"/>
  <c r="R443" i="14"/>
  <c r="Q443" i="14"/>
  <c r="P443" i="14"/>
  <c r="O443" i="14"/>
  <c r="N443" i="14"/>
  <c r="M443" i="14"/>
  <c r="L443" i="14"/>
  <c r="K443" i="14"/>
  <c r="J443" i="14"/>
  <c r="I443" i="14"/>
  <c r="H443" i="14"/>
  <c r="G443" i="14"/>
  <c r="F443" i="14"/>
  <c r="E443" i="14"/>
  <c r="D443" i="14"/>
  <c r="C443" i="14"/>
  <c r="B443" i="14"/>
  <c r="A443" i="14"/>
  <c r="AU442" i="14"/>
  <c r="AT442" i="14"/>
  <c r="AQ442" i="14"/>
  <c r="AP442" i="14"/>
  <c r="AO442" i="14"/>
  <c r="AN442" i="14"/>
  <c r="AL442" i="14"/>
  <c r="AJ442" i="14"/>
  <c r="AI442" i="14"/>
  <c r="AH442" i="14"/>
  <c r="AG442" i="14"/>
  <c r="AF442" i="14"/>
  <c r="AE442" i="14"/>
  <c r="AD442" i="14"/>
  <c r="AC442" i="14"/>
  <c r="AB442" i="14"/>
  <c r="AA442" i="14"/>
  <c r="Z442" i="14"/>
  <c r="Y442" i="14"/>
  <c r="X442" i="14"/>
  <c r="W442" i="14"/>
  <c r="V442" i="14"/>
  <c r="U442" i="14"/>
  <c r="T442" i="14"/>
  <c r="S442" i="14"/>
  <c r="R442" i="14"/>
  <c r="Q442" i="14"/>
  <c r="P442" i="14"/>
  <c r="O442" i="14"/>
  <c r="N442" i="14"/>
  <c r="M442" i="14"/>
  <c r="L442" i="14"/>
  <c r="K442" i="14"/>
  <c r="J442" i="14"/>
  <c r="I442" i="14"/>
  <c r="H442" i="14"/>
  <c r="G442" i="14"/>
  <c r="F442" i="14"/>
  <c r="E442" i="14"/>
  <c r="D442" i="14"/>
  <c r="C442" i="14"/>
  <c r="B442" i="14"/>
  <c r="A442" i="14"/>
  <c r="AU441" i="14"/>
  <c r="AT441" i="14"/>
  <c r="AQ441" i="14"/>
  <c r="AP441" i="14"/>
  <c r="AO441" i="14"/>
  <c r="AN441" i="14"/>
  <c r="AL441" i="14"/>
  <c r="AJ441" i="14"/>
  <c r="AI441" i="14"/>
  <c r="AH441" i="14"/>
  <c r="AG441" i="14"/>
  <c r="AF441" i="14"/>
  <c r="AE441" i="14"/>
  <c r="AD441" i="14"/>
  <c r="AC441" i="14"/>
  <c r="AB441" i="14"/>
  <c r="AA441" i="14"/>
  <c r="Z441" i="14"/>
  <c r="Y441" i="14"/>
  <c r="X441" i="14"/>
  <c r="W441" i="14"/>
  <c r="V441" i="14"/>
  <c r="U441" i="14"/>
  <c r="T441" i="14"/>
  <c r="S441" i="14"/>
  <c r="R441" i="14"/>
  <c r="Q441" i="14"/>
  <c r="P441" i="14"/>
  <c r="O441" i="14"/>
  <c r="N441" i="14"/>
  <c r="M441" i="14"/>
  <c r="L441" i="14"/>
  <c r="K441" i="14"/>
  <c r="J441" i="14"/>
  <c r="I441" i="14"/>
  <c r="H441" i="14"/>
  <c r="G441" i="14"/>
  <c r="F441" i="14"/>
  <c r="E441" i="14"/>
  <c r="D441" i="14"/>
  <c r="C441" i="14"/>
  <c r="B441" i="14"/>
  <c r="A441" i="14"/>
  <c r="AU440" i="14"/>
  <c r="AT440" i="14"/>
  <c r="AQ440" i="14"/>
  <c r="AP440" i="14"/>
  <c r="AO440" i="14"/>
  <c r="AN440" i="14"/>
  <c r="AL440" i="14"/>
  <c r="AJ440" i="14"/>
  <c r="AI440" i="14"/>
  <c r="AH440" i="14"/>
  <c r="AG440" i="14"/>
  <c r="AF440" i="14"/>
  <c r="AE440" i="14"/>
  <c r="AD440" i="14"/>
  <c r="AC440" i="14"/>
  <c r="AB440" i="14"/>
  <c r="AA440" i="14"/>
  <c r="Z440" i="14"/>
  <c r="Y440" i="14"/>
  <c r="X440" i="14"/>
  <c r="W440" i="14"/>
  <c r="V440" i="14"/>
  <c r="U440" i="14"/>
  <c r="T440" i="14"/>
  <c r="S440" i="14"/>
  <c r="R440" i="14"/>
  <c r="Q440" i="14"/>
  <c r="P440" i="14"/>
  <c r="O440" i="14"/>
  <c r="N440" i="14"/>
  <c r="M440" i="14"/>
  <c r="L440" i="14"/>
  <c r="K440" i="14"/>
  <c r="J440" i="14"/>
  <c r="I440" i="14"/>
  <c r="H440" i="14"/>
  <c r="G440" i="14"/>
  <c r="F440" i="14"/>
  <c r="E440" i="14"/>
  <c r="D440" i="14"/>
  <c r="C440" i="14"/>
  <c r="B440" i="14"/>
  <c r="A440" i="14"/>
  <c r="AU439" i="14"/>
  <c r="AT439" i="14"/>
  <c r="AQ439" i="14"/>
  <c r="AP439" i="14"/>
  <c r="AO439" i="14"/>
  <c r="AN439" i="14"/>
  <c r="AL439" i="14"/>
  <c r="AJ439" i="14"/>
  <c r="AI439" i="14"/>
  <c r="AH439" i="14"/>
  <c r="AG439" i="14"/>
  <c r="AF439" i="14"/>
  <c r="AE439" i="14"/>
  <c r="AD439" i="14"/>
  <c r="AC439" i="14"/>
  <c r="AB439" i="14"/>
  <c r="AA439" i="14"/>
  <c r="Z439" i="14"/>
  <c r="Y439" i="14"/>
  <c r="X439" i="14"/>
  <c r="W439" i="14"/>
  <c r="V439" i="14"/>
  <c r="U439" i="14"/>
  <c r="T439" i="14"/>
  <c r="S439" i="14"/>
  <c r="R439" i="14"/>
  <c r="Q439" i="14"/>
  <c r="P439" i="14"/>
  <c r="O439" i="14"/>
  <c r="N439" i="14"/>
  <c r="M439" i="14"/>
  <c r="L439" i="14"/>
  <c r="K439" i="14"/>
  <c r="J439" i="14"/>
  <c r="I439" i="14"/>
  <c r="H439" i="14"/>
  <c r="G439" i="14"/>
  <c r="F439" i="14"/>
  <c r="E439" i="14"/>
  <c r="D439" i="14"/>
  <c r="C439" i="14"/>
  <c r="B439" i="14"/>
  <c r="A439" i="14"/>
  <c r="AU438" i="14"/>
  <c r="AT438" i="14"/>
  <c r="AQ438" i="14"/>
  <c r="AP438" i="14"/>
  <c r="AO438" i="14"/>
  <c r="AN438" i="14"/>
  <c r="AL438" i="14"/>
  <c r="AJ438" i="14"/>
  <c r="AI438" i="14"/>
  <c r="AH438" i="14"/>
  <c r="AG438" i="14"/>
  <c r="AF438" i="14"/>
  <c r="AE438" i="14"/>
  <c r="AD438" i="14"/>
  <c r="AC438" i="14"/>
  <c r="AB438" i="14"/>
  <c r="AA438" i="14"/>
  <c r="Z438" i="14"/>
  <c r="Y438" i="14"/>
  <c r="X438" i="14"/>
  <c r="W438" i="14"/>
  <c r="V438" i="14"/>
  <c r="U438" i="14"/>
  <c r="T438" i="14"/>
  <c r="S438" i="14"/>
  <c r="R438" i="14"/>
  <c r="Q438" i="14"/>
  <c r="P438" i="14"/>
  <c r="O438" i="14"/>
  <c r="N438" i="14"/>
  <c r="M438" i="14"/>
  <c r="L438" i="14"/>
  <c r="K438" i="14"/>
  <c r="J438" i="14"/>
  <c r="I438" i="14"/>
  <c r="H438" i="14"/>
  <c r="G438" i="14"/>
  <c r="F438" i="14"/>
  <c r="E438" i="14"/>
  <c r="D438" i="14"/>
  <c r="C438" i="14"/>
  <c r="B438" i="14"/>
  <c r="A438" i="14"/>
  <c r="AU437" i="14"/>
  <c r="AT437" i="14"/>
  <c r="AQ437" i="14"/>
  <c r="AP437" i="14"/>
  <c r="AO437" i="14"/>
  <c r="AN437" i="14"/>
  <c r="AL437" i="14"/>
  <c r="AJ437" i="14"/>
  <c r="AI437" i="14"/>
  <c r="AH437" i="14"/>
  <c r="AG437" i="14"/>
  <c r="AF437" i="14"/>
  <c r="AE437" i="14"/>
  <c r="AD437" i="14"/>
  <c r="AC437" i="14"/>
  <c r="AB437" i="14"/>
  <c r="AA437" i="14"/>
  <c r="Z437" i="14"/>
  <c r="Y437" i="14"/>
  <c r="X437" i="14"/>
  <c r="W437" i="14"/>
  <c r="V437" i="14"/>
  <c r="U437" i="14"/>
  <c r="T437" i="14"/>
  <c r="S437" i="14"/>
  <c r="R437" i="14"/>
  <c r="Q437" i="14"/>
  <c r="P437" i="14"/>
  <c r="O437" i="14"/>
  <c r="N437" i="14"/>
  <c r="M437" i="14"/>
  <c r="L437" i="14"/>
  <c r="K437" i="14"/>
  <c r="J437" i="14"/>
  <c r="I437" i="14"/>
  <c r="H437" i="14"/>
  <c r="G437" i="14"/>
  <c r="F437" i="14"/>
  <c r="E437" i="14"/>
  <c r="D437" i="14"/>
  <c r="C437" i="14"/>
  <c r="B437" i="14"/>
  <c r="A437" i="14"/>
  <c r="AU436" i="14"/>
  <c r="AT436" i="14"/>
  <c r="AQ436" i="14"/>
  <c r="AP436" i="14"/>
  <c r="AO436" i="14"/>
  <c r="AN436" i="14"/>
  <c r="AL436" i="14"/>
  <c r="AJ436" i="14"/>
  <c r="AI436" i="14"/>
  <c r="AH436" i="14"/>
  <c r="AG436" i="14"/>
  <c r="AF436" i="14"/>
  <c r="AE436" i="14"/>
  <c r="AD436" i="14"/>
  <c r="AC436" i="14"/>
  <c r="AB436" i="14"/>
  <c r="AA436" i="14"/>
  <c r="Z436" i="14"/>
  <c r="Y436" i="14"/>
  <c r="X436" i="14"/>
  <c r="W436" i="14"/>
  <c r="V436" i="14"/>
  <c r="U436" i="14"/>
  <c r="T436" i="14"/>
  <c r="S436" i="14"/>
  <c r="R436" i="14"/>
  <c r="Q436" i="14"/>
  <c r="P436" i="14"/>
  <c r="O436" i="14"/>
  <c r="N436" i="14"/>
  <c r="M436" i="14"/>
  <c r="L436" i="14"/>
  <c r="K436" i="14"/>
  <c r="J436" i="14"/>
  <c r="I436" i="14"/>
  <c r="H436" i="14"/>
  <c r="G436" i="14"/>
  <c r="F436" i="14"/>
  <c r="E436" i="14"/>
  <c r="D436" i="14"/>
  <c r="C436" i="14"/>
  <c r="B436" i="14"/>
  <c r="A436" i="14"/>
  <c r="AU435" i="14"/>
  <c r="AT435" i="14"/>
  <c r="AQ435" i="14"/>
  <c r="AP435" i="14"/>
  <c r="AO435" i="14"/>
  <c r="AN435" i="14"/>
  <c r="AL435" i="14"/>
  <c r="AJ435" i="14"/>
  <c r="AI435" i="14"/>
  <c r="AH435" i="14"/>
  <c r="AG435" i="14"/>
  <c r="AF435" i="14"/>
  <c r="AE435" i="14"/>
  <c r="AD435" i="14"/>
  <c r="AC435" i="14"/>
  <c r="AB435" i="14"/>
  <c r="AA435" i="14"/>
  <c r="Z435" i="14"/>
  <c r="Y435" i="14"/>
  <c r="X435" i="14"/>
  <c r="W435" i="14"/>
  <c r="V435" i="14"/>
  <c r="U435" i="14"/>
  <c r="T435" i="14"/>
  <c r="S435" i="14"/>
  <c r="R435" i="14"/>
  <c r="Q435" i="14"/>
  <c r="P435" i="14"/>
  <c r="O435" i="14"/>
  <c r="N435" i="14"/>
  <c r="M435" i="14"/>
  <c r="L435" i="14"/>
  <c r="K435" i="14"/>
  <c r="J435" i="14"/>
  <c r="I435" i="14"/>
  <c r="H435" i="14"/>
  <c r="G435" i="14"/>
  <c r="F435" i="14"/>
  <c r="E435" i="14"/>
  <c r="D435" i="14"/>
  <c r="C435" i="14"/>
  <c r="B435" i="14"/>
  <c r="A435" i="14"/>
  <c r="AU434" i="14"/>
  <c r="AT434" i="14"/>
  <c r="AQ434" i="14"/>
  <c r="AP434" i="14"/>
  <c r="AO434" i="14"/>
  <c r="AN434" i="14"/>
  <c r="AL434" i="14"/>
  <c r="AJ434" i="14"/>
  <c r="AI434" i="14"/>
  <c r="AH434" i="14"/>
  <c r="AG434" i="14"/>
  <c r="AF434" i="14"/>
  <c r="AE434" i="14"/>
  <c r="AD434" i="14"/>
  <c r="AC434" i="14"/>
  <c r="AB434" i="14"/>
  <c r="AA434" i="14"/>
  <c r="Z434" i="14"/>
  <c r="Y434" i="14"/>
  <c r="X434" i="14"/>
  <c r="W434" i="14"/>
  <c r="V434" i="14"/>
  <c r="U434" i="14"/>
  <c r="T434" i="14"/>
  <c r="S434" i="14"/>
  <c r="R434" i="14"/>
  <c r="Q434" i="14"/>
  <c r="P434" i="14"/>
  <c r="O434" i="14"/>
  <c r="N434" i="14"/>
  <c r="M434" i="14"/>
  <c r="L434" i="14"/>
  <c r="K434" i="14"/>
  <c r="J434" i="14"/>
  <c r="I434" i="14"/>
  <c r="H434" i="14"/>
  <c r="G434" i="14"/>
  <c r="F434" i="14"/>
  <c r="E434" i="14"/>
  <c r="D434" i="14"/>
  <c r="C434" i="14"/>
  <c r="B434" i="14"/>
  <c r="A434" i="14"/>
  <c r="AU433" i="14"/>
  <c r="AT433" i="14"/>
  <c r="AQ433" i="14"/>
  <c r="AP433" i="14"/>
  <c r="AO433" i="14"/>
  <c r="AN433" i="14"/>
  <c r="AL433" i="14"/>
  <c r="AJ433" i="14"/>
  <c r="AI433" i="14"/>
  <c r="AH433" i="14"/>
  <c r="AG433" i="14"/>
  <c r="AF433" i="14"/>
  <c r="AE433" i="14"/>
  <c r="AD433" i="14"/>
  <c r="AC433" i="14"/>
  <c r="AB433" i="14"/>
  <c r="AA433" i="14"/>
  <c r="Z433" i="14"/>
  <c r="Y433" i="14"/>
  <c r="X433" i="14"/>
  <c r="W433" i="14"/>
  <c r="V433" i="14"/>
  <c r="U433" i="14"/>
  <c r="T433" i="14"/>
  <c r="S433" i="14"/>
  <c r="R433" i="14"/>
  <c r="Q433" i="14"/>
  <c r="P433" i="14"/>
  <c r="O433" i="14"/>
  <c r="N433" i="14"/>
  <c r="M433" i="14"/>
  <c r="L433" i="14"/>
  <c r="K433" i="14"/>
  <c r="J433" i="14"/>
  <c r="I433" i="14"/>
  <c r="H433" i="14"/>
  <c r="G433" i="14"/>
  <c r="F433" i="14"/>
  <c r="E433" i="14"/>
  <c r="D433" i="14"/>
  <c r="C433" i="14"/>
  <c r="B433" i="14"/>
  <c r="A433" i="14"/>
  <c r="AU432" i="14"/>
  <c r="AT432" i="14"/>
  <c r="AQ432" i="14"/>
  <c r="AP432" i="14"/>
  <c r="AO432" i="14"/>
  <c r="AN432" i="14"/>
  <c r="AL432" i="14"/>
  <c r="AJ432" i="14"/>
  <c r="AI432" i="14"/>
  <c r="AH432" i="14"/>
  <c r="AG432" i="14"/>
  <c r="AF432" i="14"/>
  <c r="AE432" i="14"/>
  <c r="AD432" i="14"/>
  <c r="AC432" i="14"/>
  <c r="AB432" i="14"/>
  <c r="AA432" i="14"/>
  <c r="Z432" i="14"/>
  <c r="Y432" i="14"/>
  <c r="X432" i="14"/>
  <c r="W432" i="14"/>
  <c r="V432" i="14"/>
  <c r="U432" i="14"/>
  <c r="T432" i="14"/>
  <c r="S432" i="14"/>
  <c r="R432" i="14"/>
  <c r="Q432" i="14"/>
  <c r="P432" i="14"/>
  <c r="O432" i="14"/>
  <c r="N432" i="14"/>
  <c r="M432" i="14"/>
  <c r="L432" i="14"/>
  <c r="K432" i="14"/>
  <c r="J432" i="14"/>
  <c r="I432" i="14"/>
  <c r="H432" i="14"/>
  <c r="G432" i="14"/>
  <c r="F432" i="14"/>
  <c r="E432" i="14"/>
  <c r="D432" i="14"/>
  <c r="C432" i="14"/>
  <c r="B432" i="14"/>
  <c r="A432" i="14"/>
  <c r="AU431" i="14"/>
  <c r="AT431" i="14"/>
  <c r="AQ431" i="14"/>
  <c r="AP431" i="14"/>
  <c r="AO431" i="14"/>
  <c r="AN431" i="14"/>
  <c r="AL431" i="14"/>
  <c r="AJ431" i="14"/>
  <c r="AI431" i="14"/>
  <c r="AH431" i="14"/>
  <c r="AG431" i="14"/>
  <c r="AF431" i="14"/>
  <c r="AE431" i="14"/>
  <c r="AD431" i="14"/>
  <c r="AC431" i="14"/>
  <c r="AB431" i="14"/>
  <c r="AA431" i="14"/>
  <c r="Z431" i="14"/>
  <c r="Y431" i="14"/>
  <c r="X431" i="14"/>
  <c r="W431" i="14"/>
  <c r="V431" i="14"/>
  <c r="U431" i="14"/>
  <c r="T431" i="14"/>
  <c r="S431" i="14"/>
  <c r="R431" i="14"/>
  <c r="Q431" i="14"/>
  <c r="P431" i="14"/>
  <c r="O431" i="14"/>
  <c r="N431" i="14"/>
  <c r="M431" i="14"/>
  <c r="L431" i="14"/>
  <c r="K431" i="14"/>
  <c r="J431" i="14"/>
  <c r="I431" i="14"/>
  <c r="H431" i="14"/>
  <c r="G431" i="14"/>
  <c r="F431" i="14"/>
  <c r="E431" i="14"/>
  <c r="D431" i="14"/>
  <c r="C431" i="14"/>
  <c r="B431" i="14"/>
  <c r="A431" i="14"/>
  <c r="AU430" i="14"/>
  <c r="AT430" i="14"/>
  <c r="AQ430" i="14"/>
  <c r="AP430" i="14"/>
  <c r="AO430" i="14"/>
  <c r="AN430" i="14"/>
  <c r="AL430" i="14"/>
  <c r="AJ430" i="14"/>
  <c r="AI430" i="14"/>
  <c r="AH430" i="14"/>
  <c r="AG430" i="14"/>
  <c r="AF430" i="14"/>
  <c r="AE430" i="14"/>
  <c r="AD430" i="14"/>
  <c r="AC430" i="14"/>
  <c r="AB430" i="14"/>
  <c r="AA430" i="14"/>
  <c r="Z430" i="14"/>
  <c r="Y430" i="14"/>
  <c r="X430" i="14"/>
  <c r="W430" i="14"/>
  <c r="V430" i="14"/>
  <c r="U430" i="14"/>
  <c r="T430" i="14"/>
  <c r="S430" i="14"/>
  <c r="R430" i="14"/>
  <c r="Q430" i="14"/>
  <c r="P430" i="14"/>
  <c r="O430" i="14"/>
  <c r="N430" i="14"/>
  <c r="M430" i="14"/>
  <c r="L430" i="14"/>
  <c r="K430" i="14"/>
  <c r="J430" i="14"/>
  <c r="I430" i="14"/>
  <c r="H430" i="14"/>
  <c r="G430" i="14"/>
  <c r="F430" i="14"/>
  <c r="E430" i="14"/>
  <c r="D430" i="14"/>
  <c r="C430" i="14"/>
  <c r="B430" i="14"/>
  <c r="A430" i="14"/>
  <c r="AU429" i="14"/>
  <c r="AT429" i="14"/>
  <c r="AQ429" i="14"/>
  <c r="AP429" i="14"/>
  <c r="AO429" i="14"/>
  <c r="AN429" i="14"/>
  <c r="AL429" i="14"/>
  <c r="AJ429" i="14"/>
  <c r="AI429" i="14"/>
  <c r="AH429" i="14"/>
  <c r="AG429" i="14"/>
  <c r="AF429" i="14"/>
  <c r="AE429" i="14"/>
  <c r="AD429" i="14"/>
  <c r="AC429" i="14"/>
  <c r="AB429" i="14"/>
  <c r="AA429" i="14"/>
  <c r="Z429" i="14"/>
  <c r="Y429" i="14"/>
  <c r="X429" i="14"/>
  <c r="W429" i="14"/>
  <c r="V429" i="14"/>
  <c r="U429" i="14"/>
  <c r="T429" i="14"/>
  <c r="S429" i="14"/>
  <c r="R429" i="14"/>
  <c r="Q429" i="14"/>
  <c r="P429" i="14"/>
  <c r="O429" i="14"/>
  <c r="N429" i="14"/>
  <c r="M429" i="14"/>
  <c r="L429" i="14"/>
  <c r="K429" i="14"/>
  <c r="J429" i="14"/>
  <c r="I429" i="14"/>
  <c r="H429" i="14"/>
  <c r="G429" i="14"/>
  <c r="F429" i="14"/>
  <c r="E429" i="14"/>
  <c r="D429" i="14"/>
  <c r="C429" i="14"/>
  <c r="B429" i="14"/>
  <c r="A429" i="14"/>
  <c r="AU428" i="14"/>
  <c r="AT428" i="14"/>
  <c r="AQ428" i="14"/>
  <c r="AP428" i="14"/>
  <c r="AO428" i="14"/>
  <c r="AN428" i="14"/>
  <c r="AL428" i="14"/>
  <c r="AJ428" i="14"/>
  <c r="AI428" i="14"/>
  <c r="AH428" i="14"/>
  <c r="AG428" i="14"/>
  <c r="AF428" i="14"/>
  <c r="AE428" i="14"/>
  <c r="AD428" i="14"/>
  <c r="AC428" i="14"/>
  <c r="AB428" i="14"/>
  <c r="AA428" i="14"/>
  <c r="Z428" i="14"/>
  <c r="Y428" i="14"/>
  <c r="X428" i="14"/>
  <c r="W428" i="14"/>
  <c r="V428" i="14"/>
  <c r="U428" i="14"/>
  <c r="T428" i="14"/>
  <c r="S428" i="14"/>
  <c r="R428" i="14"/>
  <c r="Q428" i="14"/>
  <c r="P428" i="14"/>
  <c r="O428" i="14"/>
  <c r="N428" i="14"/>
  <c r="M428" i="14"/>
  <c r="L428" i="14"/>
  <c r="K428" i="14"/>
  <c r="J428" i="14"/>
  <c r="I428" i="14"/>
  <c r="H428" i="14"/>
  <c r="G428" i="14"/>
  <c r="F428" i="14"/>
  <c r="E428" i="14"/>
  <c r="D428" i="14"/>
  <c r="C428" i="14"/>
  <c r="B428" i="14"/>
  <c r="A428" i="14"/>
  <c r="AU427" i="14"/>
  <c r="AT427" i="14"/>
  <c r="AQ427" i="14"/>
  <c r="AP427" i="14"/>
  <c r="AO427" i="14"/>
  <c r="AN427" i="14"/>
  <c r="AL427" i="14"/>
  <c r="AJ427" i="14"/>
  <c r="AI427" i="14"/>
  <c r="AH427" i="14"/>
  <c r="AG427" i="14"/>
  <c r="AF427" i="14"/>
  <c r="AE427" i="14"/>
  <c r="AD427" i="14"/>
  <c r="AC427" i="14"/>
  <c r="AB427" i="14"/>
  <c r="AA427" i="14"/>
  <c r="Z427" i="14"/>
  <c r="Y427" i="14"/>
  <c r="X427" i="14"/>
  <c r="W427" i="14"/>
  <c r="V427" i="14"/>
  <c r="U427" i="14"/>
  <c r="T427" i="14"/>
  <c r="S427" i="14"/>
  <c r="R427" i="14"/>
  <c r="Q427" i="14"/>
  <c r="P427" i="14"/>
  <c r="O427" i="14"/>
  <c r="N427" i="14"/>
  <c r="M427" i="14"/>
  <c r="L427" i="14"/>
  <c r="K427" i="14"/>
  <c r="J427" i="14"/>
  <c r="I427" i="14"/>
  <c r="H427" i="14"/>
  <c r="G427" i="14"/>
  <c r="F427" i="14"/>
  <c r="E427" i="14"/>
  <c r="D427" i="14"/>
  <c r="C427" i="14"/>
  <c r="B427" i="14"/>
  <c r="A427" i="14"/>
  <c r="AU426" i="14"/>
  <c r="AT426" i="14"/>
  <c r="AQ426" i="14"/>
  <c r="AP426" i="14"/>
  <c r="AO426" i="14"/>
  <c r="AN426" i="14"/>
  <c r="AL426" i="14"/>
  <c r="AJ426" i="14"/>
  <c r="AI426" i="14"/>
  <c r="AH426" i="14"/>
  <c r="AG426" i="14"/>
  <c r="AF426" i="14"/>
  <c r="AE426" i="14"/>
  <c r="AD426" i="14"/>
  <c r="AC426" i="14"/>
  <c r="AB426" i="14"/>
  <c r="AA426" i="14"/>
  <c r="Z426" i="14"/>
  <c r="Y426" i="14"/>
  <c r="X426" i="14"/>
  <c r="W426" i="14"/>
  <c r="V426" i="14"/>
  <c r="U426" i="14"/>
  <c r="T426" i="14"/>
  <c r="S426" i="14"/>
  <c r="R426" i="14"/>
  <c r="Q426" i="14"/>
  <c r="P426" i="14"/>
  <c r="O426" i="14"/>
  <c r="N426" i="14"/>
  <c r="M426" i="14"/>
  <c r="L426" i="14"/>
  <c r="K426" i="14"/>
  <c r="J426" i="14"/>
  <c r="I426" i="14"/>
  <c r="H426" i="14"/>
  <c r="G426" i="14"/>
  <c r="F426" i="14"/>
  <c r="E426" i="14"/>
  <c r="D426" i="14"/>
  <c r="C426" i="14"/>
  <c r="B426" i="14"/>
  <c r="A426" i="14"/>
  <c r="AU425" i="14"/>
  <c r="AT425" i="14"/>
  <c r="AQ425" i="14"/>
  <c r="AP425" i="14"/>
  <c r="AO425" i="14"/>
  <c r="AN425" i="14"/>
  <c r="AL425" i="14"/>
  <c r="AJ425" i="14"/>
  <c r="AI425" i="14"/>
  <c r="AH425" i="14"/>
  <c r="AG425" i="14"/>
  <c r="AF425" i="14"/>
  <c r="AE425" i="14"/>
  <c r="AD425" i="14"/>
  <c r="AC425" i="14"/>
  <c r="AB425" i="14"/>
  <c r="AA425" i="14"/>
  <c r="Z425" i="14"/>
  <c r="Y425" i="14"/>
  <c r="X425" i="14"/>
  <c r="W425" i="14"/>
  <c r="V425" i="14"/>
  <c r="U425" i="14"/>
  <c r="T425" i="14"/>
  <c r="S425" i="14"/>
  <c r="R425" i="14"/>
  <c r="Q425" i="14"/>
  <c r="P425" i="14"/>
  <c r="O425" i="14"/>
  <c r="N425" i="14"/>
  <c r="M425" i="14"/>
  <c r="L425" i="14"/>
  <c r="K425" i="14"/>
  <c r="J425" i="14"/>
  <c r="I425" i="14"/>
  <c r="H425" i="14"/>
  <c r="G425" i="14"/>
  <c r="F425" i="14"/>
  <c r="E425" i="14"/>
  <c r="D425" i="14"/>
  <c r="C425" i="14"/>
  <c r="B425" i="14"/>
  <c r="A425" i="14"/>
  <c r="AU424" i="14"/>
  <c r="AT424" i="14"/>
  <c r="AQ424" i="14"/>
  <c r="AP424" i="14"/>
  <c r="AO424" i="14"/>
  <c r="AN424" i="14"/>
  <c r="AL424" i="14"/>
  <c r="AJ424" i="14"/>
  <c r="AI424" i="14"/>
  <c r="AH424" i="14"/>
  <c r="AG424" i="14"/>
  <c r="AF424" i="14"/>
  <c r="AE424" i="14"/>
  <c r="AD424" i="14"/>
  <c r="AC424" i="14"/>
  <c r="AB424" i="14"/>
  <c r="AA424" i="14"/>
  <c r="Z424" i="14"/>
  <c r="Y424" i="14"/>
  <c r="X424" i="14"/>
  <c r="W424" i="14"/>
  <c r="V424" i="14"/>
  <c r="U424" i="14"/>
  <c r="T424" i="14"/>
  <c r="S424" i="14"/>
  <c r="R424" i="14"/>
  <c r="Q424" i="14"/>
  <c r="P424" i="14"/>
  <c r="O424" i="14"/>
  <c r="N424" i="14"/>
  <c r="M424" i="14"/>
  <c r="L424" i="14"/>
  <c r="K424" i="14"/>
  <c r="J424" i="14"/>
  <c r="I424" i="14"/>
  <c r="H424" i="14"/>
  <c r="G424" i="14"/>
  <c r="F424" i="14"/>
  <c r="E424" i="14"/>
  <c r="D424" i="14"/>
  <c r="C424" i="14"/>
  <c r="B424" i="14"/>
  <c r="A424" i="14"/>
  <c r="AU423" i="14"/>
  <c r="AT423" i="14"/>
  <c r="AQ423" i="14"/>
  <c r="AP423" i="14"/>
  <c r="AO423" i="14"/>
  <c r="AN423" i="14"/>
  <c r="AL423" i="14"/>
  <c r="AJ423" i="14"/>
  <c r="AI423" i="14"/>
  <c r="AH423" i="14"/>
  <c r="AG423" i="14"/>
  <c r="AF423" i="14"/>
  <c r="AE423" i="14"/>
  <c r="AD423" i="14"/>
  <c r="AC423" i="14"/>
  <c r="AB423" i="14"/>
  <c r="AA423" i="14"/>
  <c r="Z423" i="14"/>
  <c r="Y423" i="14"/>
  <c r="X423" i="14"/>
  <c r="W423" i="14"/>
  <c r="V423" i="14"/>
  <c r="U423" i="14"/>
  <c r="T423" i="14"/>
  <c r="S423" i="14"/>
  <c r="R423" i="14"/>
  <c r="Q423" i="14"/>
  <c r="P423" i="14"/>
  <c r="O423" i="14"/>
  <c r="N423" i="14"/>
  <c r="M423" i="14"/>
  <c r="L423" i="14"/>
  <c r="K423" i="14"/>
  <c r="J423" i="14"/>
  <c r="I423" i="14"/>
  <c r="H423" i="14"/>
  <c r="G423" i="14"/>
  <c r="F423" i="14"/>
  <c r="E423" i="14"/>
  <c r="D423" i="14"/>
  <c r="C423" i="14"/>
  <c r="B423" i="14"/>
  <c r="A423" i="14"/>
  <c r="AU422" i="14"/>
  <c r="AT422" i="14"/>
  <c r="AQ422" i="14"/>
  <c r="AP422" i="14"/>
  <c r="AO422" i="14"/>
  <c r="AN422" i="14"/>
  <c r="AL422" i="14"/>
  <c r="AJ422" i="14"/>
  <c r="AI422" i="14"/>
  <c r="AH422" i="14"/>
  <c r="AG422" i="14"/>
  <c r="AF422" i="14"/>
  <c r="AE422" i="14"/>
  <c r="AD422" i="14"/>
  <c r="AC422" i="14"/>
  <c r="AB422" i="14"/>
  <c r="AA422" i="14"/>
  <c r="Z422" i="14"/>
  <c r="Y422" i="14"/>
  <c r="X422" i="14"/>
  <c r="W422" i="14"/>
  <c r="V422" i="14"/>
  <c r="U422" i="14"/>
  <c r="T422" i="14"/>
  <c r="S422" i="14"/>
  <c r="R422" i="14"/>
  <c r="Q422" i="14"/>
  <c r="P422" i="14"/>
  <c r="O422" i="14"/>
  <c r="N422" i="14"/>
  <c r="M422" i="14"/>
  <c r="L422" i="14"/>
  <c r="K422" i="14"/>
  <c r="J422" i="14"/>
  <c r="I422" i="14"/>
  <c r="H422" i="14"/>
  <c r="G422" i="14"/>
  <c r="F422" i="14"/>
  <c r="E422" i="14"/>
  <c r="D422" i="14"/>
  <c r="C422" i="14"/>
  <c r="B422" i="14"/>
  <c r="A422" i="14"/>
  <c r="AU421" i="14"/>
  <c r="AT421" i="14"/>
  <c r="AQ421" i="14"/>
  <c r="AP421" i="14"/>
  <c r="AO421" i="14"/>
  <c r="AN421" i="14"/>
  <c r="AL421" i="14"/>
  <c r="AJ421" i="14"/>
  <c r="AI421" i="14"/>
  <c r="AH421" i="14"/>
  <c r="AG421" i="14"/>
  <c r="AF421" i="14"/>
  <c r="AE421" i="14"/>
  <c r="AD421" i="14"/>
  <c r="AC421" i="14"/>
  <c r="AB421" i="14"/>
  <c r="AA421" i="14"/>
  <c r="Z421" i="14"/>
  <c r="Y421" i="14"/>
  <c r="X421" i="14"/>
  <c r="W421" i="14"/>
  <c r="V421" i="14"/>
  <c r="U421" i="14"/>
  <c r="T421" i="14"/>
  <c r="S421" i="14"/>
  <c r="R421" i="14"/>
  <c r="Q421" i="14"/>
  <c r="P421" i="14"/>
  <c r="O421" i="14"/>
  <c r="N421" i="14"/>
  <c r="M421" i="14"/>
  <c r="L421" i="14"/>
  <c r="K421" i="14"/>
  <c r="J421" i="14"/>
  <c r="I421" i="14"/>
  <c r="H421" i="14"/>
  <c r="G421" i="14"/>
  <c r="F421" i="14"/>
  <c r="E421" i="14"/>
  <c r="D421" i="14"/>
  <c r="C421" i="14"/>
  <c r="B421" i="14"/>
  <c r="A421" i="14"/>
  <c r="AU420" i="14"/>
  <c r="AT420" i="14"/>
  <c r="AQ420" i="14"/>
  <c r="AP420" i="14"/>
  <c r="AO420" i="14"/>
  <c r="AN420" i="14"/>
  <c r="AL420" i="14"/>
  <c r="AJ420" i="14"/>
  <c r="AI420" i="14"/>
  <c r="AH420" i="14"/>
  <c r="AG420" i="14"/>
  <c r="AF420" i="14"/>
  <c r="AE420" i="14"/>
  <c r="AD420" i="14"/>
  <c r="AC420" i="14"/>
  <c r="AB420" i="14"/>
  <c r="AA420" i="14"/>
  <c r="Z420" i="14"/>
  <c r="Y420" i="14"/>
  <c r="X420" i="14"/>
  <c r="W420" i="14"/>
  <c r="V420" i="14"/>
  <c r="U420" i="14"/>
  <c r="T420" i="14"/>
  <c r="S420" i="14"/>
  <c r="R420" i="14"/>
  <c r="Q420" i="14"/>
  <c r="P420" i="14"/>
  <c r="O420" i="14"/>
  <c r="N420" i="14"/>
  <c r="M420" i="14"/>
  <c r="L420" i="14"/>
  <c r="K420" i="14"/>
  <c r="J420" i="14"/>
  <c r="I420" i="14"/>
  <c r="H420" i="14"/>
  <c r="G420" i="14"/>
  <c r="F420" i="14"/>
  <c r="E420" i="14"/>
  <c r="D420" i="14"/>
  <c r="C420" i="14"/>
  <c r="B420" i="14"/>
  <c r="A420" i="14"/>
  <c r="AU419" i="14"/>
  <c r="AT419" i="14"/>
  <c r="AQ419" i="14"/>
  <c r="AP419" i="14"/>
  <c r="AO419" i="14"/>
  <c r="AN419" i="14"/>
  <c r="AL419" i="14"/>
  <c r="AJ419" i="14"/>
  <c r="AI419" i="14"/>
  <c r="AH419" i="14"/>
  <c r="AG419" i="14"/>
  <c r="AF419" i="14"/>
  <c r="AE419" i="14"/>
  <c r="AD419" i="14"/>
  <c r="AC419" i="14"/>
  <c r="AB419" i="14"/>
  <c r="AA419" i="14"/>
  <c r="Z419" i="14"/>
  <c r="Y419" i="14"/>
  <c r="X419" i="14"/>
  <c r="W419" i="14"/>
  <c r="V419" i="14"/>
  <c r="U419" i="14"/>
  <c r="T419" i="14"/>
  <c r="S419" i="14"/>
  <c r="R419" i="14"/>
  <c r="Q419" i="14"/>
  <c r="P419" i="14"/>
  <c r="O419" i="14"/>
  <c r="N419" i="14"/>
  <c r="M419" i="14"/>
  <c r="L419" i="14"/>
  <c r="K419" i="14"/>
  <c r="J419" i="14"/>
  <c r="I419" i="14"/>
  <c r="H419" i="14"/>
  <c r="G419" i="14"/>
  <c r="F419" i="14"/>
  <c r="E419" i="14"/>
  <c r="D419" i="14"/>
  <c r="C419" i="14"/>
  <c r="B419" i="14"/>
  <c r="A419" i="14"/>
  <c r="AU418" i="14"/>
  <c r="AT418" i="14"/>
  <c r="AQ418" i="14"/>
  <c r="AP418" i="14"/>
  <c r="AO418" i="14"/>
  <c r="AN418" i="14"/>
  <c r="AL418" i="14"/>
  <c r="AJ418" i="14"/>
  <c r="AI418" i="14"/>
  <c r="AH418" i="14"/>
  <c r="AG418" i="14"/>
  <c r="AF418" i="14"/>
  <c r="AE418" i="14"/>
  <c r="AD418" i="14"/>
  <c r="AC418" i="14"/>
  <c r="AB418" i="14"/>
  <c r="AA418" i="14"/>
  <c r="Z418" i="14"/>
  <c r="Y418" i="14"/>
  <c r="X418" i="14"/>
  <c r="W418" i="14"/>
  <c r="V418" i="14"/>
  <c r="U418" i="14"/>
  <c r="T418" i="14"/>
  <c r="S418" i="14"/>
  <c r="R418" i="14"/>
  <c r="Q418" i="14"/>
  <c r="P418" i="14"/>
  <c r="O418" i="14"/>
  <c r="N418" i="14"/>
  <c r="M418" i="14"/>
  <c r="L418" i="14"/>
  <c r="K418" i="14"/>
  <c r="J418" i="14"/>
  <c r="I418" i="14"/>
  <c r="H418" i="14"/>
  <c r="G418" i="14"/>
  <c r="F418" i="14"/>
  <c r="E418" i="14"/>
  <c r="D418" i="14"/>
  <c r="C418" i="14"/>
  <c r="B418" i="14"/>
  <c r="A418" i="14"/>
  <c r="AU417" i="14"/>
  <c r="AT417" i="14"/>
  <c r="AQ417" i="14"/>
  <c r="AP417" i="14"/>
  <c r="AO417" i="14"/>
  <c r="AN417" i="14"/>
  <c r="AL417" i="14"/>
  <c r="AJ417" i="14"/>
  <c r="AI417" i="14"/>
  <c r="AH417" i="14"/>
  <c r="AG417" i="14"/>
  <c r="AF417" i="14"/>
  <c r="AE417" i="14"/>
  <c r="AD417" i="14"/>
  <c r="AC417" i="14"/>
  <c r="AB417" i="14"/>
  <c r="AA417" i="14"/>
  <c r="Z417" i="14"/>
  <c r="Y417" i="14"/>
  <c r="X417" i="14"/>
  <c r="W417" i="14"/>
  <c r="V417" i="14"/>
  <c r="U417" i="14"/>
  <c r="T417" i="14"/>
  <c r="S417" i="14"/>
  <c r="R417" i="14"/>
  <c r="Q417" i="14"/>
  <c r="P417" i="14"/>
  <c r="O417" i="14"/>
  <c r="N417" i="14"/>
  <c r="M417" i="14"/>
  <c r="L417" i="14"/>
  <c r="K417" i="14"/>
  <c r="J417" i="14"/>
  <c r="I417" i="14"/>
  <c r="H417" i="14"/>
  <c r="G417" i="14"/>
  <c r="F417" i="14"/>
  <c r="E417" i="14"/>
  <c r="D417" i="14"/>
  <c r="C417" i="14"/>
  <c r="B417" i="14"/>
  <c r="A417" i="14"/>
  <c r="AU416" i="14"/>
  <c r="AT416" i="14"/>
  <c r="AQ416" i="14"/>
  <c r="AP416" i="14"/>
  <c r="AO416" i="14"/>
  <c r="AN416" i="14"/>
  <c r="AL416" i="14"/>
  <c r="AJ416" i="14"/>
  <c r="AI416" i="14"/>
  <c r="AH416" i="14"/>
  <c r="AG416" i="14"/>
  <c r="AF416" i="14"/>
  <c r="AE416" i="14"/>
  <c r="AD416" i="14"/>
  <c r="AC416" i="14"/>
  <c r="AB416" i="14"/>
  <c r="AA416" i="14"/>
  <c r="Z416" i="14"/>
  <c r="Y416" i="14"/>
  <c r="X416" i="14"/>
  <c r="W416" i="14"/>
  <c r="V416" i="14"/>
  <c r="U416" i="14"/>
  <c r="T416" i="14"/>
  <c r="S416" i="14"/>
  <c r="R416" i="14"/>
  <c r="Q416" i="14"/>
  <c r="P416" i="14"/>
  <c r="O416" i="14"/>
  <c r="N416" i="14"/>
  <c r="M416" i="14"/>
  <c r="L416" i="14"/>
  <c r="K416" i="14"/>
  <c r="J416" i="14"/>
  <c r="I416" i="14"/>
  <c r="H416" i="14"/>
  <c r="G416" i="14"/>
  <c r="F416" i="14"/>
  <c r="E416" i="14"/>
  <c r="D416" i="14"/>
  <c r="C416" i="14"/>
  <c r="B416" i="14"/>
  <c r="A416" i="14"/>
  <c r="AU415" i="14"/>
  <c r="AT415" i="14"/>
  <c r="AQ415" i="14"/>
  <c r="AP415" i="14"/>
  <c r="AO415" i="14"/>
  <c r="AN415" i="14"/>
  <c r="AL415" i="14"/>
  <c r="AJ415" i="14"/>
  <c r="AI415" i="14"/>
  <c r="AH415" i="14"/>
  <c r="AG415" i="14"/>
  <c r="AF415" i="14"/>
  <c r="AE415" i="14"/>
  <c r="AD415" i="14"/>
  <c r="AC415" i="14"/>
  <c r="AB415" i="14"/>
  <c r="AA415" i="14"/>
  <c r="Z415" i="14"/>
  <c r="Y415" i="14"/>
  <c r="X415" i="14"/>
  <c r="W415" i="14"/>
  <c r="V415" i="14"/>
  <c r="U415" i="14"/>
  <c r="T415" i="14"/>
  <c r="S415" i="14"/>
  <c r="R415" i="14"/>
  <c r="Q415" i="14"/>
  <c r="P415" i="14"/>
  <c r="O415" i="14"/>
  <c r="N415" i="14"/>
  <c r="M415" i="14"/>
  <c r="L415" i="14"/>
  <c r="K415" i="14"/>
  <c r="J415" i="14"/>
  <c r="I415" i="14"/>
  <c r="H415" i="14"/>
  <c r="G415" i="14"/>
  <c r="F415" i="14"/>
  <c r="E415" i="14"/>
  <c r="D415" i="14"/>
  <c r="C415" i="14"/>
  <c r="B415" i="14"/>
  <c r="A415" i="14"/>
  <c r="AU414" i="14"/>
  <c r="AT414" i="14"/>
  <c r="AQ414" i="14"/>
  <c r="AP414" i="14"/>
  <c r="AO414" i="14"/>
  <c r="AN414" i="14"/>
  <c r="AL414" i="14"/>
  <c r="AJ414" i="14"/>
  <c r="AI414" i="14"/>
  <c r="AH414" i="14"/>
  <c r="AG414" i="14"/>
  <c r="AF414" i="14"/>
  <c r="AE414" i="14"/>
  <c r="AD414" i="14"/>
  <c r="AC414" i="14"/>
  <c r="AB414" i="14"/>
  <c r="AA414" i="14"/>
  <c r="Z414" i="14"/>
  <c r="Y414" i="14"/>
  <c r="X414" i="14"/>
  <c r="W414" i="14"/>
  <c r="V414" i="14"/>
  <c r="U414" i="14"/>
  <c r="T414" i="14"/>
  <c r="S414" i="14"/>
  <c r="R414" i="14"/>
  <c r="Q414" i="14"/>
  <c r="P414" i="14"/>
  <c r="O414" i="14"/>
  <c r="N414" i="14"/>
  <c r="M414" i="14"/>
  <c r="L414" i="14"/>
  <c r="K414" i="14"/>
  <c r="J414" i="14"/>
  <c r="I414" i="14"/>
  <c r="H414" i="14"/>
  <c r="G414" i="14"/>
  <c r="F414" i="14"/>
  <c r="E414" i="14"/>
  <c r="D414" i="14"/>
  <c r="C414" i="14"/>
  <c r="B414" i="14"/>
  <c r="A414" i="14"/>
  <c r="AU413" i="14"/>
  <c r="AT413" i="14"/>
  <c r="AQ413" i="14"/>
  <c r="AP413" i="14"/>
  <c r="AO413" i="14"/>
  <c r="AN413" i="14"/>
  <c r="AL413" i="14"/>
  <c r="AJ413" i="14"/>
  <c r="AI413" i="14"/>
  <c r="AH413" i="14"/>
  <c r="AG413" i="14"/>
  <c r="AF413" i="14"/>
  <c r="AE413" i="14"/>
  <c r="AD413" i="14"/>
  <c r="AC413" i="14"/>
  <c r="AB413" i="14"/>
  <c r="AA413" i="14"/>
  <c r="Z413" i="14"/>
  <c r="Y413" i="14"/>
  <c r="X413" i="14"/>
  <c r="W413" i="14"/>
  <c r="V413" i="14"/>
  <c r="U413" i="14"/>
  <c r="T413" i="14"/>
  <c r="S413" i="14"/>
  <c r="R413" i="14"/>
  <c r="Q413" i="14"/>
  <c r="P413" i="14"/>
  <c r="O413" i="14"/>
  <c r="N413" i="14"/>
  <c r="M413" i="14"/>
  <c r="L413" i="14"/>
  <c r="K413" i="14"/>
  <c r="J413" i="14"/>
  <c r="I413" i="14"/>
  <c r="H413" i="14"/>
  <c r="G413" i="14"/>
  <c r="F413" i="14"/>
  <c r="E413" i="14"/>
  <c r="D413" i="14"/>
  <c r="C413" i="14"/>
  <c r="B413" i="14"/>
  <c r="A413" i="14"/>
  <c r="AU412" i="14"/>
  <c r="AT412" i="14"/>
  <c r="AQ412" i="14"/>
  <c r="AP412" i="14"/>
  <c r="AO412" i="14"/>
  <c r="AN412" i="14"/>
  <c r="AL412" i="14"/>
  <c r="AJ412" i="14"/>
  <c r="AI412" i="14"/>
  <c r="AH412" i="14"/>
  <c r="AG412" i="14"/>
  <c r="AF412" i="14"/>
  <c r="AE412" i="14"/>
  <c r="AD412" i="14"/>
  <c r="AC412" i="14"/>
  <c r="AB412" i="14"/>
  <c r="AA412" i="14"/>
  <c r="Z412" i="14"/>
  <c r="Y412" i="14"/>
  <c r="X412" i="14"/>
  <c r="W412" i="14"/>
  <c r="V412" i="14"/>
  <c r="U412" i="14"/>
  <c r="T412" i="14"/>
  <c r="S412" i="14"/>
  <c r="R412" i="14"/>
  <c r="Q412" i="14"/>
  <c r="P412" i="14"/>
  <c r="O412" i="14"/>
  <c r="N412" i="14"/>
  <c r="M412" i="14"/>
  <c r="L412" i="14"/>
  <c r="K412" i="14"/>
  <c r="J412" i="14"/>
  <c r="I412" i="14"/>
  <c r="H412" i="14"/>
  <c r="G412" i="14"/>
  <c r="F412" i="14"/>
  <c r="E412" i="14"/>
  <c r="D412" i="14"/>
  <c r="C412" i="14"/>
  <c r="B412" i="14"/>
  <c r="A412" i="14"/>
  <c r="AU411" i="14"/>
  <c r="AT411" i="14"/>
  <c r="AQ411" i="14"/>
  <c r="AP411" i="14"/>
  <c r="AO411" i="14"/>
  <c r="AN411" i="14"/>
  <c r="AL411" i="14"/>
  <c r="AJ411" i="14"/>
  <c r="AI411" i="14"/>
  <c r="AH411" i="14"/>
  <c r="AG411" i="14"/>
  <c r="AF411" i="14"/>
  <c r="AE411" i="14"/>
  <c r="AD411" i="14"/>
  <c r="AC411" i="14"/>
  <c r="AB411" i="14"/>
  <c r="AA411" i="14"/>
  <c r="Z411" i="14"/>
  <c r="Y411" i="14"/>
  <c r="X411" i="14"/>
  <c r="W411" i="14"/>
  <c r="V411" i="14"/>
  <c r="U411" i="14"/>
  <c r="T411" i="14"/>
  <c r="S411" i="14"/>
  <c r="R411" i="14"/>
  <c r="Q411" i="14"/>
  <c r="P411" i="14"/>
  <c r="O411" i="14"/>
  <c r="N411" i="14"/>
  <c r="M411" i="14"/>
  <c r="L411" i="14"/>
  <c r="K411" i="14"/>
  <c r="J411" i="14"/>
  <c r="I411" i="14"/>
  <c r="H411" i="14"/>
  <c r="G411" i="14"/>
  <c r="F411" i="14"/>
  <c r="E411" i="14"/>
  <c r="D411" i="14"/>
  <c r="C411" i="14"/>
  <c r="B411" i="14"/>
  <c r="A411" i="14"/>
  <c r="AU410" i="14"/>
  <c r="AT410" i="14"/>
  <c r="AQ410" i="14"/>
  <c r="AP410" i="14"/>
  <c r="AO410" i="14"/>
  <c r="AN410" i="14"/>
  <c r="AL410" i="14"/>
  <c r="AJ410" i="14"/>
  <c r="AI410" i="14"/>
  <c r="AH410" i="14"/>
  <c r="AG410" i="14"/>
  <c r="AF410" i="14"/>
  <c r="AE410" i="14"/>
  <c r="AD410" i="14"/>
  <c r="AC410" i="14"/>
  <c r="AB410" i="14"/>
  <c r="AA410" i="14"/>
  <c r="Z410" i="14"/>
  <c r="Y410" i="14"/>
  <c r="X410" i="14"/>
  <c r="W410" i="14"/>
  <c r="V410" i="14"/>
  <c r="U410" i="14"/>
  <c r="T410" i="14"/>
  <c r="S410" i="14"/>
  <c r="R410" i="14"/>
  <c r="Q410" i="14"/>
  <c r="P410" i="14"/>
  <c r="O410" i="14"/>
  <c r="N410" i="14"/>
  <c r="M410" i="14"/>
  <c r="L410" i="14"/>
  <c r="K410" i="14"/>
  <c r="J410" i="14"/>
  <c r="I410" i="14"/>
  <c r="H410" i="14"/>
  <c r="G410" i="14"/>
  <c r="F410" i="14"/>
  <c r="E410" i="14"/>
  <c r="D410" i="14"/>
  <c r="C410" i="14"/>
  <c r="B410" i="14"/>
  <c r="A410" i="14"/>
  <c r="AU409" i="14"/>
  <c r="AT409" i="14"/>
  <c r="AQ409" i="14"/>
  <c r="AP409" i="14"/>
  <c r="AO409" i="14"/>
  <c r="AN409" i="14"/>
  <c r="AL409" i="14"/>
  <c r="AJ409" i="14"/>
  <c r="AI409" i="14"/>
  <c r="AH409" i="14"/>
  <c r="AG409" i="14"/>
  <c r="AF409" i="14"/>
  <c r="AE409" i="14"/>
  <c r="AD409" i="14"/>
  <c r="AC409" i="14"/>
  <c r="AB409" i="14"/>
  <c r="AA409" i="14"/>
  <c r="Z409" i="14"/>
  <c r="Y409" i="14"/>
  <c r="X409" i="14"/>
  <c r="W409" i="14"/>
  <c r="V409" i="14"/>
  <c r="U409" i="14"/>
  <c r="T409" i="14"/>
  <c r="S409" i="14"/>
  <c r="R409" i="14"/>
  <c r="Q409" i="14"/>
  <c r="P409" i="14"/>
  <c r="O409" i="14"/>
  <c r="N409" i="14"/>
  <c r="M409" i="14"/>
  <c r="L409" i="14"/>
  <c r="K409" i="14"/>
  <c r="J409" i="14"/>
  <c r="I409" i="14"/>
  <c r="H409" i="14"/>
  <c r="G409" i="14"/>
  <c r="F409" i="14"/>
  <c r="E409" i="14"/>
  <c r="D409" i="14"/>
  <c r="C409" i="14"/>
  <c r="B409" i="14"/>
  <c r="A409" i="14"/>
  <c r="AU408" i="14"/>
  <c r="AT408" i="14"/>
  <c r="AQ408" i="14"/>
  <c r="AP408" i="14"/>
  <c r="AO408" i="14"/>
  <c r="AN408" i="14"/>
  <c r="AL408" i="14"/>
  <c r="AJ408" i="14"/>
  <c r="AI408" i="14"/>
  <c r="AH408" i="14"/>
  <c r="AG408" i="14"/>
  <c r="AF408" i="14"/>
  <c r="AE408" i="14"/>
  <c r="AD408" i="14"/>
  <c r="AC408" i="14"/>
  <c r="AB408" i="14"/>
  <c r="AA408" i="14"/>
  <c r="Z408" i="14"/>
  <c r="Y408" i="14"/>
  <c r="X408" i="14"/>
  <c r="W408" i="14"/>
  <c r="V408" i="14"/>
  <c r="U408" i="14"/>
  <c r="T408" i="14"/>
  <c r="S408" i="14"/>
  <c r="R408" i="14"/>
  <c r="Q408" i="14"/>
  <c r="P408" i="14"/>
  <c r="O408" i="14"/>
  <c r="N408" i="14"/>
  <c r="M408" i="14"/>
  <c r="L408" i="14"/>
  <c r="K408" i="14"/>
  <c r="J408" i="14"/>
  <c r="I408" i="14"/>
  <c r="H408" i="14"/>
  <c r="G408" i="14"/>
  <c r="F408" i="14"/>
  <c r="E408" i="14"/>
  <c r="D408" i="14"/>
  <c r="C408" i="14"/>
  <c r="B408" i="14"/>
  <c r="A408" i="14"/>
  <c r="AU407" i="14"/>
  <c r="AT407" i="14"/>
  <c r="AQ407" i="14"/>
  <c r="AP407" i="14"/>
  <c r="AO407" i="14"/>
  <c r="AN407" i="14"/>
  <c r="AL407" i="14"/>
  <c r="AJ407" i="14"/>
  <c r="AI407" i="14"/>
  <c r="AH407" i="14"/>
  <c r="AG407" i="14"/>
  <c r="AF407" i="14"/>
  <c r="AE407" i="14"/>
  <c r="AD407" i="14"/>
  <c r="AC407" i="14"/>
  <c r="AB407" i="14"/>
  <c r="AA407" i="14"/>
  <c r="Z407" i="14"/>
  <c r="Y407" i="14"/>
  <c r="X407" i="14"/>
  <c r="W407" i="14"/>
  <c r="V407" i="14"/>
  <c r="U407" i="14"/>
  <c r="T407" i="14"/>
  <c r="S407" i="14"/>
  <c r="R407" i="14"/>
  <c r="Q407" i="14"/>
  <c r="P407" i="14"/>
  <c r="O407" i="14"/>
  <c r="N407" i="14"/>
  <c r="M407" i="14"/>
  <c r="L407" i="14"/>
  <c r="K407" i="14"/>
  <c r="J407" i="14"/>
  <c r="I407" i="14"/>
  <c r="H407" i="14"/>
  <c r="G407" i="14"/>
  <c r="F407" i="14"/>
  <c r="E407" i="14"/>
  <c r="D407" i="14"/>
  <c r="C407" i="14"/>
  <c r="B407" i="14"/>
  <c r="A407" i="14"/>
  <c r="AU406" i="14"/>
  <c r="AT406" i="14"/>
  <c r="AQ406" i="14"/>
  <c r="AP406" i="14"/>
  <c r="AO406" i="14"/>
  <c r="AN406" i="14"/>
  <c r="AL406" i="14"/>
  <c r="AJ406" i="14"/>
  <c r="AI406" i="14"/>
  <c r="AH406" i="14"/>
  <c r="AG406" i="14"/>
  <c r="AF406" i="14"/>
  <c r="AE406" i="14"/>
  <c r="AD406" i="14"/>
  <c r="AC406" i="14"/>
  <c r="AB406" i="14"/>
  <c r="AA406" i="14"/>
  <c r="Z406" i="14"/>
  <c r="Y406" i="14"/>
  <c r="X406" i="14"/>
  <c r="W406" i="14"/>
  <c r="V406" i="14"/>
  <c r="U406" i="14"/>
  <c r="T406" i="14"/>
  <c r="S406" i="14"/>
  <c r="R406" i="14"/>
  <c r="Q406" i="14"/>
  <c r="P406" i="14"/>
  <c r="O406" i="14"/>
  <c r="N406" i="14"/>
  <c r="M406" i="14"/>
  <c r="L406" i="14"/>
  <c r="K406" i="14"/>
  <c r="J406" i="14"/>
  <c r="I406" i="14"/>
  <c r="H406" i="14"/>
  <c r="G406" i="14"/>
  <c r="F406" i="14"/>
  <c r="E406" i="14"/>
  <c r="D406" i="14"/>
  <c r="C406" i="14"/>
  <c r="B406" i="14"/>
  <c r="A406" i="14"/>
  <c r="AU405" i="14"/>
  <c r="AT405" i="14"/>
  <c r="AQ405" i="14"/>
  <c r="AP405" i="14"/>
  <c r="AO405" i="14"/>
  <c r="AN405" i="14"/>
  <c r="AL405" i="14"/>
  <c r="AJ405" i="14"/>
  <c r="AI405" i="14"/>
  <c r="AH405" i="14"/>
  <c r="AG405" i="14"/>
  <c r="AF405" i="14"/>
  <c r="AE405" i="14"/>
  <c r="AD405" i="14"/>
  <c r="AC405" i="14"/>
  <c r="AB405" i="14"/>
  <c r="AA405" i="14"/>
  <c r="Z405" i="14"/>
  <c r="Y405" i="14"/>
  <c r="X405" i="14"/>
  <c r="W405" i="14"/>
  <c r="V405" i="14"/>
  <c r="U405" i="14"/>
  <c r="T405" i="14"/>
  <c r="S405" i="14"/>
  <c r="R405" i="14"/>
  <c r="Q405" i="14"/>
  <c r="P405" i="14"/>
  <c r="O405" i="14"/>
  <c r="N405" i="14"/>
  <c r="M405" i="14"/>
  <c r="L405" i="14"/>
  <c r="K405" i="14"/>
  <c r="J405" i="14"/>
  <c r="I405" i="14"/>
  <c r="H405" i="14"/>
  <c r="G405" i="14"/>
  <c r="F405" i="14"/>
  <c r="E405" i="14"/>
  <c r="D405" i="14"/>
  <c r="C405" i="14"/>
  <c r="B405" i="14"/>
  <c r="A405" i="14"/>
  <c r="AU404" i="14"/>
  <c r="AT404" i="14"/>
  <c r="AQ404" i="14"/>
  <c r="AP404" i="14"/>
  <c r="AO404" i="14"/>
  <c r="AN404" i="14"/>
  <c r="AL404" i="14"/>
  <c r="AJ404" i="14"/>
  <c r="AI404" i="14"/>
  <c r="AH404" i="14"/>
  <c r="AG404" i="14"/>
  <c r="AF404" i="14"/>
  <c r="AE404" i="14"/>
  <c r="AD404" i="14"/>
  <c r="AC404" i="14"/>
  <c r="AB404" i="14"/>
  <c r="AA404" i="14"/>
  <c r="Z404" i="14"/>
  <c r="Y404" i="14"/>
  <c r="X404" i="14"/>
  <c r="W404" i="14"/>
  <c r="V404" i="14"/>
  <c r="U404" i="14"/>
  <c r="T404" i="14"/>
  <c r="S404" i="14"/>
  <c r="R404" i="14"/>
  <c r="Q404" i="14"/>
  <c r="P404" i="14"/>
  <c r="O404" i="14"/>
  <c r="N404" i="14"/>
  <c r="M404" i="14"/>
  <c r="L404" i="14"/>
  <c r="K404" i="14"/>
  <c r="J404" i="14"/>
  <c r="I404" i="14"/>
  <c r="H404" i="14"/>
  <c r="G404" i="14"/>
  <c r="F404" i="14"/>
  <c r="E404" i="14"/>
  <c r="D404" i="14"/>
  <c r="C404" i="14"/>
  <c r="B404" i="14"/>
  <c r="A404" i="14"/>
  <c r="AU403" i="14"/>
  <c r="AT403" i="14"/>
  <c r="AQ403" i="14"/>
  <c r="AP403" i="14"/>
  <c r="AO403" i="14"/>
  <c r="AN403" i="14"/>
  <c r="AL403" i="14"/>
  <c r="AJ403" i="14"/>
  <c r="AI403" i="14"/>
  <c r="AH403" i="14"/>
  <c r="AG403" i="14"/>
  <c r="AF403" i="14"/>
  <c r="AE403" i="14"/>
  <c r="AD403" i="14"/>
  <c r="AC403" i="14"/>
  <c r="AB403" i="14"/>
  <c r="AA403" i="14"/>
  <c r="Z403" i="14"/>
  <c r="Y403" i="14"/>
  <c r="X403" i="14"/>
  <c r="W403" i="14"/>
  <c r="V403" i="14"/>
  <c r="U403" i="14"/>
  <c r="T403" i="14"/>
  <c r="S403" i="14"/>
  <c r="R403" i="14"/>
  <c r="Q403" i="14"/>
  <c r="P403" i="14"/>
  <c r="O403" i="14"/>
  <c r="N403" i="14"/>
  <c r="M403" i="14"/>
  <c r="L403" i="14"/>
  <c r="K403" i="14"/>
  <c r="J403" i="14"/>
  <c r="I403" i="14"/>
  <c r="H403" i="14"/>
  <c r="G403" i="14"/>
  <c r="F403" i="14"/>
  <c r="E403" i="14"/>
  <c r="D403" i="14"/>
  <c r="C403" i="14"/>
  <c r="B403" i="14"/>
  <c r="A403" i="14"/>
  <c r="AU402" i="14"/>
  <c r="AT402" i="14"/>
  <c r="AQ402" i="14"/>
  <c r="AP402" i="14"/>
  <c r="AO402" i="14"/>
  <c r="AN402" i="14"/>
  <c r="AL402" i="14"/>
  <c r="AJ402" i="14"/>
  <c r="AI402" i="14"/>
  <c r="AH402" i="14"/>
  <c r="AG402" i="14"/>
  <c r="AF402" i="14"/>
  <c r="AE402" i="14"/>
  <c r="AD402" i="14"/>
  <c r="AC402" i="14"/>
  <c r="AB402" i="14"/>
  <c r="AA402" i="14"/>
  <c r="Z402" i="14"/>
  <c r="Y402" i="14"/>
  <c r="X402" i="14"/>
  <c r="W402" i="14"/>
  <c r="V402" i="14"/>
  <c r="U402" i="14"/>
  <c r="T402" i="14"/>
  <c r="S402" i="14"/>
  <c r="R402" i="14"/>
  <c r="Q402" i="14"/>
  <c r="P402" i="14"/>
  <c r="O402" i="14"/>
  <c r="N402" i="14"/>
  <c r="M402" i="14"/>
  <c r="L402" i="14"/>
  <c r="K402" i="14"/>
  <c r="J402" i="14"/>
  <c r="I402" i="14"/>
  <c r="H402" i="14"/>
  <c r="G402" i="14"/>
  <c r="F402" i="14"/>
  <c r="E402" i="14"/>
  <c r="D402" i="14"/>
  <c r="C402" i="14"/>
  <c r="B402" i="14"/>
  <c r="A402" i="14"/>
  <c r="AU401" i="14"/>
  <c r="AT401" i="14"/>
  <c r="AQ401" i="14"/>
  <c r="AP401" i="14"/>
  <c r="AO401" i="14"/>
  <c r="AN401" i="14"/>
  <c r="AL401" i="14"/>
  <c r="AJ401" i="14"/>
  <c r="AI401" i="14"/>
  <c r="AH401" i="14"/>
  <c r="AG401" i="14"/>
  <c r="AF401" i="14"/>
  <c r="AE401" i="14"/>
  <c r="AD401" i="14"/>
  <c r="AC401" i="14"/>
  <c r="AB401" i="14"/>
  <c r="AA401" i="14"/>
  <c r="Z401" i="14"/>
  <c r="Y401" i="14"/>
  <c r="X401" i="14"/>
  <c r="W401" i="14"/>
  <c r="V401" i="14"/>
  <c r="U401" i="14"/>
  <c r="T401" i="14"/>
  <c r="S401" i="14"/>
  <c r="R401" i="14"/>
  <c r="Q401" i="14"/>
  <c r="P401" i="14"/>
  <c r="O401" i="14"/>
  <c r="N401" i="14"/>
  <c r="M401" i="14"/>
  <c r="L401" i="14"/>
  <c r="K401" i="14"/>
  <c r="J401" i="14"/>
  <c r="I401" i="14"/>
  <c r="H401" i="14"/>
  <c r="G401" i="14"/>
  <c r="F401" i="14"/>
  <c r="E401" i="14"/>
  <c r="D401" i="14"/>
  <c r="C401" i="14"/>
  <c r="B401" i="14"/>
  <c r="A401" i="14"/>
  <c r="AU400" i="14"/>
  <c r="AT400" i="14"/>
  <c r="AQ400" i="14"/>
  <c r="AP400" i="14"/>
  <c r="AO400" i="14"/>
  <c r="AN400" i="14"/>
  <c r="AL400" i="14"/>
  <c r="AJ400" i="14"/>
  <c r="AI400" i="14"/>
  <c r="AH400" i="14"/>
  <c r="AG400" i="14"/>
  <c r="AF400" i="14"/>
  <c r="AE400" i="14"/>
  <c r="AD400" i="14"/>
  <c r="AC400" i="14"/>
  <c r="AB400" i="14"/>
  <c r="AA400" i="14"/>
  <c r="Z400" i="14"/>
  <c r="Y400" i="14"/>
  <c r="X400" i="14"/>
  <c r="W400" i="14"/>
  <c r="V400" i="14"/>
  <c r="U400" i="14"/>
  <c r="T400" i="14"/>
  <c r="S400" i="14"/>
  <c r="R400" i="14"/>
  <c r="Q400" i="14"/>
  <c r="P400" i="14"/>
  <c r="O400" i="14"/>
  <c r="N400" i="14"/>
  <c r="M400" i="14"/>
  <c r="L400" i="14"/>
  <c r="K400" i="14"/>
  <c r="J400" i="14"/>
  <c r="I400" i="14"/>
  <c r="H400" i="14"/>
  <c r="G400" i="14"/>
  <c r="F400" i="14"/>
  <c r="E400" i="14"/>
  <c r="D400" i="14"/>
  <c r="C400" i="14"/>
  <c r="B400" i="14"/>
  <c r="A400" i="14"/>
  <c r="AU399" i="14"/>
  <c r="AT399" i="14"/>
  <c r="AQ399" i="14"/>
  <c r="AP399" i="14"/>
  <c r="AO399" i="14"/>
  <c r="AN399" i="14"/>
  <c r="AL399" i="14"/>
  <c r="AJ399" i="14"/>
  <c r="AI399" i="14"/>
  <c r="AH399" i="14"/>
  <c r="AG399" i="14"/>
  <c r="AF399" i="14"/>
  <c r="AE399" i="14"/>
  <c r="AD399" i="14"/>
  <c r="AC399" i="14"/>
  <c r="AB399" i="14"/>
  <c r="AA399" i="14"/>
  <c r="Z399" i="14"/>
  <c r="Y399" i="14"/>
  <c r="X399" i="14"/>
  <c r="W399" i="14"/>
  <c r="V399" i="14"/>
  <c r="U399" i="14"/>
  <c r="T399" i="14"/>
  <c r="S399" i="14"/>
  <c r="R399" i="14"/>
  <c r="Q399" i="14"/>
  <c r="P399" i="14"/>
  <c r="O399" i="14"/>
  <c r="N399" i="14"/>
  <c r="M399" i="14"/>
  <c r="L399" i="14"/>
  <c r="K399" i="14"/>
  <c r="J399" i="14"/>
  <c r="I399" i="14"/>
  <c r="H399" i="14"/>
  <c r="G399" i="14"/>
  <c r="F399" i="14"/>
  <c r="E399" i="14"/>
  <c r="D399" i="14"/>
  <c r="C399" i="14"/>
  <c r="B399" i="14"/>
  <c r="A399" i="14"/>
  <c r="AU398" i="14"/>
  <c r="AT398" i="14"/>
  <c r="AQ398" i="14"/>
  <c r="AP398" i="14"/>
  <c r="AO398" i="14"/>
  <c r="AN398" i="14"/>
  <c r="AL398" i="14"/>
  <c r="AJ398" i="14"/>
  <c r="AI398" i="14"/>
  <c r="AH398" i="14"/>
  <c r="AG398" i="14"/>
  <c r="AF398" i="14"/>
  <c r="AE398" i="14"/>
  <c r="AD398" i="14"/>
  <c r="AC398" i="14"/>
  <c r="AB398" i="14"/>
  <c r="AA398" i="14"/>
  <c r="Z398" i="14"/>
  <c r="Y398" i="14"/>
  <c r="X398" i="14"/>
  <c r="W398" i="14"/>
  <c r="V398" i="14"/>
  <c r="U398" i="14"/>
  <c r="T398" i="14"/>
  <c r="S398" i="14"/>
  <c r="R398" i="14"/>
  <c r="Q398" i="14"/>
  <c r="P398" i="14"/>
  <c r="O398" i="14"/>
  <c r="N398" i="14"/>
  <c r="M398" i="14"/>
  <c r="L398" i="14"/>
  <c r="K398" i="14"/>
  <c r="J398" i="14"/>
  <c r="I398" i="14"/>
  <c r="H398" i="14"/>
  <c r="G398" i="14"/>
  <c r="F398" i="14"/>
  <c r="E398" i="14"/>
  <c r="D398" i="14"/>
  <c r="C398" i="14"/>
  <c r="B398" i="14"/>
  <c r="A398" i="14"/>
  <c r="AU397" i="14"/>
  <c r="AT397" i="14"/>
  <c r="AQ397" i="14"/>
  <c r="AP397" i="14"/>
  <c r="AO397" i="14"/>
  <c r="AN397" i="14"/>
  <c r="AL397" i="14"/>
  <c r="AJ397" i="14"/>
  <c r="AI397" i="14"/>
  <c r="AH397" i="14"/>
  <c r="AG397" i="14"/>
  <c r="AF397" i="14"/>
  <c r="AE397" i="14"/>
  <c r="AD397" i="14"/>
  <c r="AC397" i="14"/>
  <c r="AB397" i="14"/>
  <c r="AA397" i="14"/>
  <c r="Z397" i="14"/>
  <c r="Y397" i="14"/>
  <c r="X397" i="14"/>
  <c r="W397" i="14"/>
  <c r="V397" i="14"/>
  <c r="U397" i="14"/>
  <c r="T397" i="14"/>
  <c r="S397" i="14"/>
  <c r="R397" i="14"/>
  <c r="Q397" i="14"/>
  <c r="P397" i="14"/>
  <c r="O397" i="14"/>
  <c r="N397" i="14"/>
  <c r="M397" i="14"/>
  <c r="L397" i="14"/>
  <c r="K397" i="14"/>
  <c r="J397" i="14"/>
  <c r="I397" i="14"/>
  <c r="H397" i="14"/>
  <c r="G397" i="14"/>
  <c r="F397" i="14"/>
  <c r="E397" i="14"/>
  <c r="D397" i="14"/>
  <c r="C397" i="14"/>
  <c r="B397" i="14"/>
  <c r="A397" i="14"/>
  <c r="AU396" i="14"/>
  <c r="AT396" i="14"/>
  <c r="AQ396" i="14"/>
  <c r="AP396" i="14"/>
  <c r="AO396" i="14"/>
  <c r="AN396" i="14"/>
  <c r="AL396" i="14"/>
  <c r="AJ396" i="14"/>
  <c r="AI396" i="14"/>
  <c r="AH396" i="14"/>
  <c r="AG396" i="14"/>
  <c r="AF396" i="14"/>
  <c r="AE396" i="14"/>
  <c r="AD396" i="14"/>
  <c r="AC396" i="14"/>
  <c r="AB396" i="14"/>
  <c r="AA396" i="14"/>
  <c r="Z396" i="14"/>
  <c r="Y396" i="14"/>
  <c r="X396" i="14"/>
  <c r="W396" i="14"/>
  <c r="V396" i="14"/>
  <c r="U396" i="14"/>
  <c r="T396" i="14"/>
  <c r="S396" i="14"/>
  <c r="R396" i="14"/>
  <c r="Q396" i="14"/>
  <c r="P396" i="14"/>
  <c r="O396" i="14"/>
  <c r="N396" i="14"/>
  <c r="M396" i="14"/>
  <c r="L396" i="14"/>
  <c r="K396" i="14"/>
  <c r="J396" i="14"/>
  <c r="I396" i="14"/>
  <c r="H396" i="14"/>
  <c r="G396" i="14"/>
  <c r="F396" i="14"/>
  <c r="E396" i="14"/>
  <c r="D396" i="14"/>
  <c r="C396" i="14"/>
  <c r="B396" i="14"/>
  <c r="A396" i="14"/>
  <c r="AU395" i="14"/>
  <c r="AT395" i="14"/>
  <c r="AQ395" i="14"/>
  <c r="AP395" i="14"/>
  <c r="AO395" i="14"/>
  <c r="AN395" i="14"/>
  <c r="AL395" i="14"/>
  <c r="AJ395" i="14"/>
  <c r="AI395" i="14"/>
  <c r="AH395" i="14"/>
  <c r="AG395" i="14"/>
  <c r="AF395" i="14"/>
  <c r="AE395" i="14"/>
  <c r="AD395" i="14"/>
  <c r="AC395" i="14"/>
  <c r="AB395" i="14"/>
  <c r="AA395" i="14"/>
  <c r="Z395" i="14"/>
  <c r="Y395" i="14"/>
  <c r="X395" i="14"/>
  <c r="W395" i="14"/>
  <c r="V395" i="14"/>
  <c r="U395" i="14"/>
  <c r="T395" i="14"/>
  <c r="S395" i="14"/>
  <c r="R395" i="14"/>
  <c r="Q395" i="14"/>
  <c r="P395" i="14"/>
  <c r="O395" i="14"/>
  <c r="N395" i="14"/>
  <c r="M395" i="14"/>
  <c r="L395" i="14"/>
  <c r="K395" i="14"/>
  <c r="J395" i="14"/>
  <c r="I395" i="14"/>
  <c r="H395" i="14"/>
  <c r="G395" i="14"/>
  <c r="F395" i="14"/>
  <c r="E395" i="14"/>
  <c r="D395" i="14"/>
  <c r="C395" i="14"/>
  <c r="B395" i="14"/>
  <c r="A395" i="14"/>
  <c r="AU394" i="14"/>
  <c r="AT394" i="14"/>
  <c r="AQ394" i="14"/>
  <c r="AP394" i="14"/>
  <c r="AO394" i="14"/>
  <c r="AN394" i="14"/>
  <c r="AL394" i="14"/>
  <c r="AJ394" i="14"/>
  <c r="AI394" i="14"/>
  <c r="AH394" i="14"/>
  <c r="AG394" i="14"/>
  <c r="AF394" i="14"/>
  <c r="AE394" i="14"/>
  <c r="AD394" i="14"/>
  <c r="AC394" i="14"/>
  <c r="AB394" i="14"/>
  <c r="AA394" i="14"/>
  <c r="Z394" i="14"/>
  <c r="Y394" i="14"/>
  <c r="X394" i="14"/>
  <c r="W394" i="14"/>
  <c r="V394" i="14"/>
  <c r="U394" i="14"/>
  <c r="T394" i="14"/>
  <c r="S394" i="14"/>
  <c r="R394" i="14"/>
  <c r="Q394" i="14"/>
  <c r="P394" i="14"/>
  <c r="O394" i="14"/>
  <c r="N394" i="14"/>
  <c r="M394" i="14"/>
  <c r="L394" i="14"/>
  <c r="K394" i="14"/>
  <c r="J394" i="14"/>
  <c r="I394" i="14"/>
  <c r="H394" i="14"/>
  <c r="G394" i="14"/>
  <c r="F394" i="14"/>
  <c r="E394" i="14"/>
  <c r="D394" i="14"/>
  <c r="C394" i="14"/>
  <c r="B394" i="14"/>
  <c r="A394" i="14"/>
  <c r="AU393" i="14"/>
  <c r="AT393" i="14"/>
  <c r="AQ393" i="14"/>
  <c r="AP393" i="14"/>
  <c r="AO393" i="14"/>
  <c r="AN393" i="14"/>
  <c r="AL393" i="14"/>
  <c r="AJ393" i="14"/>
  <c r="AI393" i="14"/>
  <c r="AH393" i="14"/>
  <c r="AG393" i="14"/>
  <c r="AF393" i="14"/>
  <c r="AE393" i="14"/>
  <c r="AD393" i="14"/>
  <c r="AC393" i="14"/>
  <c r="AB393" i="14"/>
  <c r="AA393" i="14"/>
  <c r="Z393" i="14"/>
  <c r="Y393" i="14"/>
  <c r="X393" i="14"/>
  <c r="W393" i="14"/>
  <c r="V393" i="14"/>
  <c r="U393" i="14"/>
  <c r="T393" i="14"/>
  <c r="S393" i="14"/>
  <c r="R393" i="14"/>
  <c r="Q393" i="14"/>
  <c r="P393" i="14"/>
  <c r="O393" i="14"/>
  <c r="N393" i="14"/>
  <c r="M393" i="14"/>
  <c r="L393" i="14"/>
  <c r="K393" i="14"/>
  <c r="J393" i="14"/>
  <c r="I393" i="14"/>
  <c r="H393" i="14"/>
  <c r="G393" i="14"/>
  <c r="F393" i="14"/>
  <c r="E393" i="14"/>
  <c r="D393" i="14"/>
  <c r="C393" i="14"/>
  <c r="B393" i="14"/>
  <c r="A393" i="14"/>
  <c r="AU392" i="14"/>
  <c r="AT392" i="14"/>
  <c r="AQ392" i="14"/>
  <c r="AP392" i="14"/>
  <c r="AO392" i="14"/>
  <c r="AN392" i="14"/>
  <c r="AL392" i="14"/>
  <c r="AJ392" i="14"/>
  <c r="AI392" i="14"/>
  <c r="AH392" i="14"/>
  <c r="AG392" i="14"/>
  <c r="AF392" i="14"/>
  <c r="AE392" i="14"/>
  <c r="AD392" i="14"/>
  <c r="AC392" i="14"/>
  <c r="AB392" i="14"/>
  <c r="AA392" i="14"/>
  <c r="Z392" i="14"/>
  <c r="Y392" i="14"/>
  <c r="X392" i="14"/>
  <c r="W392" i="14"/>
  <c r="V392" i="14"/>
  <c r="U392" i="14"/>
  <c r="T392" i="14"/>
  <c r="S392" i="14"/>
  <c r="R392" i="14"/>
  <c r="Q392" i="14"/>
  <c r="P392" i="14"/>
  <c r="O392" i="14"/>
  <c r="N392" i="14"/>
  <c r="M392" i="14"/>
  <c r="L392" i="14"/>
  <c r="K392" i="14"/>
  <c r="J392" i="14"/>
  <c r="I392" i="14"/>
  <c r="H392" i="14"/>
  <c r="G392" i="14"/>
  <c r="F392" i="14"/>
  <c r="E392" i="14"/>
  <c r="D392" i="14"/>
  <c r="C392" i="14"/>
  <c r="B392" i="14"/>
  <c r="A392" i="14"/>
  <c r="AU391" i="14"/>
  <c r="AT391" i="14"/>
  <c r="AQ391" i="14"/>
  <c r="AP391" i="14"/>
  <c r="AO391" i="14"/>
  <c r="AN391" i="14"/>
  <c r="AL391" i="14"/>
  <c r="AJ391" i="14"/>
  <c r="AI391" i="14"/>
  <c r="AH391" i="14"/>
  <c r="AG391" i="14"/>
  <c r="AF391" i="14"/>
  <c r="AE391" i="14"/>
  <c r="AD391" i="14"/>
  <c r="AC391" i="14"/>
  <c r="AB391" i="14"/>
  <c r="AA391" i="14"/>
  <c r="Z391" i="14"/>
  <c r="Y391" i="14"/>
  <c r="X391" i="14"/>
  <c r="W391" i="14"/>
  <c r="V391" i="14"/>
  <c r="U391" i="14"/>
  <c r="T391" i="14"/>
  <c r="S391" i="14"/>
  <c r="R391" i="14"/>
  <c r="Q391" i="14"/>
  <c r="P391" i="14"/>
  <c r="O391" i="14"/>
  <c r="N391" i="14"/>
  <c r="M391" i="14"/>
  <c r="L391" i="14"/>
  <c r="K391" i="14"/>
  <c r="J391" i="14"/>
  <c r="I391" i="14"/>
  <c r="H391" i="14"/>
  <c r="G391" i="14"/>
  <c r="F391" i="14"/>
  <c r="E391" i="14"/>
  <c r="D391" i="14"/>
  <c r="C391" i="14"/>
  <c r="B391" i="14"/>
  <c r="A391" i="14"/>
  <c r="AU390" i="14"/>
  <c r="AT390" i="14"/>
  <c r="AQ390" i="14"/>
  <c r="AP390" i="14"/>
  <c r="AO390" i="14"/>
  <c r="AN390" i="14"/>
  <c r="AL390" i="14"/>
  <c r="AJ390" i="14"/>
  <c r="AI390" i="14"/>
  <c r="AH390" i="14"/>
  <c r="AG390" i="14"/>
  <c r="AF390" i="14"/>
  <c r="AE390" i="14"/>
  <c r="AD390" i="14"/>
  <c r="AC390" i="14"/>
  <c r="AB390" i="14"/>
  <c r="AA390" i="14"/>
  <c r="Z390" i="14"/>
  <c r="Y390" i="14"/>
  <c r="X390" i="14"/>
  <c r="W390" i="14"/>
  <c r="V390" i="14"/>
  <c r="U390" i="14"/>
  <c r="T390" i="14"/>
  <c r="S390" i="14"/>
  <c r="R390" i="14"/>
  <c r="Q390" i="14"/>
  <c r="P390" i="14"/>
  <c r="O390" i="14"/>
  <c r="N390" i="14"/>
  <c r="M390" i="14"/>
  <c r="L390" i="14"/>
  <c r="K390" i="14"/>
  <c r="J390" i="14"/>
  <c r="I390" i="14"/>
  <c r="H390" i="14"/>
  <c r="G390" i="14"/>
  <c r="F390" i="14"/>
  <c r="E390" i="14"/>
  <c r="D390" i="14"/>
  <c r="C390" i="14"/>
  <c r="B390" i="14"/>
  <c r="A390" i="14"/>
  <c r="AU389" i="14"/>
  <c r="AT389" i="14"/>
  <c r="AQ389" i="14"/>
  <c r="AP389" i="14"/>
  <c r="AO389" i="14"/>
  <c r="AN389" i="14"/>
  <c r="AL389" i="14"/>
  <c r="AJ389" i="14"/>
  <c r="AI389" i="14"/>
  <c r="AH389" i="14"/>
  <c r="AG389" i="14"/>
  <c r="AF389" i="14"/>
  <c r="AE389" i="14"/>
  <c r="AD389" i="14"/>
  <c r="AC389" i="14"/>
  <c r="AB389" i="14"/>
  <c r="AA389" i="14"/>
  <c r="Z389" i="14"/>
  <c r="Y389" i="14"/>
  <c r="X389" i="14"/>
  <c r="W389" i="14"/>
  <c r="V389" i="14"/>
  <c r="U389" i="14"/>
  <c r="T389" i="14"/>
  <c r="S389" i="14"/>
  <c r="R389" i="14"/>
  <c r="Q389" i="14"/>
  <c r="P389" i="14"/>
  <c r="O389" i="14"/>
  <c r="N389" i="14"/>
  <c r="M389" i="14"/>
  <c r="L389" i="14"/>
  <c r="K389" i="14"/>
  <c r="J389" i="14"/>
  <c r="I389" i="14"/>
  <c r="H389" i="14"/>
  <c r="G389" i="14"/>
  <c r="F389" i="14"/>
  <c r="E389" i="14"/>
  <c r="D389" i="14"/>
  <c r="C389" i="14"/>
  <c r="B389" i="14"/>
  <c r="A389" i="14"/>
  <c r="AU388" i="14"/>
  <c r="AT388" i="14"/>
  <c r="AQ388" i="14"/>
  <c r="AP388" i="14"/>
  <c r="AO388" i="14"/>
  <c r="AN388" i="14"/>
  <c r="AL388" i="14"/>
  <c r="AJ388" i="14"/>
  <c r="AI388" i="14"/>
  <c r="AH388" i="14"/>
  <c r="AG388" i="14"/>
  <c r="AF388" i="14"/>
  <c r="AE388" i="14"/>
  <c r="AD388" i="14"/>
  <c r="AC388" i="14"/>
  <c r="AB388" i="14"/>
  <c r="AA388" i="14"/>
  <c r="Z388" i="14"/>
  <c r="Y388" i="14"/>
  <c r="X388" i="14"/>
  <c r="W388" i="14"/>
  <c r="V388" i="14"/>
  <c r="U388" i="14"/>
  <c r="T388" i="14"/>
  <c r="S388" i="14"/>
  <c r="R388" i="14"/>
  <c r="Q388" i="14"/>
  <c r="P388" i="14"/>
  <c r="O388" i="14"/>
  <c r="N388" i="14"/>
  <c r="M388" i="14"/>
  <c r="L388" i="14"/>
  <c r="K388" i="14"/>
  <c r="J388" i="14"/>
  <c r="I388" i="14"/>
  <c r="H388" i="14"/>
  <c r="G388" i="14"/>
  <c r="F388" i="14"/>
  <c r="E388" i="14"/>
  <c r="D388" i="14"/>
  <c r="C388" i="14"/>
  <c r="B388" i="14"/>
  <c r="A388" i="14"/>
  <c r="AU387" i="14"/>
  <c r="AT387" i="14"/>
  <c r="AQ387" i="14"/>
  <c r="AP387" i="14"/>
  <c r="AO387" i="14"/>
  <c r="AN387" i="14"/>
  <c r="AL387" i="14"/>
  <c r="AJ387" i="14"/>
  <c r="AI387" i="14"/>
  <c r="AH387" i="14"/>
  <c r="AG387" i="14"/>
  <c r="AF387" i="14"/>
  <c r="AE387" i="14"/>
  <c r="AD387" i="14"/>
  <c r="AC387" i="14"/>
  <c r="AB387" i="14"/>
  <c r="AA387" i="14"/>
  <c r="Z387" i="14"/>
  <c r="Y387" i="14"/>
  <c r="X387" i="14"/>
  <c r="W387" i="14"/>
  <c r="V387" i="14"/>
  <c r="U387" i="14"/>
  <c r="T387" i="14"/>
  <c r="S387" i="14"/>
  <c r="R387" i="14"/>
  <c r="Q387" i="14"/>
  <c r="P387" i="14"/>
  <c r="O387" i="14"/>
  <c r="N387" i="14"/>
  <c r="M387" i="14"/>
  <c r="L387" i="14"/>
  <c r="K387" i="14"/>
  <c r="J387" i="14"/>
  <c r="I387" i="14"/>
  <c r="H387" i="14"/>
  <c r="G387" i="14"/>
  <c r="F387" i="14"/>
  <c r="E387" i="14"/>
  <c r="D387" i="14"/>
  <c r="C387" i="14"/>
  <c r="B387" i="14"/>
  <c r="A387" i="14"/>
  <c r="AU386" i="14"/>
  <c r="AT386" i="14"/>
  <c r="AQ386" i="14"/>
  <c r="AP386" i="14"/>
  <c r="AO386" i="14"/>
  <c r="AN386" i="14"/>
  <c r="AL386" i="14"/>
  <c r="AJ386" i="14"/>
  <c r="AI386" i="14"/>
  <c r="AH386" i="14"/>
  <c r="AG386" i="14"/>
  <c r="AF386" i="14"/>
  <c r="AE386" i="14"/>
  <c r="AD386" i="14"/>
  <c r="AC386" i="14"/>
  <c r="AB386" i="14"/>
  <c r="AA386" i="14"/>
  <c r="Z386" i="14"/>
  <c r="Y386" i="14"/>
  <c r="X386" i="14"/>
  <c r="W386" i="14"/>
  <c r="V386" i="14"/>
  <c r="U386" i="14"/>
  <c r="T386" i="14"/>
  <c r="S386" i="14"/>
  <c r="R386" i="14"/>
  <c r="Q386" i="14"/>
  <c r="P386" i="14"/>
  <c r="O386" i="14"/>
  <c r="N386" i="14"/>
  <c r="M386" i="14"/>
  <c r="L386" i="14"/>
  <c r="K386" i="14"/>
  <c r="J386" i="14"/>
  <c r="I386" i="14"/>
  <c r="H386" i="14"/>
  <c r="G386" i="14"/>
  <c r="F386" i="14"/>
  <c r="E386" i="14"/>
  <c r="D386" i="14"/>
  <c r="C386" i="14"/>
  <c r="B386" i="14"/>
  <c r="A386" i="14"/>
  <c r="AU385" i="14"/>
  <c r="AT385" i="14"/>
  <c r="AQ385" i="14"/>
  <c r="AP385" i="14"/>
  <c r="AO385" i="14"/>
  <c r="AN385" i="14"/>
  <c r="AL385" i="14"/>
  <c r="AJ385" i="14"/>
  <c r="AI385" i="14"/>
  <c r="AH385" i="14"/>
  <c r="AG385" i="14"/>
  <c r="AF385" i="14"/>
  <c r="AE385" i="14"/>
  <c r="AD385" i="14"/>
  <c r="AC385" i="14"/>
  <c r="AB385" i="14"/>
  <c r="AA385" i="14"/>
  <c r="Z385" i="14"/>
  <c r="Y385" i="14"/>
  <c r="X385" i="14"/>
  <c r="W385" i="14"/>
  <c r="V385" i="14"/>
  <c r="U385" i="14"/>
  <c r="T385" i="14"/>
  <c r="S385" i="14"/>
  <c r="R385" i="14"/>
  <c r="Q385" i="14"/>
  <c r="P385" i="14"/>
  <c r="O385" i="14"/>
  <c r="N385" i="14"/>
  <c r="M385" i="14"/>
  <c r="L385" i="14"/>
  <c r="K385" i="14"/>
  <c r="J385" i="14"/>
  <c r="I385" i="14"/>
  <c r="H385" i="14"/>
  <c r="G385" i="14"/>
  <c r="F385" i="14"/>
  <c r="E385" i="14"/>
  <c r="D385" i="14"/>
  <c r="C385" i="14"/>
  <c r="B385" i="14"/>
  <c r="A385" i="14"/>
  <c r="AU384" i="14"/>
  <c r="AT384" i="14"/>
  <c r="AQ384" i="14"/>
  <c r="AP384" i="14"/>
  <c r="AO384" i="14"/>
  <c r="AN384" i="14"/>
  <c r="AL384" i="14"/>
  <c r="AJ384" i="14"/>
  <c r="AI384" i="14"/>
  <c r="AH384" i="14"/>
  <c r="AG384" i="14"/>
  <c r="AF384" i="14"/>
  <c r="AE384" i="14"/>
  <c r="AD384" i="14"/>
  <c r="AC384" i="14"/>
  <c r="AB384" i="14"/>
  <c r="AA384" i="14"/>
  <c r="Z384" i="14"/>
  <c r="Y384" i="14"/>
  <c r="X384" i="14"/>
  <c r="W384" i="14"/>
  <c r="V384" i="14"/>
  <c r="U384" i="14"/>
  <c r="T384" i="14"/>
  <c r="S384" i="14"/>
  <c r="R384" i="14"/>
  <c r="Q384" i="14"/>
  <c r="P384" i="14"/>
  <c r="O384" i="14"/>
  <c r="N384" i="14"/>
  <c r="M384" i="14"/>
  <c r="L384" i="14"/>
  <c r="K384" i="14"/>
  <c r="J384" i="14"/>
  <c r="I384" i="14"/>
  <c r="H384" i="14"/>
  <c r="G384" i="14"/>
  <c r="F384" i="14"/>
  <c r="E384" i="14"/>
  <c r="D384" i="14"/>
  <c r="C384" i="14"/>
  <c r="B384" i="14"/>
  <c r="A384" i="14"/>
  <c r="AU383" i="14"/>
  <c r="AT383" i="14"/>
  <c r="AQ383" i="14"/>
  <c r="AP383" i="14"/>
  <c r="AO383" i="14"/>
  <c r="AN383" i="14"/>
  <c r="AL383" i="14"/>
  <c r="AJ383" i="14"/>
  <c r="AI383" i="14"/>
  <c r="AH383" i="14"/>
  <c r="AG383" i="14"/>
  <c r="AF383" i="14"/>
  <c r="AE383" i="14"/>
  <c r="AD383" i="14"/>
  <c r="AC383" i="14"/>
  <c r="AB383" i="14"/>
  <c r="AA383" i="14"/>
  <c r="Z383" i="14"/>
  <c r="Y383" i="14"/>
  <c r="X383" i="14"/>
  <c r="W383" i="14"/>
  <c r="V383" i="14"/>
  <c r="U383" i="14"/>
  <c r="T383" i="14"/>
  <c r="S383" i="14"/>
  <c r="R383" i="14"/>
  <c r="Q383" i="14"/>
  <c r="P383" i="14"/>
  <c r="O383" i="14"/>
  <c r="N383" i="14"/>
  <c r="M383" i="14"/>
  <c r="L383" i="14"/>
  <c r="K383" i="14"/>
  <c r="J383" i="14"/>
  <c r="I383" i="14"/>
  <c r="H383" i="14"/>
  <c r="G383" i="14"/>
  <c r="F383" i="14"/>
  <c r="E383" i="14"/>
  <c r="D383" i="14"/>
  <c r="C383" i="14"/>
  <c r="B383" i="14"/>
  <c r="A383" i="14"/>
  <c r="AU382" i="14"/>
  <c r="AT382" i="14"/>
  <c r="AQ382" i="14"/>
  <c r="AP382" i="14"/>
  <c r="AO382" i="14"/>
  <c r="AN382" i="14"/>
  <c r="AL382" i="14"/>
  <c r="AJ382" i="14"/>
  <c r="AI382" i="14"/>
  <c r="AH382" i="14"/>
  <c r="AG382" i="14"/>
  <c r="AF382" i="14"/>
  <c r="AE382" i="14"/>
  <c r="AD382" i="14"/>
  <c r="AC382" i="14"/>
  <c r="AB382" i="14"/>
  <c r="AA382" i="14"/>
  <c r="Z382" i="14"/>
  <c r="Y382" i="14"/>
  <c r="X382" i="14"/>
  <c r="W382" i="14"/>
  <c r="V382" i="14"/>
  <c r="U382" i="14"/>
  <c r="T382" i="14"/>
  <c r="S382" i="14"/>
  <c r="R382" i="14"/>
  <c r="Q382" i="14"/>
  <c r="P382" i="14"/>
  <c r="O382" i="14"/>
  <c r="N382" i="14"/>
  <c r="M382" i="14"/>
  <c r="L382" i="14"/>
  <c r="K382" i="14"/>
  <c r="J382" i="14"/>
  <c r="I382" i="14"/>
  <c r="H382" i="14"/>
  <c r="G382" i="14"/>
  <c r="F382" i="14"/>
  <c r="E382" i="14"/>
  <c r="D382" i="14"/>
  <c r="C382" i="14"/>
  <c r="B382" i="14"/>
  <c r="A382" i="14"/>
  <c r="AU381" i="14"/>
  <c r="AT381" i="14"/>
  <c r="AQ381" i="14"/>
  <c r="AP381" i="14"/>
  <c r="AO381" i="14"/>
  <c r="AN381" i="14"/>
  <c r="AL381" i="14"/>
  <c r="AJ381" i="14"/>
  <c r="AI381" i="14"/>
  <c r="AH381" i="14"/>
  <c r="AG381" i="14"/>
  <c r="AF381" i="14"/>
  <c r="AE381" i="14"/>
  <c r="AD381" i="14"/>
  <c r="AC381" i="14"/>
  <c r="AB381" i="14"/>
  <c r="AA381" i="14"/>
  <c r="Z381" i="14"/>
  <c r="Y381" i="14"/>
  <c r="X381" i="14"/>
  <c r="W381" i="14"/>
  <c r="V381" i="14"/>
  <c r="U381" i="14"/>
  <c r="T381" i="14"/>
  <c r="S381" i="14"/>
  <c r="R381" i="14"/>
  <c r="Q381" i="14"/>
  <c r="P381" i="14"/>
  <c r="O381" i="14"/>
  <c r="N381" i="14"/>
  <c r="M381" i="14"/>
  <c r="L381" i="14"/>
  <c r="K381" i="14"/>
  <c r="J381" i="14"/>
  <c r="I381" i="14"/>
  <c r="H381" i="14"/>
  <c r="G381" i="14"/>
  <c r="F381" i="14"/>
  <c r="E381" i="14"/>
  <c r="D381" i="14"/>
  <c r="C381" i="14"/>
  <c r="B381" i="14"/>
  <c r="A381" i="14"/>
  <c r="AU380" i="14"/>
  <c r="AT380" i="14"/>
  <c r="AQ380" i="14"/>
  <c r="AP380" i="14"/>
  <c r="AO380" i="14"/>
  <c r="AN380" i="14"/>
  <c r="AL380" i="14"/>
  <c r="AJ380" i="14"/>
  <c r="AI380" i="14"/>
  <c r="AH380" i="14"/>
  <c r="AG380" i="14"/>
  <c r="AF380" i="14"/>
  <c r="AE380" i="14"/>
  <c r="AD380" i="14"/>
  <c r="AC380" i="14"/>
  <c r="AB380" i="14"/>
  <c r="AA380" i="14"/>
  <c r="Z380" i="14"/>
  <c r="Y380" i="14"/>
  <c r="X380" i="14"/>
  <c r="W380" i="14"/>
  <c r="V380" i="14"/>
  <c r="U380" i="14"/>
  <c r="T380" i="14"/>
  <c r="S380" i="14"/>
  <c r="R380" i="14"/>
  <c r="Q380" i="14"/>
  <c r="P380" i="14"/>
  <c r="O380" i="14"/>
  <c r="N380" i="14"/>
  <c r="M380" i="14"/>
  <c r="L380" i="14"/>
  <c r="K380" i="14"/>
  <c r="J380" i="14"/>
  <c r="I380" i="14"/>
  <c r="H380" i="14"/>
  <c r="G380" i="14"/>
  <c r="F380" i="14"/>
  <c r="E380" i="14"/>
  <c r="D380" i="14"/>
  <c r="C380" i="14"/>
  <c r="B380" i="14"/>
  <c r="A380" i="14"/>
  <c r="AU379" i="14"/>
  <c r="AT379" i="14"/>
  <c r="AQ379" i="14"/>
  <c r="AP379" i="14"/>
  <c r="AO379" i="14"/>
  <c r="AN379" i="14"/>
  <c r="AL379" i="14"/>
  <c r="AJ379" i="14"/>
  <c r="AI379" i="14"/>
  <c r="AH379" i="14"/>
  <c r="AG379" i="14"/>
  <c r="AF379" i="14"/>
  <c r="AE379" i="14"/>
  <c r="AD379" i="14"/>
  <c r="AC379" i="14"/>
  <c r="AB379" i="14"/>
  <c r="AA379" i="14"/>
  <c r="Z379" i="14"/>
  <c r="Y379" i="14"/>
  <c r="X379" i="14"/>
  <c r="W379" i="14"/>
  <c r="V379" i="14"/>
  <c r="U379" i="14"/>
  <c r="T379" i="14"/>
  <c r="S379" i="14"/>
  <c r="R379" i="14"/>
  <c r="Q379" i="14"/>
  <c r="P379" i="14"/>
  <c r="O379" i="14"/>
  <c r="N379" i="14"/>
  <c r="M379" i="14"/>
  <c r="L379" i="14"/>
  <c r="K379" i="14"/>
  <c r="J379" i="14"/>
  <c r="I379" i="14"/>
  <c r="H379" i="14"/>
  <c r="G379" i="14"/>
  <c r="F379" i="14"/>
  <c r="E379" i="14"/>
  <c r="D379" i="14"/>
  <c r="C379" i="14"/>
  <c r="B379" i="14"/>
  <c r="A379" i="14"/>
  <c r="AU378" i="14"/>
  <c r="AT378" i="14"/>
  <c r="AQ378" i="14"/>
  <c r="AP378" i="14"/>
  <c r="AO378" i="14"/>
  <c r="AN378" i="14"/>
  <c r="AL378" i="14"/>
  <c r="AJ378" i="14"/>
  <c r="AI378" i="14"/>
  <c r="AH378" i="14"/>
  <c r="AG378" i="14"/>
  <c r="AF378" i="14"/>
  <c r="AE378" i="14"/>
  <c r="AD378" i="14"/>
  <c r="AC378" i="14"/>
  <c r="AB378" i="14"/>
  <c r="AA378" i="14"/>
  <c r="Z378" i="14"/>
  <c r="Y378" i="14"/>
  <c r="X378" i="14"/>
  <c r="W378" i="14"/>
  <c r="V378" i="14"/>
  <c r="U378" i="14"/>
  <c r="T378" i="14"/>
  <c r="S378" i="14"/>
  <c r="R378" i="14"/>
  <c r="Q378" i="14"/>
  <c r="P378" i="14"/>
  <c r="O378" i="14"/>
  <c r="N378" i="14"/>
  <c r="M378" i="14"/>
  <c r="L378" i="14"/>
  <c r="K378" i="14"/>
  <c r="J378" i="14"/>
  <c r="I378" i="14"/>
  <c r="H378" i="14"/>
  <c r="G378" i="14"/>
  <c r="F378" i="14"/>
  <c r="E378" i="14"/>
  <c r="D378" i="14"/>
  <c r="C378" i="14"/>
  <c r="B378" i="14"/>
  <c r="A378" i="14"/>
  <c r="AU377" i="14"/>
  <c r="AT377" i="14"/>
  <c r="AQ377" i="14"/>
  <c r="AP377" i="14"/>
  <c r="AO377" i="14"/>
  <c r="AN377" i="14"/>
  <c r="AL377" i="14"/>
  <c r="AJ377" i="14"/>
  <c r="AI377" i="14"/>
  <c r="AH377" i="14"/>
  <c r="AG377" i="14"/>
  <c r="AF377" i="14"/>
  <c r="AE377" i="14"/>
  <c r="AD377" i="14"/>
  <c r="AC377" i="14"/>
  <c r="AB377" i="14"/>
  <c r="AA377" i="14"/>
  <c r="Z377" i="14"/>
  <c r="Y377" i="14"/>
  <c r="X377" i="14"/>
  <c r="W377" i="14"/>
  <c r="V377" i="14"/>
  <c r="U377" i="14"/>
  <c r="T377" i="14"/>
  <c r="S377" i="14"/>
  <c r="R377" i="14"/>
  <c r="Q377" i="14"/>
  <c r="P377" i="14"/>
  <c r="O377" i="14"/>
  <c r="N377" i="14"/>
  <c r="M377" i="14"/>
  <c r="L377" i="14"/>
  <c r="K377" i="14"/>
  <c r="J377" i="14"/>
  <c r="I377" i="14"/>
  <c r="H377" i="14"/>
  <c r="G377" i="14"/>
  <c r="F377" i="14"/>
  <c r="E377" i="14"/>
  <c r="D377" i="14"/>
  <c r="C377" i="14"/>
  <c r="B377" i="14"/>
  <c r="A377" i="14"/>
  <c r="AU376" i="14"/>
  <c r="AT376" i="14"/>
  <c r="AQ376" i="14"/>
  <c r="AP376" i="14"/>
  <c r="AO376" i="14"/>
  <c r="AN376" i="14"/>
  <c r="AL376" i="14"/>
  <c r="AJ376" i="14"/>
  <c r="AI376" i="14"/>
  <c r="AH376" i="14"/>
  <c r="AG376" i="14"/>
  <c r="AF376" i="14"/>
  <c r="AE376" i="14"/>
  <c r="AD376" i="14"/>
  <c r="AC376" i="14"/>
  <c r="AB376" i="14"/>
  <c r="AA376" i="14"/>
  <c r="Z376" i="14"/>
  <c r="Y376" i="14"/>
  <c r="X376" i="14"/>
  <c r="W376" i="14"/>
  <c r="V376" i="14"/>
  <c r="U376" i="14"/>
  <c r="T376" i="14"/>
  <c r="S376" i="14"/>
  <c r="R376" i="14"/>
  <c r="Q376" i="14"/>
  <c r="P376" i="14"/>
  <c r="O376" i="14"/>
  <c r="N376" i="14"/>
  <c r="M376" i="14"/>
  <c r="L376" i="14"/>
  <c r="K376" i="14"/>
  <c r="J376" i="14"/>
  <c r="I376" i="14"/>
  <c r="H376" i="14"/>
  <c r="G376" i="14"/>
  <c r="F376" i="14"/>
  <c r="E376" i="14"/>
  <c r="D376" i="14"/>
  <c r="C376" i="14"/>
  <c r="B376" i="14"/>
  <c r="A376" i="14"/>
  <c r="AU375" i="14"/>
  <c r="AT375" i="14"/>
  <c r="AQ375" i="14"/>
  <c r="AP375" i="14"/>
  <c r="AO375" i="14"/>
  <c r="AN375" i="14"/>
  <c r="AL375" i="14"/>
  <c r="AJ375" i="14"/>
  <c r="AI375" i="14"/>
  <c r="AH375" i="14"/>
  <c r="AG375" i="14"/>
  <c r="AF375" i="14"/>
  <c r="AE375" i="14"/>
  <c r="AD375" i="14"/>
  <c r="AC375" i="14"/>
  <c r="AB375" i="14"/>
  <c r="AA375" i="14"/>
  <c r="Z375" i="14"/>
  <c r="Y375" i="14"/>
  <c r="X375" i="14"/>
  <c r="W375" i="14"/>
  <c r="V375" i="14"/>
  <c r="U375" i="14"/>
  <c r="T375" i="14"/>
  <c r="S375" i="14"/>
  <c r="R375" i="14"/>
  <c r="Q375" i="14"/>
  <c r="P375" i="14"/>
  <c r="O375" i="14"/>
  <c r="N375" i="14"/>
  <c r="M375" i="14"/>
  <c r="L375" i="14"/>
  <c r="K375" i="14"/>
  <c r="J375" i="14"/>
  <c r="I375" i="14"/>
  <c r="H375" i="14"/>
  <c r="G375" i="14"/>
  <c r="F375" i="14"/>
  <c r="E375" i="14"/>
  <c r="D375" i="14"/>
  <c r="C375" i="14"/>
  <c r="B375" i="14"/>
  <c r="A375" i="14"/>
  <c r="AU374" i="14"/>
  <c r="AT374" i="14"/>
  <c r="AQ374" i="14"/>
  <c r="AP374" i="14"/>
  <c r="AO374" i="14"/>
  <c r="AN374" i="14"/>
  <c r="AL374" i="14"/>
  <c r="AJ374" i="14"/>
  <c r="AI374" i="14"/>
  <c r="AH374" i="14"/>
  <c r="AG374" i="14"/>
  <c r="AF374" i="14"/>
  <c r="AE374" i="14"/>
  <c r="AD374" i="14"/>
  <c r="AC374" i="14"/>
  <c r="AB374" i="14"/>
  <c r="AA374" i="14"/>
  <c r="Z374" i="14"/>
  <c r="Y374" i="14"/>
  <c r="X374" i="14"/>
  <c r="W374" i="14"/>
  <c r="V374" i="14"/>
  <c r="U374" i="14"/>
  <c r="T374" i="14"/>
  <c r="S374" i="14"/>
  <c r="R374" i="14"/>
  <c r="Q374" i="14"/>
  <c r="P374" i="14"/>
  <c r="O374" i="14"/>
  <c r="N374" i="14"/>
  <c r="M374" i="14"/>
  <c r="L374" i="14"/>
  <c r="K374" i="14"/>
  <c r="J374" i="14"/>
  <c r="I374" i="14"/>
  <c r="H374" i="14"/>
  <c r="G374" i="14"/>
  <c r="F374" i="14"/>
  <c r="E374" i="14"/>
  <c r="D374" i="14"/>
  <c r="C374" i="14"/>
  <c r="B374" i="14"/>
  <c r="A374" i="14"/>
  <c r="AU373" i="14"/>
  <c r="AT373" i="14"/>
  <c r="AQ373" i="14"/>
  <c r="AP373" i="14"/>
  <c r="AO373" i="14"/>
  <c r="AN373" i="14"/>
  <c r="AL373" i="14"/>
  <c r="AJ373" i="14"/>
  <c r="AI373" i="14"/>
  <c r="AH373" i="14"/>
  <c r="AG373" i="14"/>
  <c r="AF373" i="14"/>
  <c r="AE373" i="14"/>
  <c r="AD373" i="14"/>
  <c r="AC373" i="14"/>
  <c r="AB373" i="14"/>
  <c r="AA373" i="14"/>
  <c r="Z373" i="14"/>
  <c r="Y373" i="14"/>
  <c r="X373" i="14"/>
  <c r="W373" i="14"/>
  <c r="V373" i="14"/>
  <c r="U373" i="14"/>
  <c r="T373" i="14"/>
  <c r="S373" i="14"/>
  <c r="R373" i="14"/>
  <c r="Q373" i="14"/>
  <c r="P373" i="14"/>
  <c r="O373" i="14"/>
  <c r="N373" i="14"/>
  <c r="M373" i="14"/>
  <c r="L373" i="14"/>
  <c r="K373" i="14"/>
  <c r="J373" i="14"/>
  <c r="I373" i="14"/>
  <c r="H373" i="14"/>
  <c r="G373" i="14"/>
  <c r="F373" i="14"/>
  <c r="E373" i="14"/>
  <c r="D373" i="14"/>
  <c r="C373" i="14"/>
  <c r="B373" i="14"/>
  <c r="A373" i="14"/>
  <c r="AU372" i="14"/>
  <c r="AT372" i="14"/>
  <c r="AQ372" i="14"/>
  <c r="AP372" i="14"/>
  <c r="AO372" i="14"/>
  <c r="AN372" i="14"/>
  <c r="AL372" i="14"/>
  <c r="AJ372" i="14"/>
  <c r="AI372" i="14"/>
  <c r="AH372" i="14"/>
  <c r="AG372" i="14"/>
  <c r="AF372" i="14"/>
  <c r="AE372" i="14"/>
  <c r="AD372" i="14"/>
  <c r="AC372" i="14"/>
  <c r="AB372" i="14"/>
  <c r="AA372" i="14"/>
  <c r="Z372" i="14"/>
  <c r="Y372" i="14"/>
  <c r="X372" i="14"/>
  <c r="W372" i="14"/>
  <c r="V372" i="14"/>
  <c r="U372" i="14"/>
  <c r="T372" i="14"/>
  <c r="S372" i="14"/>
  <c r="R372" i="14"/>
  <c r="Q372" i="14"/>
  <c r="P372" i="14"/>
  <c r="O372" i="14"/>
  <c r="N372" i="14"/>
  <c r="M372" i="14"/>
  <c r="L372" i="14"/>
  <c r="K372" i="14"/>
  <c r="J372" i="14"/>
  <c r="I372" i="14"/>
  <c r="H372" i="14"/>
  <c r="G372" i="14"/>
  <c r="F372" i="14"/>
  <c r="E372" i="14"/>
  <c r="D372" i="14"/>
  <c r="C372" i="14"/>
  <c r="B372" i="14"/>
  <c r="A372" i="14"/>
  <c r="AU371" i="14"/>
  <c r="AT371" i="14"/>
  <c r="AQ371" i="14"/>
  <c r="AP371" i="14"/>
  <c r="AO371" i="14"/>
  <c r="AN371" i="14"/>
  <c r="AL371" i="14"/>
  <c r="AJ371" i="14"/>
  <c r="AI371" i="14"/>
  <c r="AH371" i="14"/>
  <c r="AG371" i="14"/>
  <c r="AF371" i="14"/>
  <c r="AE371" i="14"/>
  <c r="AD371" i="14"/>
  <c r="AC371" i="14"/>
  <c r="AB371" i="14"/>
  <c r="AA371" i="14"/>
  <c r="Z371" i="14"/>
  <c r="Y371" i="14"/>
  <c r="X371" i="14"/>
  <c r="W371" i="14"/>
  <c r="V371" i="14"/>
  <c r="U371" i="14"/>
  <c r="T371" i="14"/>
  <c r="S371" i="14"/>
  <c r="R371" i="14"/>
  <c r="Q371" i="14"/>
  <c r="P371" i="14"/>
  <c r="O371" i="14"/>
  <c r="N371" i="14"/>
  <c r="M371" i="14"/>
  <c r="L371" i="14"/>
  <c r="K371" i="14"/>
  <c r="J371" i="14"/>
  <c r="I371" i="14"/>
  <c r="H371" i="14"/>
  <c r="G371" i="14"/>
  <c r="F371" i="14"/>
  <c r="E371" i="14"/>
  <c r="D371" i="14"/>
  <c r="C371" i="14"/>
  <c r="B371" i="14"/>
  <c r="A371" i="14"/>
  <c r="AU370" i="14"/>
  <c r="AT370" i="14"/>
  <c r="AQ370" i="14"/>
  <c r="AP370" i="14"/>
  <c r="AO370" i="14"/>
  <c r="AN370" i="14"/>
  <c r="AL370" i="14"/>
  <c r="AJ370" i="14"/>
  <c r="AI370" i="14"/>
  <c r="AH370" i="14"/>
  <c r="AG370" i="14"/>
  <c r="AF370" i="14"/>
  <c r="AE370" i="14"/>
  <c r="AD370" i="14"/>
  <c r="AC370" i="14"/>
  <c r="AB370" i="14"/>
  <c r="AA370" i="14"/>
  <c r="Z370" i="14"/>
  <c r="Y370" i="14"/>
  <c r="X370" i="14"/>
  <c r="W370" i="14"/>
  <c r="V370" i="14"/>
  <c r="U370" i="14"/>
  <c r="T370" i="14"/>
  <c r="S370" i="14"/>
  <c r="R370" i="14"/>
  <c r="Q370" i="14"/>
  <c r="P370" i="14"/>
  <c r="O370" i="14"/>
  <c r="N370" i="14"/>
  <c r="M370" i="14"/>
  <c r="L370" i="14"/>
  <c r="K370" i="14"/>
  <c r="J370" i="14"/>
  <c r="I370" i="14"/>
  <c r="H370" i="14"/>
  <c r="G370" i="14"/>
  <c r="F370" i="14"/>
  <c r="E370" i="14"/>
  <c r="D370" i="14"/>
  <c r="C370" i="14"/>
  <c r="B370" i="14"/>
  <c r="A370" i="14"/>
  <c r="AU369" i="14"/>
  <c r="AT369" i="14"/>
  <c r="AQ369" i="14"/>
  <c r="AP369" i="14"/>
  <c r="AO369" i="14"/>
  <c r="AN369" i="14"/>
  <c r="AL369" i="14"/>
  <c r="AJ369" i="14"/>
  <c r="AI369" i="14"/>
  <c r="AH369" i="14"/>
  <c r="AG369" i="14"/>
  <c r="AF369" i="14"/>
  <c r="AE369" i="14"/>
  <c r="AD369" i="14"/>
  <c r="AC369" i="14"/>
  <c r="AB369" i="14"/>
  <c r="AA369" i="14"/>
  <c r="Z369" i="14"/>
  <c r="Y369" i="14"/>
  <c r="X369" i="14"/>
  <c r="W369" i="14"/>
  <c r="V369" i="14"/>
  <c r="U369" i="14"/>
  <c r="T369" i="14"/>
  <c r="S369" i="14"/>
  <c r="R369" i="14"/>
  <c r="Q369" i="14"/>
  <c r="P369" i="14"/>
  <c r="O369" i="14"/>
  <c r="N369" i="14"/>
  <c r="M369" i="14"/>
  <c r="L369" i="14"/>
  <c r="K369" i="14"/>
  <c r="J369" i="14"/>
  <c r="I369" i="14"/>
  <c r="H369" i="14"/>
  <c r="G369" i="14"/>
  <c r="F369" i="14"/>
  <c r="E369" i="14"/>
  <c r="D369" i="14"/>
  <c r="C369" i="14"/>
  <c r="B369" i="14"/>
  <c r="A369" i="14"/>
  <c r="AU368" i="14"/>
  <c r="AT368" i="14"/>
  <c r="AQ368" i="14"/>
  <c r="AP368" i="14"/>
  <c r="AO368" i="14"/>
  <c r="AN368" i="14"/>
  <c r="AL368" i="14"/>
  <c r="AJ368" i="14"/>
  <c r="AI368" i="14"/>
  <c r="AH368" i="14"/>
  <c r="AG368" i="14"/>
  <c r="AF368" i="14"/>
  <c r="AE368" i="14"/>
  <c r="AD368" i="14"/>
  <c r="AC368" i="14"/>
  <c r="AB368" i="14"/>
  <c r="AA368" i="14"/>
  <c r="Z368" i="14"/>
  <c r="Y368" i="14"/>
  <c r="X368" i="14"/>
  <c r="W368" i="14"/>
  <c r="V368" i="14"/>
  <c r="U368" i="14"/>
  <c r="T368" i="14"/>
  <c r="S368" i="14"/>
  <c r="R368" i="14"/>
  <c r="Q368" i="14"/>
  <c r="P368" i="14"/>
  <c r="O368" i="14"/>
  <c r="N368" i="14"/>
  <c r="M368" i="14"/>
  <c r="L368" i="14"/>
  <c r="K368" i="14"/>
  <c r="J368" i="14"/>
  <c r="I368" i="14"/>
  <c r="H368" i="14"/>
  <c r="G368" i="14"/>
  <c r="F368" i="14"/>
  <c r="E368" i="14"/>
  <c r="D368" i="14"/>
  <c r="C368" i="14"/>
  <c r="B368" i="14"/>
  <c r="A368" i="14"/>
  <c r="AU367" i="14"/>
  <c r="AT367" i="14"/>
  <c r="AQ367" i="14"/>
  <c r="AP367" i="14"/>
  <c r="AO367" i="14"/>
  <c r="AN367" i="14"/>
  <c r="AL367" i="14"/>
  <c r="AJ367" i="14"/>
  <c r="AI367" i="14"/>
  <c r="AH367" i="14"/>
  <c r="AG367" i="14"/>
  <c r="AF367" i="14"/>
  <c r="AE367" i="14"/>
  <c r="AD367" i="14"/>
  <c r="AC367" i="14"/>
  <c r="AB367" i="14"/>
  <c r="AA367" i="14"/>
  <c r="Z367" i="14"/>
  <c r="Y367" i="14"/>
  <c r="X367" i="14"/>
  <c r="W367" i="14"/>
  <c r="V367" i="14"/>
  <c r="U367" i="14"/>
  <c r="T367" i="14"/>
  <c r="S367" i="14"/>
  <c r="R367" i="14"/>
  <c r="Q367" i="14"/>
  <c r="P367" i="14"/>
  <c r="O367" i="14"/>
  <c r="N367" i="14"/>
  <c r="M367" i="14"/>
  <c r="L367" i="14"/>
  <c r="K367" i="14"/>
  <c r="J367" i="14"/>
  <c r="I367" i="14"/>
  <c r="H367" i="14"/>
  <c r="G367" i="14"/>
  <c r="F367" i="14"/>
  <c r="E367" i="14"/>
  <c r="D367" i="14"/>
  <c r="C367" i="14"/>
  <c r="B367" i="14"/>
  <c r="A367" i="14"/>
  <c r="AU366" i="14"/>
  <c r="AT366" i="14"/>
  <c r="AQ366" i="14"/>
  <c r="AP366" i="14"/>
  <c r="AO366" i="14"/>
  <c r="AN366" i="14"/>
  <c r="AL366" i="14"/>
  <c r="AJ366" i="14"/>
  <c r="AI366" i="14"/>
  <c r="AH366" i="14"/>
  <c r="AG366" i="14"/>
  <c r="AF366" i="14"/>
  <c r="AE366" i="14"/>
  <c r="AD366" i="14"/>
  <c r="AC366" i="14"/>
  <c r="AB366" i="14"/>
  <c r="AA366" i="14"/>
  <c r="Z366" i="14"/>
  <c r="Y366" i="14"/>
  <c r="X366" i="14"/>
  <c r="W366" i="14"/>
  <c r="V366" i="14"/>
  <c r="U366" i="14"/>
  <c r="T366" i="14"/>
  <c r="S366" i="14"/>
  <c r="R366" i="14"/>
  <c r="Q366" i="14"/>
  <c r="P366" i="14"/>
  <c r="O366" i="14"/>
  <c r="N366" i="14"/>
  <c r="M366" i="14"/>
  <c r="L366" i="14"/>
  <c r="K366" i="14"/>
  <c r="J366" i="14"/>
  <c r="I366" i="14"/>
  <c r="H366" i="14"/>
  <c r="G366" i="14"/>
  <c r="F366" i="14"/>
  <c r="E366" i="14"/>
  <c r="D366" i="14"/>
  <c r="C366" i="14"/>
  <c r="B366" i="14"/>
  <c r="A366" i="14"/>
  <c r="AU365" i="14"/>
  <c r="AT365" i="14"/>
  <c r="AQ365" i="14"/>
  <c r="AP365" i="14"/>
  <c r="AO365" i="14"/>
  <c r="AN365" i="14"/>
  <c r="AL365" i="14"/>
  <c r="AJ365" i="14"/>
  <c r="AI365" i="14"/>
  <c r="AH365" i="14"/>
  <c r="AG365" i="14"/>
  <c r="AF365" i="14"/>
  <c r="AE365" i="14"/>
  <c r="AD365" i="14"/>
  <c r="AC365" i="14"/>
  <c r="AB365" i="14"/>
  <c r="AA365" i="14"/>
  <c r="Z365" i="14"/>
  <c r="Y365" i="14"/>
  <c r="X365" i="14"/>
  <c r="W365" i="14"/>
  <c r="V365" i="14"/>
  <c r="U365" i="14"/>
  <c r="T365" i="14"/>
  <c r="S365" i="14"/>
  <c r="R365" i="14"/>
  <c r="Q365" i="14"/>
  <c r="P365" i="14"/>
  <c r="O365" i="14"/>
  <c r="N365" i="14"/>
  <c r="M365" i="14"/>
  <c r="L365" i="14"/>
  <c r="K365" i="14"/>
  <c r="J365" i="14"/>
  <c r="I365" i="14"/>
  <c r="H365" i="14"/>
  <c r="G365" i="14"/>
  <c r="F365" i="14"/>
  <c r="E365" i="14"/>
  <c r="D365" i="14"/>
  <c r="C365" i="14"/>
  <c r="B365" i="14"/>
  <c r="A365" i="14"/>
  <c r="AU364" i="14"/>
  <c r="AT364" i="14"/>
  <c r="AQ364" i="14"/>
  <c r="AP364" i="14"/>
  <c r="AO364" i="14"/>
  <c r="AN364" i="14"/>
  <c r="AL364" i="14"/>
  <c r="AJ364" i="14"/>
  <c r="AI364" i="14"/>
  <c r="AH364" i="14"/>
  <c r="AG364" i="14"/>
  <c r="AF364" i="14"/>
  <c r="AE364" i="14"/>
  <c r="AD364" i="14"/>
  <c r="AC364" i="14"/>
  <c r="AB364" i="14"/>
  <c r="AA364" i="14"/>
  <c r="Z364" i="14"/>
  <c r="Y364" i="14"/>
  <c r="X364" i="14"/>
  <c r="W364" i="14"/>
  <c r="V364" i="14"/>
  <c r="U364" i="14"/>
  <c r="T364" i="14"/>
  <c r="S364" i="14"/>
  <c r="R364" i="14"/>
  <c r="Q364" i="14"/>
  <c r="P364" i="14"/>
  <c r="O364" i="14"/>
  <c r="N364" i="14"/>
  <c r="M364" i="14"/>
  <c r="L364" i="14"/>
  <c r="K364" i="14"/>
  <c r="J364" i="14"/>
  <c r="I364" i="14"/>
  <c r="H364" i="14"/>
  <c r="G364" i="14"/>
  <c r="F364" i="14"/>
  <c r="E364" i="14"/>
  <c r="D364" i="14"/>
  <c r="C364" i="14"/>
  <c r="B364" i="14"/>
  <c r="A364" i="14"/>
  <c r="AU363" i="14"/>
  <c r="AT363" i="14"/>
  <c r="AQ363" i="14"/>
  <c r="AP363" i="14"/>
  <c r="AO363" i="14"/>
  <c r="AN363" i="14"/>
  <c r="AL363" i="14"/>
  <c r="AJ363" i="14"/>
  <c r="AI363" i="14"/>
  <c r="AH363" i="14"/>
  <c r="AG363" i="14"/>
  <c r="AF363" i="14"/>
  <c r="AE363" i="14"/>
  <c r="AD363" i="14"/>
  <c r="AC363" i="14"/>
  <c r="AB363" i="14"/>
  <c r="AA363" i="14"/>
  <c r="Z363" i="14"/>
  <c r="Y363" i="14"/>
  <c r="X363" i="14"/>
  <c r="W363" i="14"/>
  <c r="V363" i="14"/>
  <c r="U363" i="14"/>
  <c r="T363" i="14"/>
  <c r="S363" i="14"/>
  <c r="R363" i="14"/>
  <c r="Q363" i="14"/>
  <c r="P363" i="14"/>
  <c r="O363" i="14"/>
  <c r="N363" i="14"/>
  <c r="M363" i="14"/>
  <c r="L363" i="14"/>
  <c r="K363" i="14"/>
  <c r="J363" i="14"/>
  <c r="I363" i="14"/>
  <c r="H363" i="14"/>
  <c r="G363" i="14"/>
  <c r="F363" i="14"/>
  <c r="E363" i="14"/>
  <c r="D363" i="14"/>
  <c r="C363" i="14"/>
  <c r="B363" i="14"/>
  <c r="A363" i="14"/>
  <c r="AU362" i="14"/>
  <c r="AT362" i="14"/>
  <c r="AQ362" i="14"/>
  <c r="AP362" i="14"/>
  <c r="AO362" i="14"/>
  <c r="AN362" i="14"/>
  <c r="AL362" i="14"/>
  <c r="AJ362" i="14"/>
  <c r="AI362" i="14"/>
  <c r="AH362" i="14"/>
  <c r="AG362" i="14"/>
  <c r="AF362" i="14"/>
  <c r="AE362" i="14"/>
  <c r="AD362" i="14"/>
  <c r="AC362" i="14"/>
  <c r="AB362" i="14"/>
  <c r="AA362" i="14"/>
  <c r="Z362" i="14"/>
  <c r="Y362" i="14"/>
  <c r="X362" i="14"/>
  <c r="W362" i="14"/>
  <c r="V362" i="14"/>
  <c r="U362" i="14"/>
  <c r="T362" i="14"/>
  <c r="S362" i="14"/>
  <c r="R362" i="14"/>
  <c r="Q362" i="14"/>
  <c r="P362" i="14"/>
  <c r="O362" i="14"/>
  <c r="N362" i="14"/>
  <c r="M362" i="14"/>
  <c r="L362" i="14"/>
  <c r="K362" i="14"/>
  <c r="J362" i="14"/>
  <c r="I362" i="14"/>
  <c r="H362" i="14"/>
  <c r="G362" i="14"/>
  <c r="F362" i="14"/>
  <c r="E362" i="14"/>
  <c r="D362" i="14"/>
  <c r="C362" i="14"/>
  <c r="B362" i="14"/>
  <c r="A362" i="14"/>
  <c r="AU361" i="14"/>
  <c r="AT361" i="14"/>
  <c r="AQ361" i="14"/>
  <c r="AP361" i="14"/>
  <c r="AO361" i="14"/>
  <c r="AN361" i="14"/>
  <c r="AL361" i="14"/>
  <c r="AJ361" i="14"/>
  <c r="AI361" i="14"/>
  <c r="AH361" i="14"/>
  <c r="AG361" i="14"/>
  <c r="AF361" i="14"/>
  <c r="AE361" i="14"/>
  <c r="AD361" i="14"/>
  <c r="AC361" i="14"/>
  <c r="AB361" i="14"/>
  <c r="AA361" i="14"/>
  <c r="Z361" i="14"/>
  <c r="Y361" i="14"/>
  <c r="X361" i="14"/>
  <c r="W361" i="14"/>
  <c r="V361" i="14"/>
  <c r="U361" i="14"/>
  <c r="T361" i="14"/>
  <c r="S361" i="14"/>
  <c r="R361" i="14"/>
  <c r="Q361" i="14"/>
  <c r="P361" i="14"/>
  <c r="O361" i="14"/>
  <c r="N361" i="14"/>
  <c r="M361" i="14"/>
  <c r="L361" i="14"/>
  <c r="K361" i="14"/>
  <c r="J361" i="14"/>
  <c r="I361" i="14"/>
  <c r="H361" i="14"/>
  <c r="G361" i="14"/>
  <c r="F361" i="14"/>
  <c r="E361" i="14"/>
  <c r="D361" i="14"/>
  <c r="C361" i="14"/>
  <c r="B361" i="14"/>
  <c r="A361" i="14"/>
  <c r="AU360" i="14"/>
  <c r="AT360" i="14"/>
  <c r="AQ360" i="14"/>
  <c r="AP360" i="14"/>
  <c r="AO360" i="14"/>
  <c r="AN360" i="14"/>
  <c r="AL360" i="14"/>
  <c r="AJ360" i="14"/>
  <c r="AI360" i="14"/>
  <c r="AH360" i="14"/>
  <c r="AG360" i="14"/>
  <c r="AF360" i="14"/>
  <c r="AE360" i="14"/>
  <c r="AD360" i="14"/>
  <c r="AC360" i="14"/>
  <c r="AB360" i="14"/>
  <c r="AA360" i="14"/>
  <c r="Z360" i="14"/>
  <c r="Y360" i="14"/>
  <c r="X360" i="14"/>
  <c r="W360" i="14"/>
  <c r="V360" i="14"/>
  <c r="U360" i="14"/>
  <c r="T360" i="14"/>
  <c r="S360" i="14"/>
  <c r="R360" i="14"/>
  <c r="Q360" i="14"/>
  <c r="P360" i="14"/>
  <c r="O360" i="14"/>
  <c r="N360" i="14"/>
  <c r="M360" i="14"/>
  <c r="L360" i="14"/>
  <c r="K360" i="14"/>
  <c r="J360" i="14"/>
  <c r="I360" i="14"/>
  <c r="H360" i="14"/>
  <c r="G360" i="14"/>
  <c r="F360" i="14"/>
  <c r="E360" i="14"/>
  <c r="D360" i="14"/>
  <c r="C360" i="14"/>
  <c r="B360" i="14"/>
  <c r="A360" i="14"/>
  <c r="AU359" i="14"/>
  <c r="AT359" i="14"/>
  <c r="AQ359" i="14"/>
  <c r="AP359" i="14"/>
  <c r="AO359" i="14"/>
  <c r="AN359" i="14"/>
  <c r="AL359" i="14"/>
  <c r="AJ359" i="14"/>
  <c r="AI359" i="14"/>
  <c r="AH359" i="14"/>
  <c r="AG359" i="14"/>
  <c r="AF359" i="14"/>
  <c r="AE359" i="14"/>
  <c r="AD359" i="14"/>
  <c r="AC359" i="14"/>
  <c r="AB359" i="14"/>
  <c r="AA359" i="14"/>
  <c r="Z359" i="14"/>
  <c r="Y359" i="14"/>
  <c r="X359" i="14"/>
  <c r="W359" i="14"/>
  <c r="V359" i="14"/>
  <c r="U359" i="14"/>
  <c r="T359" i="14"/>
  <c r="S359" i="14"/>
  <c r="R359" i="14"/>
  <c r="Q359" i="14"/>
  <c r="P359" i="14"/>
  <c r="O359" i="14"/>
  <c r="N359" i="14"/>
  <c r="M359" i="14"/>
  <c r="L359" i="14"/>
  <c r="K359" i="14"/>
  <c r="J359" i="14"/>
  <c r="I359" i="14"/>
  <c r="H359" i="14"/>
  <c r="G359" i="14"/>
  <c r="F359" i="14"/>
  <c r="E359" i="14"/>
  <c r="D359" i="14"/>
  <c r="C359" i="14"/>
  <c r="B359" i="14"/>
  <c r="A359" i="14"/>
  <c r="AU358" i="14"/>
  <c r="AT358" i="14"/>
  <c r="AQ358" i="14"/>
  <c r="AP358" i="14"/>
  <c r="AO358" i="14"/>
  <c r="AN358" i="14"/>
  <c r="AL358" i="14"/>
  <c r="AJ358" i="14"/>
  <c r="AI358" i="14"/>
  <c r="AH358" i="14"/>
  <c r="AG358" i="14"/>
  <c r="AF358" i="14"/>
  <c r="AE358" i="14"/>
  <c r="AD358" i="14"/>
  <c r="AC358" i="14"/>
  <c r="AB358" i="14"/>
  <c r="AA358" i="14"/>
  <c r="Z358" i="14"/>
  <c r="Y358" i="14"/>
  <c r="X358" i="14"/>
  <c r="W358" i="14"/>
  <c r="V358" i="14"/>
  <c r="U358" i="14"/>
  <c r="T358" i="14"/>
  <c r="S358" i="14"/>
  <c r="R358" i="14"/>
  <c r="Q358" i="14"/>
  <c r="P358" i="14"/>
  <c r="O358" i="14"/>
  <c r="N358" i="14"/>
  <c r="M358" i="14"/>
  <c r="L358" i="14"/>
  <c r="K358" i="14"/>
  <c r="J358" i="14"/>
  <c r="I358" i="14"/>
  <c r="H358" i="14"/>
  <c r="G358" i="14"/>
  <c r="F358" i="14"/>
  <c r="E358" i="14"/>
  <c r="D358" i="14"/>
  <c r="C358" i="14"/>
  <c r="B358" i="14"/>
  <c r="A358" i="14"/>
  <c r="AU357" i="14"/>
  <c r="AT357" i="14"/>
  <c r="AQ357" i="14"/>
  <c r="AP357" i="14"/>
  <c r="AO357" i="14"/>
  <c r="AN357" i="14"/>
  <c r="AL357" i="14"/>
  <c r="AJ357" i="14"/>
  <c r="AI357" i="14"/>
  <c r="AH357" i="14"/>
  <c r="AG357" i="14"/>
  <c r="AF357" i="14"/>
  <c r="AE357" i="14"/>
  <c r="AD357" i="14"/>
  <c r="AC357" i="14"/>
  <c r="AB357" i="14"/>
  <c r="AA357" i="14"/>
  <c r="Z357" i="14"/>
  <c r="Y357" i="14"/>
  <c r="X357" i="14"/>
  <c r="W357" i="14"/>
  <c r="V357" i="14"/>
  <c r="U357" i="14"/>
  <c r="T357" i="14"/>
  <c r="S357" i="14"/>
  <c r="R357" i="14"/>
  <c r="Q357" i="14"/>
  <c r="P357" i="14"/>
  <c r="O357" i="14"/>
  <c r="N357" i="14"/>
  <c r="M357" i="14"/>
  <c r="L357" i="14"/>
  <c r="K357" i="14"/>
  <c r="J357" i="14"/>
  <c r="I357" i="14"/>
  <c r="H357" i="14"/>
  <c r="G357" i="14"/>
  <c r="F357" i="14"/>
  <c r="E357" i="14"/>
  <c r="D357" i="14"/>
  <c r="C357" i="14"/>
  <c r="B357" i="14"/>
  <c r="A357" i="14"/>
  <c r="AU356" i="14"/>
  <c r="AT356" i="14"/>
  <c r="AQ356" i="14"/>
  <c r="AP356" i="14"/>
  <c r="AO356" i="14"/>
  <c r="AN356" i="14"/>
  <c r="AL356" i="14"/>
  <c r="AJ356" i="14"/>
  <c r="AI356" i="14"/>
  <c r="AH356" i="14"/>
  <c r="AG356" i="14"/>
  <c r="AF356" i="14"/>
  <c r="AE356" i="14"/>
  <c r="AD356" i="14"/>
  <c r="AC356" i="14"/>
  <c r="AB356" i="14"/>
  <c r="AA356" i="14"/>
  <c r="Z356" i="14"/>
  <c r="Y356" i="14"/>
  <c r="X356" i="14"/>
  <c r="W356" i="14"/>
  <c r="V356" i="14"/>
  <c r="U356" i="14"/>
  <c r="T356" i="14"/>
  <c r="S356" i="14"/>
  <c r="R356" i="14"/>
  <c r="Q356" i="14"/>
  <c r="P356" i="14"/>
  <c r="O356" i="14"/>
  <c r="N356" i="14"/>
  <c r="M356" i="14"/>
  <c r="L356" i="14"/>
  <c r="K356" i="14"/>
  <c r="J356" i="14"/>
  <c r="I356" i="14"/>
  <c r="H356" i="14"/>
  <c r="G356" i="14"/>
  <c r="F356" i="14"/>
  <c r="E356" i="14"/>
  <c r="D356" i="14"/>
  <c r="C356" i="14"/>
  <c r="B356" i="14"/>
  <c r="A356" i="14"/>
  <c r="AU355" i="14"/>
  <c r="AT355" i="14"/>
  <c r="AQ355" i="14"/>
  <c r="AP355" i="14"/>
  <c r="AO355" i="14"/>
  <c r="AN355" i="14"/>
  <c r="AL355" i="14"/>
  <c r="AJ355" i="14"/>
  <c r="AI355" i="14"/>
  <c r="AH355" i="14"/>
  <c r="AG355" i="14"/>
  <c r="AF355" i="14"/>
  <c r="AE355" i="14"/>
  <c r="AD355" i="14"/>
  <c r="AC355" i="14"/>
  <c r="AB355" i="14"/>
  <c r="AA355" i="14"/>
  <c r="Z355" i="14"/>
  <c r="Y355" i="14"/>
  <c r="X355" i="14"/>
  <c r="W355" i="14"/>
  <c r="V355" i="14"/>
  <c r="U355" i="14"/>
  <c r="T355" i="14"/>
  <c r="S355" i="14"/>
  <c r="R355" i="14"/>
  <c r="Q355" i="14"/>
  <c r="P355" i="14"/>
  <c r="O355" i="14"/>
  <c r="N355" i="14"/>
  <c r="M355" i="14"/>
  <c r="L355" i="14"/>
  <c r="K355" i="14"/>
  <c r="J355" i="14"/>
  <c r="I355" i="14"/>
  <c r="H355" i="14"/>
  <c r="G355" i="14"/>
  <c r="F355" i="14"/>
  <c r="E355" i="14"/>
  <c r="D355" i="14"/>
  <c r="C355" i="14"/>
  <c r="B355" i="14"/>
  <c r="A355" i="14"/>
  <c r="AU354" i="14"/>
  <c r="AT354" i="14"/>
  <c r="AQ354" i="14"/>
  <c r="AP354" i="14"/>
  <c r="AO354" i="14"/>
  <c r="AN354" i="14"/>
  <c r="AL354" i="14"/>
  <c r="AJ354" i="14"/>
  <c r="AI354" i="14"/>
  <c r="AH354" i="14"/>
  <c r="AG354" i="14"/>
  <c r="AF354" i="14"/>
  <c r="AE354" i="14"/>
  <c r="AD354" i="14"/>
  <c r="AC354" i="14"/>
  <c r="AB354" i="14"/>
  <c r="AA354" i="14"/>
  <c r="Z354" i="14"/>
  <c r="Y354" i="14"/>
  <c r="X354" i="14"/>
  <c r="W354" i="14"/>
  <c r="V354" i="14"/>
  <c r="U354" i="14"/>
  <c r="T354" i="14"/>
  <c r="S354" i="14"/>
  <c r="R354" i="14"/>
  <c r="Q354" i="14"/>
  <c r="P354" i="14"/>
  <c r="O354" i="14"/>
  <c r="N354" i="14"/>
  <c r="M354" i="14"/>
  <c r="L354" i="14"/>
  <c r="K354" i="14"/>
  <c r="J354" i="14"/>
  <c r="I354" i="14"/>
  <c r="H354" i="14"/>
  <c r="G354" i="14"/>
  <c r="F354" i="14"/>
  <c r="E354" i="14"/>
  <c r="D354" i="14"/>
  <c r="C354" i="14"/>
  <c r="B354" i="14"/>
  <c r="A354" i="14"/>
  <c r="AU353" i="14"/>
  <c r="AT353" i="14"/>
  <c r="AQ353" i="14"/>
  <c r="AP353" i="14"/>
  <c r="AO353" i="14"/>
  <c r="AN353" i="14"/>
  <c r="AL353" i="14"/>
  <c r="AJ353" i="14"/>
  <c r="AI353" i="14"/>
  <c r="AH353" i="14"/>
  <c r="AG353" i="14"/>
  <c r="AF353" i="14"/>
  <c r="AE353" i="14"/>
  <c r="AD353" i="14"/>
  <c r="AC353" i="14"/>
  <c r="AB353" i="14"/>
  <c r="AA353" i="14"/>
  <c r="Z353" i="14"/>
  <c r="Y353" i="14"/>
  <c r="X353" i="14"/>
  <c r="W353" i="14"/>
  <c r="V353" i="14"/>
  <c r="U353" i="14"/>
  <c r="T353" i="14"/>
  <c r="S353" i="14"/>
  <c r="R353" i="14"/>
  <c r="Q353" i="14"/>
  <c r="P353" i="14"/>
  <c r="O353" i="14"/>
  <c r="N353" i="14"/>
  <c r="M353" i="14"/>
  <c r="L353" i="14"/>
  <c r="K353" i="14"/>
  <c r="J353" i="14"/>
  <c r="I353" i="14"/>
  <c r="H353" i="14"/>
  <c r="G353" i="14"/>
  <c r="F353" i="14"/>
  <c r="E353" i="14"/>
  <c r="D353" i="14"/>
  <c r="C353" i="14"/>
  <c r="B353" i="14"/>
  <c r="A353" i="14"/>
  <c r="AU352" i="14"/>
  <c r="AT352" i="14"/>
  <c r="AQ352" i="14"/>
  <c r="AP352" i="14"/>
  <c r="AO352" i="14"/>
  <c r="AN352" i="14"/>
  <c r="AL352" i="14"/>
  <c r="AJ352" i="14"/>
  <c r="AI352" i="14"/>
  <c r="AH352" i="14"/>
  <c r="AG352" i="14"/>
  <c r="AF352" i="14"/>
  <c r="AE352" i="14"/>
  <c r="AD352" i="14"/>
  <c r="AC352" i="14"/>
  <c r="AB352" i="14"/>
  <c r="AA352" i="14"/>
  <c r="Z352" i="14"/>
  <c r="Y352" i="14"/>
  <c r="X352" i="14"/>
  <c r="W352" i="14"/>
  <c r="V352" i="14"/>
  <c r="U352" i="14"/>
  <c r="T352" i="14"/>
  <c r="S352" i="14"/>
  <c r="R352" i="14"/>
  <c r="Q352" i="14"/>
  <c r="P352" i="14"/>
  <c r="O352" i="14"/>
  <c r="N352" i="14"/>
  <c r="M352" i="14"/>
  <c r="L352" i="14"/>
  <c r="K352" i="14"/>
  <c r="J352" i="14"/>
  <c r="I352" i="14"/>
  <c r="H352" i="14"/>
  <c r="G352" i="14"/>
  <c r="F352" i="14"/>
  <c r="E352" i="14"/>
  <c r="D352" i="14"/>
  <c r="C352" i="14"/>
  <c r="B352" i="14"/>
  <c r="A352" i="14"/>
  <c r="AU351" i="14"/>
  <c r="AT351" i="14"/>
  <c r="AQ351" i="14"/>
  <c r="AP351" i="14"/>
  <c r="AO351" i="14"/>
  <c r="AN351" i="14"/>
  <c r="AL351" i="14"/>
  <c r="AJ351" i="14"/>
  <c r="AI351" i="14"/>
  <c r="AH351" i="14"/>
  <c r="AG351" i="14"/>
  <c r="AF351" i="14"/>
  <c r="AE351" i="14"/>
  <c r="AD351" i="14"/>
  <c r="AC351" i="14"/>
  <c r="AB351" i="14"/>
  <c r="AA351" i="14"/>
  <c r="Z351" i="14"/>
  <c r="Y351" i="14"/>
  <c r="X351" i="14"/>
  <c r="W351" i="14"/>
  <c r="V351" i="14"/>
  <c r="U351" i="14"/>
  <c r="T351" i="14"/>
  <c r="S351" i="14"/>
  <c r="R351" i="14"/>
  <c r="Q351" i="14"/>
  <c r="P351" i="14"/>
  <c r="O351" i="14"/>
  <c r="N351" i="14"/>
  <c r="M351" i="14"/>
  <c r="L351" i="14"/>
  <c r="K351" i="14"/>
  <c r="J351" i="14"/>
  <c r="I351" i="14"/>
  <c r="H351" i="14"/>
  <c r="G351" i="14"/>
  <c r="F351" i="14"/>
  <c r="E351" i="14"/>
  <c r="D351" i="14"/>
  <c r="C351" i="14"/>
  <c r="B351" i="14"/>
  <c r="A351" i="14"/>
  <c r="AU350" i="14"/>
  <c r="AT350" i="14"/>
  <c r="AQ350" i="14"/>
  <c r="AP350" i="14"/>
  <c r="AO350" i="14"/>
  <c r="AN350" i="14"/>
  <c r="AL350" i="14"/>
  <c r="AJ350" i="14"/>
  <c r="AI350" i="14"/>
  <c r="AH350" i="14"/>
  <c r="AG350" i="14"/>
  <c r="AF350" i="14"/>
  <c r="AE350" i="14"/>
  <c r="AD350" i="14"/>
  <c r="AC350" i="14"/>
  <c r="AB350" i="14"/>
  <c r="AA350" i="14"/>
  <c r="Z350" i="14"/>
  <c r="Y350" i="14"/>
  <c r="X350" i="14"/>
  <c r="W350" i="14"/>
  <c r="V350" i="14"/>
  <c r="U350" i="14"/>
  <c r="T350" i="14"/>
  <c r="S350" i="14"/>
  <c r="R350" i="14"/>
  <c r="Q350" i="14"/>
  <c r="P350" i="14"/>
  <c r="O350" i="14"/>
  <c r="N350" i="14"/>
  <c r="M350" i="14"/>
  <c r="L350" i="14"/>
  <c r="K350" i="14"/>
  <c r="J350" i="14"/>
  <c r="I350" i="14"/>
  <c r="H350" i="14"/>
  <c r="G350" i="14"/>
  <c r="F350" i="14"/>
  <c r="E350" i="14"/>
  <c r="D350" i="14"/>
  <c r="C350" i="14"/>
  <c r="B350" i="14"/>
  <c r="A350" i="14"/>
  <c r="AU349" i="14"/>
  <c r="AT349" i="14"/>
  <c r="AQ349" i="14"/>
  <c r="AP349" i="14"/>
  <c r="AO349" i="14"/>
  <c r="AN349" i="14"/>
  <c r="AL349" i="14"/>
  <c r="AJ349" i="14"/>
  <c r="AI349" i="14"/>
  <c r="AH349" i="14"/>
  <c r="AG349" i="14"/>
  <c r="AF349" i="14"/>
  <c r="AE349" i="14"/>
  <c r="AD349" i="14"/>
  <c r="AC349" i="14"/>
  <c r="AB349" i="14"/>
  <c r="AA349" i="14"/>
  <c r="Z349" i="14"/>
  <c r="Y349" i="14"/>
  <c r="X349" i="14"/>
  <c r="W349" i="14"/>
  <c r="V349" i="14"/>
  <c r="U349" i="14"/>
  <c r="T349" i="14"/>
  <c r="S349" i="14"/>
  <c r="R349" i="14"/>
  <c r="Q349" i="14"/>
  <c r="P349" i="14"/>
  <c r="O349" i="14"/>
  <c r="N349" i="14"/>
  <c r="M349" i="14"/>
  <c r="L349" i="14"/>
  <c r="K349" i="14"/>
  <c r="J349" i="14"/>
  <c r="I349" i="14"/>
  <c r="H349" i="14"/>
  <c r="G349" i="14"/>
  <c r="F349" i="14"/>
  <c r="E349" i="14"/>
  <c r="D349" i="14"/>
  <c r="C349" i="14"/>
  <c r="B349" i="14"/>
  <c r="A349" i="14"/>
  <c r="AU348" i="14"/>
  <c r="AT348" i="14"/>
  <c r="AQ348" i="14"/>
  <c r="AP348" i="14"/>
  <c r="AO348" i="14"/>
  <c r="AN348" i="14"/>
  <c r="AL348" i="14"/>
  <c r="AJ348" i="14"/>
  <c r="AI348" i="14"/>
  <c r="AH348" i="14"/>
  <c r="AG348" i="14"/>
  <c r="AF348" i="14"/>
  <c r="AE348" i="14"/>
  <c r="AD348" i="14"/>
  <c r="AC348" i="14"/>
  <c r="AB348" i="14"/>
  <c r="AA348" i="14"/>
  <c r="Z348" i="14"/>
  <c r="Y348" i="14"/>
  <c r="X348" i="14"/>
  <c r="W348" i="14"/>
  <c r="V348" i="14"/>
  <c r="U348" i="14"/>
  <c r="T348" i="14"/>
  <c r="S348" i="14"/>
  <c r="R348" i="14"/>
  <c r="Q348" i="14"/>
  <c r="P348" i="14"/>
  <c r="O348" i="14"/>
  <c r="N348" i="14"/>
  <c r="M348" i="14"/>
  <c r="L348" i="14"/>
  <c r="K348" i="14"/>
  <c r="J348" i="14"/>
  <c r="I348" i="14"/>
  <c r="H348" i="14"/>
  <c r="G348" i="14"/>
  <c r="F348" i="14"/>
  <c r="E348" i="14"/>
  <c r="D348" i="14"/>
  <c r="C348" i="14"/>
  <c r="B348" i="14"/>
  <c r="A348" i="14"/>
  <c r="AU347" i="14"/>
  <c r="AT347" i="14"/>
  <c r="AQ347" i="14"/>
  <c r="AP347" i="14"/>
  <c r="AO347" i="14"/>
  <c r="AN347" i="14"/>
  <c r="AL347" i="14"/>
  <c r="AJ347" i="14"/>
  <c r="AI347" i="14"/>
  <c r="AH347" i="14"/>
  <c r="AG347" i="14"/>
  <c r="AF347" i="14"/>
  <c r="AE347" i="14"/>
  <c r="AD347" i="14"/>
  <c r="AC347" i="14"/>
  <c r="AB347" i="14"/>
  <c r="AA347" i="14"/>
  <c r="Z347" i="14"/>
  <c r="Y347" i="14"/>
  <c r="X347" i="14"/>
  <c r="W347" i="14"/>
  <c r="V347" i="14"/>
  <c r="U347" i="14"/>
  <c r="T347" i="14"/>
  <c r="S347" i="14"/>
  <c r="R347" i="14"/>
  <c r="Q347" i="14"/>
  <c r="P347" i="14"/>
  <c r="O347" i="14"/>
  <c r="N347" i="14"/>
  <c r="M347" i="14"/>
  <c r="L347" i="14"/>
  <c r="K347" i="14"/>
  <c r="J347" i="14"/>
  <c r="I347" i="14"/>
  <c r="H347" i="14"/>
  <c r="G347" i="14"/>
  <c r="F347" i="14"/>
  <c r="E347" i="14"/>
  <c r="D347" i="14"/>
  <c r="C347" i="14"/>
  <c r="B347" i="14"/>
  <c r="A347" i="14"/>
  <c r="AU346" i="14"/>
  <c r="AT346" i="14"/>
  <c r="AQ346" i="14"/>
  <c r="AP346" i="14"/>
  <c r="AO346" i="14"/>
  <c r="AN346" i="14"/>
  <c r="AL346" i="14"/>
  <c r="AJ346" i="14"/>
  <c r="AI346" i="14"/>
  <c r="AH346" i="14"/>
  <c r="AG346" i="14"/>
  <c r="AF346" i="14"/>
  <c r="AE346" i="14"/>
  <c r="AD346" i="14"/>
  <c r="AC346" i="14"/>
  <c r="AB346" i="14"/>
  <c r="AA346" i="14"/>
  <c r="Z346" i="14"/>
  <c r="Y346" i="14"/>
  <c r="X346" i="14"/>
  <c r="W346" i="14"/>
  <c r="V346" i="14"/>
  <c r="U346" i="14"/>
  <c r="T346" i="14"/>
  <c r="S346" i="14"/>
  <c r="R346" i="14"/>
  <c r="Q346" i="14"/>
  <c r="P346" i="14"/>
  <c r="O346" i="14"/>
  <c r="N346" i="14"/>
  <c r="M346" i="14"/>
  <c r="L346" i="14"/>
  <c r="K346" i="14"/>
  <c r="J346" i="14"/>
  <c r="I346" i="14"/>
  <c r="H346" i="14"/>
  <c r="G346" i="14"/>
  <c r="F346" i="14"/>
  <c r="E346" i="14"/>
  <c r="D346" i="14"/>
  <c r="C346" i="14"/>
  <c r="B346" i="14"/>
  <c r="A346" i="14"/>
  <c r="AU345" i="14"/>
  <c r="AT345" i="14"/>
  <c r="AQ345" i="14"/>
  <c r="AP345" i="14"/>
  <c r="AO345" i="14"/>
  <c r="AN345" i="14"/>
  <c r="AL345" i="14"/>
  <c r="AJ345" i="14"/>
  <c r="AI345" i="14"/>
  <c r="AH345" i="14"/>
  <c r="AG345" i="14"/>
  <c r="AF345" i="14"/>
  <c r="AE345" i="14"/>
  <c r="AD345" i="14"/>
  <c r="AC345" i="14"/>
  <c r="AB345" i="14"/>
  <c r="AA345" i="14"/>
  <c r="Z345" i="14"/>
  <c r="Y345" i="14"/>
  <c r="X345" i="14"/>
  <c r="W345" i="14"/>
  <c r="V345" i="14"/>
  <c r="U345" i="14"/>
  <c r="T345" i="14"/>
  <c r="S345" i="14"/>
  <c r="R345" i="14"/>
  <c r="Q345" i="14"/>
  <c r="P345" i="14"/>
  <c r="O345" i="14"/>
  <c r="N345" i="14"/>
  <c r="M345" i="14"/>
  <c r="L345" i="14"/>
  <c r="K345" i="14"/>
  <c r="J345" i="14"/>
  <c r="I345" i="14"/>
  <c r="H345" i="14"/>
  <c r="G345" i="14"/>
  <c r="F345" i="14"/>
  <c r="E345" i="14"/>
  <c r="D345" i="14"/>
  <c r="C345" i="14"/>
  <c r="B345" i="14"/>
  <c r="A345" i="14"/>
  <c r="AU344" i="14"/>
  <c r="AT344" i="14"/>
  <c r="AQ344" i="14"/>
  <c r="AP344" i="14"/>
  <c r="AO344" i="14"/>
  <c r="AN344" i="14"/>
  <c r="AL344" i="14"/>
  <c r="AJ344" i="14"/>
  <c r="AI344" i="14"/>
  <c r="AH344" i="14"/>
  <c r="AG344" i="14"/>
  <c r="AF344" i="14"/>
  <c r="AE344" i="14"/>
  <c r="AD344" i="14"/>
  <c r="AC344" i="14"/>
  <c r="AB344" i="14"/>
  <c r="AA344" i="14"/>
  <c r="Z344" i="14"/>
  <c r="Y344" i="14"/>
  <c r="X344" i="14"/>
  <c r="W344" i="14"/>
  <c r="V344" i="14"/>
  <c r="U344" i="14"/>
  <c r="T344" i="14"/>
  <c r="S344" i="14"/>
  <c r="R344" i="14"/>
  <c r="Q344" i="14"/>
  <c r="P344" i="14"/>
  <c r="O344" i="14"/>
  <c r="N344" i="14"/>
  <c r="M344" i="14"/>
  <c r="L344" i="14"/>
  <c r="K344" i="14"/>
  <c r="J344" i="14"/>
  <c r="I344" i="14"/>
  <c r="H344" i="14"/>
  <c r="G344" i="14"/>
  <c r="F344" i="14"/>
  <c r="E344" i="14"/>
  <c r="D344" i="14"/>
  <c r="C344" i="14"/>
  <c r="B344" i="14"/>
  <c r="A344" i="14"/>
  <c r="AU343" i="14"/>
  <c r="AT343" i="14"/>
  <c r="AQ343" i="14"/>
  <c r="AP343" i="14"/>
  <c r="AO343" i="14"/>
  <c r="AN343" i="14"/>
  <c r="AL343" i="14"/>
  <c r="AJ343" i="14"/>
  <c r="AI343" i="14"/>
  <c r="AH343" i="14"/>
  <c r="AG343" i="14"/>
  <c r="AF343" i="14"/>
  <c r="AE343" i="14"/>
  <c r="AD343" i="14"/>
  <c r="AC343" i="14"/>
  <c r="AB343" i="14"/>
  <c r="AA343" i="14"/>
  <c r="Z343" i="14"/>
  <c r="Y343" i="14"/>
  <c r="X343" i="14"/>
  <c r="W343" i="14"/>
  <c r="V343" i="14"/>
  <c r="U343" i="14"/>
  <c r="T343" i="14"/>
  <c r="S343" i="14"/>
  <c r="R343" i="14"/>
  <c r="Q343" i="14"/>
  <c r="P343" i="14"/>
  <c r="O343" i="14"/>
  <c r="N343" i="14"/>
  <c r="M343" i="14"/>
  <c r="L343" i="14"/>
  <c r="K343" i="14"/>
  <c r="J343" i="14"/>
  <c r="I343" i="14"/>
  <c r="H343" i="14"/>
  <c r="G343" i="14"/>
  <c r="F343" i="14"/>
  <c r="E343" i="14"/>
  <c r="D343" i="14"/>
  <c r="C343" i="14"/>
  <c r="B343" i="14"/>
  <c r="A343" i="14"/>
  <c r="AU342" i="14"/>
  <c r="AT342" i="14"/>
  <c r="AQ342" i="14"/>
  <c r="AP342" i="14"/>
  <c r="AO342" i="14"/>
  <c r="AN342" i="14"/>
  <c r="AL342" i="14"/>
  <c r="AJ342" i="14"/>
  <c r="AI342" i="14"/>
  <c r="AH342" i="14"/>
  <c r="AG342" i="14"/>
  <c r="AF342" i="14"/>
  <c r="AE342" i="14"/>
  <c r="AD342" i="14"/>
  <c r="AC342" i="14"/>
  <c r="AB342" i="14"/>
  <c r="AA342" i="14"/>
  <c r="Z342" i="14"/>
  <c r="Y342" i="14"/>
  <c r="X342" i="14"/>
  <c r="W342" i="14"/>
  <c r="V342" i="14"/>
  <c r="U342" i="14"/>
  <c r="T342" i="14"/>
  <c r="S342" i="14"/>
  <c r="R342" i="14"/>
  <c r="Q342" i="14"/>
  <c r="P342" i="14"/>
  <c r="O342" i="14"/>
  <c r="N342" i="14"/>
  <c r="M342" i="14"/>
  <c r="L342" i="14"/>
  <c r="K342" i="14"/>
  <c r="J342" i="14"/>
  <c r="I342" i="14"/>
  <c r="H342" i="14"/>
  <c r="G342" i="14"/>
  <c r="F342" i="14"/>
  <c r="E342" i="14"/>
  <c r="D342" i="14"/>
  <c r="C342" i="14"/>
  <c r="B342" i="14"/>
  <c r="A342" i="14"/>
  <c r="AU341" i="14"/>
  <c r="AT341" i="14"/>
  <c r="AQ341" i="14"/>
  <c r="AP341" i="14"/>
  <c r="AO341" i="14"/>
  <c r="AN341" i="14"/>
  <c r="AL341" i="14"/>
  <c r="AJ341" i="14"/>
  <c r="AI341" i="14"/>
  <c r="AH341" i="14"/>
  <c r="AG341" i="14"/>
  <c r="AF341" i="14"/>
  <c r="AE341" i="14"/>
  <c r="AD341" i="14"/>
  <c r="AC341" i="14"/>
  <c r="AB341" i="14"/>
  <c r="AA341" i="14"/>
  <c r="Z341" i="14"/>
  <c r="Y341" i="14"/>
  <c r="X341" i="14"/>
  <c r="W341" i="14"/>
  <c r="V341" i="14"/>
  <c r="U341" i="14"/>
  <c r="T341" i="14"/>
  <c r="S341" i="14"/>
  <c r="R341" i="14"/>
  <c r="Q341" i="14"/>
  <c r="P341" i="14"/>
  <c r="O341" i="14"/>
  <c r="N341" i="14"/>
  <c r="M341" i="14"/>
  <c r="L341" i="14"/>
  <c r="K341" i="14"/>
  <c r="J341" i="14"/>
  <c r="I341" i="14"/>
  <c r="H341" i="14"/>
  <c r="G341" i="14"/>
  <c r="F341" i="14"/>
  <c r="E341" i="14"/>
  <c r="D341" i="14"/>
  <c r="C341" i="14"/>
  <c r="B341" i="14"/>
  <c r="A341" i="14"/>
  <c r="AU340" i="14"/>
  <c r="AT340" i="14"/>
  <c r="AQ340" i="14"/>
  <c r="AP340" i="14"/>
  <c r="AO340" i="14"/>
  <c r="AN340" i="14"/>
  <c r="AL340" i="14"/>
  <c r="AJ340" i="14"/>
  <c r="AI340" i="14"/>
  <c r="AH340" i="14"/>
  <c r="AG340" i="14"/>
  <c r="AF340" i="14"/>
  <c r="AE340" i="14"/>
  <c r="AD340" i="14"/>
  <c r="AC340" i="14"/>
  <c r="AB340" i="14"/>
  <c r="AA340" i="14"/>
  <c r="Z340" i="14"/>
  <c r="Y340" i="14"/>
  <c r="X340" i="14"/>
  <c r="W340" i="14"/>
  <c r="V340" i="14"/>
  <c r="U340" i="14"/>
  <c r="T340" i="14"/>
  <c r="S340" i="14"/>
  <c r="R340" i="14"/>
  <c r="Q340" i="14"/>
  <c r="P340" i="14"/>
  <c r="O340" i="14"/>
  <c r="N340" i="14"/>
  <c r="M340" i="14"/>
  <c r="L340" i="14"/>
  <c r="K340" i="14"/>
  <c r="J340" i="14"/>
  <c r="I340" i="14"/>
  <c r="H340" i="14"/>
  <c r="G340" i="14"/>
  <c r="F340" i="14"/>
  <c r="E340" i="14"/>
  <c r="D340" i="14"/>
  <c r="C340" i="14"/>
  <c r="B340" i="14"/>
  <c r="A340" i="14"/>
  <c r="AU339" i="14"/>
  <c r="AT339" i="14"/>
  <c r="AQ339" i="14"/>
  <c r="AP339" i="14"/>
  <c r="AO339" i="14"/>
  <c r="AN339" i="14"/>
  <c r="AL339" i="14"/>
  <c r="AJ339" i="14"/>
  <c r="AI339" i="14"/>
  <c r="AH339" i="14"/>
  <c r="AG339" i="14"/>
  <c r="AF339" i="14"/>
  <c r="AE339" i="14"/>
  <c r="AD339" i="14"/>
  <c r="AC339" i="14"/>
  <c r="AB339" i="14"/>
  <c r="AA339" i="14"/>
  <c r="Z339" i="14"/>
  <c r="Y339" i="14"/>
  <c r="X339" i="14"/>
  <c r="W339" i="14"/>
  <c r="V339" i="14"/>
  <c r="U339" i="14"/>
  <c r="T339" i="14"/>
  <c r="S339" i="14"/>
  <c r="R339" i="14"/>
  <c r="Q339" i="14"/>
  <c r="P339" i="14"/>
  <c r="O339" i="14"/>
  <c r="N339" i="14"/>
  <c r="M339" i="14"/>
  <c r="L339" i="14"/>
  <c r="K339" i="14"/>
  <c r="J339" i="14"/>
  <c r="I339" i="14"/>
  <c r="H339" i="14"/>
  <c r="G339" i="14"/>
  <c r="F339" i="14"/>
  <c r="E339" i="14"/>
  <c r="D339" i="14"/>
  <c r="C339" i="14"/>
  <c r="B339" i="14"/>
  <c r="A339" i="14"/>
  <c r="AU338" i="14"/>
  <c r="AT338" i="14"/>
  <c r="AQ338" i="14"/>
  <c r="AP338" i="14"/>
  <c r="AO338" i="14"/>
  <c r="AN338" i="14"/>
  <c r="AL338" i="14"/>
  <c r="AJ338" i="14"/>
  <c r="AI338" i="14"/>
  <c r="AH338" i="14"/>
  <c r="AG338" i="14"/>
  <c r="AF338" i="14"/>
  <c r="AE338" i="14"/>
  <c r="AD338" i="14"/>
  <c r="AC338" i="14"/>
  <c r="AB338" i="14"/>
  <c r="AA338" i="14"/>
  <c r="Z338" i="14"/>
  <c r="Y338" i="14"/>
  <c r="X338" i="14"/>
  <c r="W338" i="14"/>
  <c r="V338" i="14"/>
  <c r="U338" i="14"/>
  <c r="T338" i="14"/>
  <c r="S338" i="14"/>
  <c r="R338" i="14"/>
  <c r="Q338" i="14"/>
  <c r="P338" i="14"/>
  <c r="O338" i="14"/>
  <c r="N338" i="14"/>
  <c r="M338" i="14"/>
  <c r="L338" i="14"/>
  <c r="K338" i="14"/>
  <c r="J338" i="14"/>
  <c r="I338" i="14"/>
  <c r="H338" i="14"/>
  <c r="G338" i="14"/>
  <c r="F338" i="14"/>
  <c r="E338" i="14"/>
  <c r="D338" i="14"/>
  <c r="C338" i="14"/>
  <c r="B338" i="14"/>
  <c r="A338" i="14"/>
  <c r="AU337" i="14"/>
  <c r="AT337" i="14"/>
  <c r="AQ337" i="14"/>
  <c r="AP337" i="14"/>
  <c r="AO337" i="14"/>
  <c r="AN337" i="14"/>
  <c r="AL337" i="14"/>
  <c r="AJ337" i="14"/>
  <c r="AI337" i="14"/>
  <c r="AH337" i="14"/>
  <c r="AG337" i="14"/>
  <c r="AF337" i="14"/>
  <c r="AE337" i="14"/>
  <c r="AD337" i="14"/>
  <c r="AC337" i="14"/>
  <c r="AB337" i="14"/>
  <c r="AA337" i="14"/>
  <c r="Z337" i="14"/>
  <c r="Y337" i="14"/>
  <c r="X337" i="14"/>
  <c r="W337" i="14"/>
  <c r="V337" i="14"/>
  <c r="U337" i="14"/>
  <c r="T337" i="14"/>
  <c r="S337" i="14"/>
  <c r="R337" i="14"/>
  <c r="Q337" i="14"/>
  <c r="P337" i="14"/>
  <c r="O337" i="14"/>
  <c r="N337" i="14"/>
  <c r="M337" i="14"/>
  <c r="L337" i="14"/>
  <c r="K337" i="14"/>
  <c r="J337" i="14"/>
  <c r="I337" i="14"/>
  <c r="H337" i="14"/>
  <c r="G337" i="14"/>
  <c r="F337" i="14"/>
  <c r="E337" i="14"/>
  <c r="D337" i="14"/>
  <c r="C337" i="14"/>
  <c r="B337" i="14"/>
  <c r="A337" i="14"/>
  <c r="AU336" i="14"/>
  <c r="AT336" i="14"/>
  <c r="AQ336" i="14"/>
  <c r="AP336" i="14"/>
  <c r="AO336" i="14"/>
  <c r="AN336" i="14"/>
  <c r="AL336" i="14"/>
  <c r="AJ336" i="14"/>
  <c r="AI336" i="14"/>
  <c r="AH336" i="14"/>
  <c r="AG336" i="14"/>
  <c r="AF336" i="14"/>
  <c r="AE336" i="14"/>
  <c r="AD336" i="14"/>
  <c r="AC336" i="14"/>
  <c r="AB336" i="14"/>
  <c r="AA336" i="14"/>
  <c r="Z336" i="14"/>
  <c r="Y336" i="14"/>
  <c r="X336" i="14"/>
  <c r="W336" i="14"/>
  <c r="V336" i="14"/>
  <c r="U336" i="14"/>
  <c r="T336" i="14"/>
  <c r="S336" i="14"/>
  <c r="R336" i="14"/>
  <c r="Q336" i="14"/>
  <c r="P336" i="14"/>
  <c r="O336" i="14"/>
  <c r="N336" i="14"/>
  <c r="M336" i="14"/>
  <c r="L336" i="14"/>
  <c r="K336" i="14"/>
  <c r="J336" i="14"/>
  <c r="I336" i="14"/>
  <c r="H336" i="14"/>
  <c r="G336" i="14"/>
  <c r="F336" i="14"/>
  <c r="E336" i="14"/>
  <c r="D336" i="14"/>
  <c r="C336" i="14"/>
  <c r="B336" i="14"/>
  <c r="A336" i="14"/>
  <c r="AU335" i="14"/>
  <c r="AT335" i="14"/>
  <c r="AQ335" i="14"/>
  <c r="AP335" i="14"/>
  <c r="AO335" i="14"/>
  <c r="AN335" i="14"/>
  <c r="AL335" i="14"/>
  <c r="AJ335" i="14"/>
  <c r="AI335" i="14"/>
  <c r="AH335" i="14"/>
  <c r="AG335" i="14"/>
  <c r="AF335" i="14"/>
  <c r="AE335" i="14"/>
  <c r="AD335" i="14"/>
  <c r="AC335" i="14"/>
  <c r="AB335" i="14"/>
  <c r="AA335" i="14"/>
  <c r="Z335" i="14"/>
  <c r="Y335" i="14"/>
  <c r="X335" i="14"/>
  <c r="W335" i="14"/>
  <c r="V335" i="14"/>
  <c r="U335" i="14"/>
  <c r="T335" i="14"/>
  <c r="S335" i="14"/>
  <c r="R335" i="14"/>
  <c r="Q335" i="14"/>
  <c r="P335" i="14"/>
  <c r="O335" i="14"/>
  <c r="N335" i="14"/>
  <c r="M335" i="14"/>
  <c r="L335" i="14"/>
  <c r="K335" i="14"/>
  <c r="J335" i="14"/>
  <c r="I335" i="14"/>
  <c r="H335" i="14"/>
  <c r="G335" i="14"/>
  <c r="F335" i="14"/>
  <c r="E335" i="14"/>
  <c r="D335" i="14"/>
  <c r="C335" i="14"/>
  <c r="B335" i="14"/>
  <c r="A335" i="14"/>
  <c r="AU334" i="14"/>
  <c r="AT334" i="14"/>
  <c r="AQ334" i="14"/>
  <c r="AP334" i="14"/>
  <c r="AO334" i="14"/>
  <c r="AN334" i="14"/>
  <c r="AL334" i="14"/>
  <c r="AJ334" i="14"/>
  <c r="AI334" i="14"/>
  <c r="AH334" i="14"/>
  <c r="AG334" i="14"/>
  <c r="AF334" i="14"/>
  <c r="AE334" i="14"/>
  <c r="AD334" i="14"/>
  <c r="AC334" i="14"/>
  <c r="AB334" i="14"/>
  <c r="AA334" i="14"/>
  <c r="Z334" i="14"/>
  <c r="Y334" i="14"/>
  <c r="X334" i="14"/>
  <c r="W334" i="14"/>
  <c r="V334" i="14"/>
  <c r="U334" i="14"/>
  <c r="T334" i="14"/>
  <c r="S334" i="14"/>
  <c r="R334" i="14"/>
  <c r="Q334" i="14"/>
  <c r="P334" i="14"/>
  <c r="O334" i="14"/>
  <c r="N334" i="14"/>
  <c r="M334" i="14"/>
  <c r="L334" i="14"/>
  <c r="K334" i="14"/>
  <c r="J334" i="14"/>
  <c r="I334" i="14"/>
  <c r="H334" i="14"/>
  <c r="G334" i="14"/>
  <c r="F334" i="14"/>
  <c r="E334" i="14"/>
  <c r="D334" i="14"/>
  <c r="C334" i="14"/>
  <c r="B334" i="14"/>
  <c r="A334" i="14"/>
  <c r="AU333" i="14"/>
  <c r="AT333" i="14"/>
  <c r="AQ333" i="14"/>
  <c r="AP333" i="14"/>
  <c r="AO333" i="14"/>
  <c r="AN333" i="14"/>
  <c r="AL333" i="14"/>
  <c r="AJ333" i="14"/>
  <c r="AI333" i="14"/>
  <c r="AH333" i="14"/>
  <c r="AG333" i="14"/>
  <c r="AF333" i="14"/>
  <c r="AE333" i="14"/>
  <c r="AD333" i="14"/>
  <c r="AC333" i="14"/>
  <c r="AB333" i="14"/>
  <c r="AA333" i="14"/>
  <c r="Z333" i="14"/>
  <c r="Y333" i="14"/>
  <c r="X333" i="14"/>
  <c r="W333" i="14"/>
  <c r="V333" i="14"/>
  <c r="U333" i="14"/>
  <c r="T333" i="14"/>
  <c r="S333" i="14"/>
  <c r="R333" i="14"/>
  <c r="Q333" i="14"/>
  <c r="P333" i="14"/>
  <c r="O333" i="14"/>
  <c r="N333" i="14"/>
  <c r="M333" i="14"/>
  <c r="L333" i="14"/>
  <c r="K333" i="14"/>
  <c r="J333" i="14"/>
  <c r="I333" i="14"/>
  <c r="H333" i="14"/>
  <c r="G333" i="14"/>
  <c r="F333" i="14"/>
  <c r="E333" i="14"/>
  <c r="D333" i="14"/>
  <c r="C333" i="14"/>
  <c r="B333" i="14"/>
  <c r="A333" i="14"/>
  <c r="AU332" i="14"/>
  <c r="AT332" i="14"/>
  <c r="AQ332" i="14"/>
  <c r="AP332" i="14"/>
  <c r="AO332" i="14"/>
  <c r="AN332" i="14"/>
  <c r="AL332" i="14"/>
  <c r="AJ332" i="14"/>
  <c r="AI332" i="14"/>
  <c r="AH332" i="14"/>
  <c r="AG332" i="14"/>
  <c r="AF332" i="14"/>
  <c r="AE332" i="14"/>
  <c r="AD332" i="14"/>
  <c r="AC332" i="14"/>
  <c r="AB332" i="14"/>
  <c r="AA332" i="14"/>
  <c r="Z332" i="14"/>
  <c r="Y332" i="14"/>
  <c r="X332" i="14"/>
  <c r="W332" i="14"/>
  <c r="V332" i="14"/>
  <c r="U332" i="14"/>
  <c r="T332" i="14"/>
  <c r="S332" i="14"/>
  <c r="R332" i="14"/>
  <c r="Q332" i="14"/>
  <c r="P332" i="14"/>
  <c r="O332" i="14"/>
  <c r="N332" i="14"/>
  <c r="M332" i="14"/>
  <c r="L332" i="14"/>
  <c r="K332" i="14"/>
  <c r="J332" i="14"/>
  <c r="I332" i="14"/>
  <c r="H332" i="14"/>
  <c r="G332" i="14"/>
  <c r="F332" i="14"/>
  <c r="E332" i="14"/>
  <c r="D332" i="14"/>
  <c r="C332" i="14"/>
  <c r="B332" i="14"/>
  <c r="A332" i="14"/>
  <c r="AU331" i="14"/>
  <c r="AT331" i="14"/>
  <c r="AQ331" i="14"/>
  <c r="AP331" i="14"/>
  <c r="AO331" i="14"/>
  <c r="AN331" i="14"/>
  <c r="AL331" i="14"/>
  <c r="AJ331" i="14"/>
  <c r="AI331" i="14"/>
  <c r="AH331" i="14"/>
  <c r="AG331" i="14"/>
  <c r="AF331" i="14"/>
  <c r="AE331" i="14"/>
  <c r="AD331" i="14"/>
  <c r="AC331" i="14"/>
  <c r="AB331" i="14"/>
  <c r="AA331" i="14"/>
  <c r="Z331" i="14"/>
  <c r="Y331" i="14"/>
  <c r="X331" i="14"/>
  <c r="W331" i="14"/>
  <c r="V331" i="14"/>
  <c r="U331" i="14"/>
  <c r="T331" i="14"/>
  <c r="S331" i="14"/>
  <c r="R331" i="14"/>
  <c r="Q331" i="14"/>
  <c r="P331" i="14"/>
  <c r="O331" i="14"/>
  <c r="N331" i="14"/>
  <c r="M331" i="14"/>
  <c r="L331" i="14"/>
  <c r="K331" i="14"/>
  <c r="J331" i="14"/>
  <c r="I331" i="14"/>
  <c r="H331" i="14"/>
  <c r="G331" i="14"/>
  <c r="F331" i="14"/>
  <c r="E331" i="14"/>
  <c r="D331" i="14"/>
  <c r="C331" i="14"/>
  <c r="B331" i="14"/>
  <c r="A331" i="14"/>
  <c r="AU330" i="14"/>
  <c r="AT330" i="14"/>
  <c r="AQ330" i="14"/>
  <c r="AP330" i="14"/>
  <c r="AO330" i="14"/>
  <c r="AN330" i="14"/>
  <c r="AL330" i="14"/>
  <c r="AJ330" i="14"/>
  <c r="AI330" i="14"/>
  <c r="AH330" i="14"/>
  <c r="AG330" i="14"/>
  <c r="AF330" i="14"/>
  <c r="AE330" i="14"/>
  <c r="AD330" i="14"/>
  <c r="AC330" i="14"/>
  <c r="AB330" i="14"/>
  <c r="AA330" i="14"/>
  <c r="Z330" i="14"/>
  <c r="Y330" i="14"/>
  <c r="X330" i="14"/>
  <c r="W330" i="14"/>
  <c r="V330" i="14"/>
  <c r="U330" i="14"/>
  <c r="T330" i="14"/>
  <c r="S330" i="14"/>
  <c r="R330" i="14"/>
  <c r="Q330" i="14"/>
  <c r="P330" i="14"/>
  <c r="O330" i="14"/>
  <c r="N330" i="14"/>
  <c r="M330" i="14"/>
  <c r="L330" i="14"/>
  <c r="K330" i="14"/>
  <c r="J330" i="14"/>
  <c r="I330" i="14"/>
  <c r="H330" i="14"/>
  <c r="G330" i="14"/>
  <c r="F330" i="14"/>
  <c r="E330" i="14"/>
  <c r="D330" i="14"/>
  <c r="C330" i="14"/>
  <c r="B330" i="14"/>
  <c r="A330" i="14"/>
  <c r="AU329" i="14"/>
  <c r="AT329" i="14"/>
  <c r="AQ329" i="14"/>
  <c r="AP329" i="14"/>
  <c r="AO329" i="14"/>
  <c r="AN329" i="14"/>
  <c r="AL329" i="14"/>
  <c r="AJ329" i="14"/>
  <c r="AI329" i="14"/>
  <c r="AH329" i="14"/>
  <c r="AG329" i="14"/>
  <c r="AF329" i="14"/>
  <c r="AE329" i="14"/>
  <c r="AD329" i="14"/>
  <c r="AC329" i="14"/>
  <c r="AB329" i="14"/>
  <c r="AA329" i="14"/>
  <c r="Z329" i="14"/>
  <c r="Y329" i="14"/>
  <c r="X329" i="14"/>
  <c r="W329" i="14"/>
  <c r="V329" i="14"/>
  <c r="U329" i="14"/>
  <c r="T329" i="14"/>
  <c r="S329" i="14"/>
  <c r="R329" i="14"/>
  <c r="Q329" i="14"/>
  <c r="P329" i="14"/>
  <c r="O329" i="14"/>
  <c r="N329" i="14"/>
  <c r="M329" i="14"/>
  <c r="L329" i="14"/>
  <c r="K329" i="14"/>
  <c r="J329" i="14"/>
  <c r="I329" i="14"/>
  <c r="H329" i="14"/>
  <c r="G329" i="14"/>
  <c r="F329" i="14"/>
  <c r="E329" i="14"/>
  <c r="D329" i="14"/>
  <c r="C329" i="14"/>
  <c r="B329" i="14"/>
  <c r="A329" i="14"/>
  <c r="AU328" i="14"/>
  <c r="AT328" i="14"/>
  <c r="AQ328" i="14"/>
  <c r="AP328" i="14"/>
  <c r="AO328" i="14"/>
  <c r="AN328" i="14"/>
  <c r="AL328" i="14"/>
  <c r="AJ328" i="14"/>
  <c r="AI328" i="14"/>
  <c r="AH328" i="14"/>
  <c r="AG328" i="14"/>
  <c r="AF328" i="14"/>
  <c r="AE328" i="14"/>
  <c r="AD328" i="14"/>
  <c r="AC328" i="14"/>
  <c r="AB328" i="14"/>
  <c r="AA328" i="14"/>
  <c r="Z328" i="14"/>
  <c r="Y328" i="14"/>
  <c r="X328" i="14"/>
  <c r="W328" i="14"/>
  <c r="V328" i="14"/>
  <c r="U328" i="14"/>
  <c r="T328" i="14"/>
  <c r="S328" i="14"/>
  <c r="R328" i="14"/>
  <c r="Q328" i="14"/>
  <c r="P328" i="14"/>
  <c r="O328" i="14"/>
  <c r="N328" i="14"/>
  <c r="M328" i="14"/>
  <c r="L328" i="14"/>
  <c r="K328" i="14"/>
  <c r="J328" i="14"/>
  <c r="I328" i="14"/>
  <c r="H328" i="14"/>
  <c r="G328" i="14"/>
  <c r="F328" i="14"/>
  <c r="E328" i="14"/>
  <c r="D328" i="14"/>
  <c r="C328" i="14"/>
  <c r="B328" i="14"/>
  <c r="A328" i="14"/>
  <c r="AU327" i="14"/>
  <c r="AT327" i="14"/>
  <c r="AQ327" i="14"/>
  <c r="AP327" i="14"/>
  <c r="AO327" i="14"/>
  <c r="AN327" i="14"/>
  <c r="AL327" i="14"/>
  <c r="AJ327" i="14"/>
  <c r="AI327" i="14"/>
  <c r="AH327" i="14"/>
  <c r="AG327" i="14"/>
  <c r="AF327" i="14"/>
  <c r="AE327" i="14"/>
  <c r="AD327" i="14"/>
  <c r="AC327" i="14"/>
  <c r="AB327" i="14"/>
  <c r="AA327" i="14"/>
  <c r="Z327" i="14"/>
  <c r="Y327" i="14"/>
  <c r="X327" i="14"/>
  <c r="W327" i="14"/>
  <c r="V327" i="14"/>
  <c r="U327" i="14"/>
  <c r="T327" i="14"/>
  <c r="S327" i="14"/>
  <c r="R327" i="14"/>
  <c r="Q327" i="14"/>
  <c r="P327" i="14"/>
  <c r="O327" i="14"/>
  <c r="N327" i="14"/>
  <c r="M327" i="14"/>
  <c r="L327" i="14"/>
  <c r="K327" i="14"/>
  <c r="J327" i="14"/>
  <c r="I327" i="14"/>
  <c r="H327" i="14"/>
  <c r="G327" i="14"/>
  <c r="F327" i="14"/>
  <c r="E327" i="14"/>
  <c r="D327" i="14"/>
  <c r="C327" i="14"/>
  <c r="B327" i="14"/>
  <c r="A327" i="14"/>
  <c r="AU326" i="14"/>
  <c r="AT326" i="14"/>
  <c r="AQ326" i="14"/>
  <c r="AP326" i="14"/>
  <c r="AO326" i="14"/>
  <c r="AN326" i="14"/>
  <c r="AL326" i="14"/>
  <c r="AJ326" i="14"/>
  <c r="AI326" i="14"/>
  <c r="AH326" i="14"/>
  <c r="AG326" i="14"/>
  <c r="AF326" i="14"/>
  <c r="AE326" i="14"/>
  <c r="AD326" i="14"/>
  <c r="AC326" i="14"/>
  <c r="AB326" i="14"/>
  <c r="AA326" i="14"/>
  <c r="Z326" i="14"/>
  <c r="Y326" i="14"/>
  <c r="X326" i="14"/>
  <c r="W326" i="14"/>
  <c r="V326" i="14"/>
  <c r="U326" i="14"/>
  <c r="T326" i="14"/>
  <c r="S326" i="14"/>
  <c r="R326" i="14"/>
  <c r="Q326" i="14"/>
  <c r="P326" i="14"/>
  <c r="O326" i="14"/>
  <c r="N326" i="14"/>
  <c r="M326" i="14"/>
  <c r="L326" i="14"/>
  <c r="K326" i="14"/>
  <c r="J326" i="14"/>
  <c r="I326" i="14"/>
  <c r="H326" i="14"/>
  <c r="G326" i="14"/>
  <c r="F326" i="14"/>
  <c r="E326" i="14"/>
  <c r="D326" i="14"/>
  <c r="C326" i="14"/>
  <c r="B326" i="14"/>
  <c r="A326" i="14"/>
  <c r="AU325" i="14"/>
  <c r="AT325" i="14"/>
  <c r="AQ325" i="14"/>
  <c r="AP325" i="14"/>
  <c r="AO325" i="14"/>
  <c r="AN325" i="14"/>
  <c r="AL325" i="14"/>
  <c r="AJ325" i="14"/>
  <c r="AI325" i="14"/>
  <c r="AH325" i="14"/>
  <c r="AG325" i="14"/>
  <c r="AF325" i="14"/>
  <c r="AE325" i="14"/>
  <c r="AD325" i="14"/>
  <c r="AC325" i="14"/>
  <c r="AB325" i="14"/>
  <c r="AA325" i="14"/>
  <c r="Z325" i="14"/>
  <c r="Y325" i="14"/>
  <c r="X325" i="14"/>
  <c r="W325" i="14"/>
  <c r="V325" i="14"/>
  <c r="U325" i="14"/>
  <c r="T325" i="14"/>
  <c r="S325" i="14"/>
  <c r="R325" i="14"/>
  <c r="Q325" i="14"/>
  <c r="P325" i="14"/>
  <c r="O325" i="14"/>
  <c r="N325" i="14"/>
  <c r="M325" i="14"/>
  <c r="L325" i="14"/>
  <c r="K325" i="14"/>
  <c r="J325" i="14"/>
  <c r="I325" i="14"/>
  <c r="H325" i="14"/>
  <c r="G325" i="14"/>
  <c r="F325" i="14"/>
  <c r="E325" i="14"/>
  <c r="D325" i="14"/>
  <c r="C325" i="14"/>
  <c r="B325" i="14"/>
  <c r="A325" i="14"/>
  <c r="AU324" i="14"/>
  <c r="AT324" i="14"/>
  <c r="AQ324" i="14"/>
  <c r="AP324" i="14"/>
  <c r="AO324" i="14"/>
  <c r="AN324" i="14"/>
  <c r="AL324" i="14"/>
  <c r="AJ324" i="14"/>
  <c r="AI324" i="14"/>
  <c r="AH324" i="14"/>
  <c r="AG324" i="14"/>
  <c r="AF324" i="14"/>
  <c r="AE324" i="14"/>
  <c r="AD324" i="14"/>
  <c r="AC324" i="14"/>
  <c r="AB324" i="14"/>
  <c r="AA324" i="14"/>
  <c r="Z324" i="14"/>
  <c r="Y324" i="14"/>
  <c r="X324" i="14"/>
  <c r="W324" i="14"/>
  <c r="V324" i="14"/>
  <c r="U324" i="14"/>
  <c r="T324" i="14"/>
  <c r="S324" i="14"/>
  <c r="R324" i="14"/>
  <c r="Q324" i="14"/>
  <c r="P324" i="14"/>
  <c r="O324" i="14"/>
  <c r="N324" i="14"/>
  <c r="M324" i="14"/>
  <c r="L324" i="14"/>
  <c r="K324" i="14"/>
  <c r="J324" i="14"/>
  <c r="I324" i="14"/>
  <c r="H324" i="14"/>
  <c r="G324" i="14"/>
  <c r="F324" i="14"/>
  <c r="E324" i="14"/>
  <c r="D324" i="14"/>
  <c r="C324" i="14"/>
  <c r="B324" i="14"/>
  <c r="A324" i="14"/>
  <c r="AU323" i="14"/>
  <c r="AT323" i="14"/>
  <c r="AQ323" i="14"/>
  <c r="AP323" i="14"/>
  <c r="AO323" i="14"/>
  <c r="AN323" i="14"/>
  <c r="AL323" i="14"/>
  <c r="AJ323" i="14"/>
  <c r="AI323" i="14"/>
  <c r="AH323" i="14"/>
  <c r="AG323" i="14"/>
  <c r="AF323" i="14"/>
  <c r="AE323" i="14"/>
  <c r="AD323" i="14"/>
  <c r="AC323" i="14"/>
  <c r="AB323" i="14"/>
  <c r="AA323" i="14"/>
  <c r="Z323" i="14"/>
  <c r="Y323" i="14"/>
  <c r="X323" i="14"/>
  <c r="W323" i="14"/>
  <c r="V323" i="14"/>
  <c r="U323" i="14"/>
  <c r="T323" i="14"/>
  <c r="S323" i="14"/>
  <c r="R323" i="14"/>
  <c r="Q323" i="14"/>
  <c r="P323" i="14"/>
  <c r="O323" i="14"/>
  <c r="N323" i="14"/>
  <c r="M323" i="14"/>
  <c r="L323" i="14"/>
  <c r="K323" i="14"/>
  <c r="J323" i="14"/>
  <c r="I323" i="14"/>
  <c r="H323" i="14"/>
  <c r="G323" i="14"/>
  <c r="F323" i="14"/>
  <c r="E323" i="14"/>
  <c r="D323" i="14"/>
  <c r="C323" i="14"/>
  <c r="B323" i="14"/>
  <c r="A323" i="14"/>
  <c r="AU322" i="14"/>
  <c r="AT322" i="14"/>
  <c r="AQ322" i="14"/>
  <c r="AP322" i="14"/>
  <c r="AO322" i="14"/>
  <c r="AN322" i="14"/>
  <c r="AL322" i="14"/>
  <c r="AJ322" i="14"/>
  <c r="AI322" i="14"/>
  <c r="AH322" i="14"/>
  <c r="AG322" i="14"/>
  <c r="AF322" i="14"/>
  <c r="AE322" i="14"/>
  <c r="AD322" i="14"/>
  <c r="AC322" i="14"/>
  <c r="AB322" i="14"/>
  <c r="AA322" i="14"/>
  <c r="Z322" i="14"/>
  <c r="Y322" i="14"/>
  <c r="X322" i="14"/>
  <c r="W322" i="14"/>
  <c r="V322" i="14"/>
  <c r="U322" i="14"/>
  <c r="T322" i="14"/>
  <c r="S322" i="14"/>
  <c r="R322" i="14"/>
  <c r="Q322" i="14"/>
  <c r="P322" i="14"/>
  <c r="O322" i="14"/>
  <c r="N322" i="14"/>
  <c r="M322" i="14"/>
  <c r="L322" i="14"/>
  <c r="K322" i="14"/>
  <c r="J322" i="14"/>
  <c r="I322" i="14"/>
  <c r="H322" i="14"/>
  <c r="G322" i="14"/>
  <c r="F322" i="14"/>
  <c r="E322" i="14"/>
  <c r="D322" i="14"/>
  <c r="C322" i="14"/>
  <c r="B322" i="14"/>
  <c r="A322" i="14"/>
  <c r="AU321" i="14"/>
  <c r="AT321" i="14"/>
  <c r="AQ321" i="14"/>
  <c r="AP321" i="14"/>
  <c r="AO321" i="14"/>
  <c r="AN321" i="14"/>
  <c r="AL321" i="14"/>
  <c r="AJ321" i="14"/>
  <c r="AI321" i="14"/>
  <c r="AH321" i="14"/>
  <c r="AG321" i="14"/>
  <c r="AF321" i="14"/>
  <c r="AE321" i="14"/>
  <c r="AD321" i="14"/>
  <c r="AC321" i="14"/>
  <c r="AB321" i="14"/>
  <c r="AA321" i="14"/>
  <c r="Z321" i="14"/>
  <c r="Y321" i="14"/>
  <c r="X321" i="14"/>
  <c r="W321" i="14"/>
  <c r="V321" i="14"/>
  <c r="U321" i="14"/>
  <c r="T321" i="14"/>
  <c r="S321" i="14"/>
  <c r="R321" i="14"/>
  <c r="Q321" i="14"/>
  <c r="P321" i="14"/>
  <c r="O321" i="14"/>
  <c r="N321" i="14"/>
  <c r="M321" i="14"/>
  <c r="L321" i="14"/>
  <c r="K321" i="14"/>
  <c r="J321" i="14"/>
  <c r="I321" i="14"/>
  <c r="H321" i="14"/>
  <c r="G321" i="14"/>
  <c r="F321" i="14"/>
  <c r="E321" i="14"/>
  <c r="D321" i="14"/>
  <c r="C321" i="14"/>
  <c r="B321" i="14"/>
  <c r="A321" i="14"/>
  <c r="AU320" i="14"/>
  <c r="AT320" i="14"/>
  <c r="AQ320" i="14"/>
  <c r="AP320" i="14"/>
  <c r="AO320" i="14"/>
  <c r="AN320" i="14"/>
  <c r="AL320" i="14"/>
  <c r="AJ320" i="14"/>
  <c r="AI320" i="14"/>
  <c r="AH320" i="14"/>
  <c r="AG320" i="14"/>
  <c r="AF320" i="14"/>
  <c r="AE320" i="14"/>
  <c r="AD320" i="14"/>
  <c r="AC320" i="14"/>
  <c r="AB320" i="14"/>
  <c r="AA320" i="14"/>
  <c r="Z320" i="14"/>
  <c r="Y320" i="14"/>
  <c r="X320" i="14"/>
  <c r="W320" i="14"/>
  <c r="V320" i="14"/>
  <c r="U320" i="14"/>
  <c r="T320" i="14"/>
  <c r="S320" i="14"/>
  <c r="R320" i="14"/>
  <c r="Q320" i="14"/>
  <c r="P320" i="14"/>
  <c r="O320" i="14"/>
  <c r="N320" i="14"/>
  <c r="M320" i="14"/>
  <c r="L320" i="14"/>
  <c r="K320" i="14"/>
  <c r="J320" i="14"/>
  <c r="I320" i="14"/>
  <c r="H320" i="14"/>
  <c r="G320" i="14"/>
  <c r="F320" i="14"/>
  <c r="E320" i="14"/>
  <c r="D320" i="14"/>
  <c r="C320" i="14"/>
  <c r="B320" i="14"/>
  <c r="A320" i="14"/>
  <c r="AU319" i="14"/>
  <c r="AT319" i="14"/>
  <c r="AQ319" i="14"/>
  <c r="AP319" i="14"/>
  <c r="AO319" i="14"/>
  <c r="AN319" i="14"/>
  <c r="AL319" i="14"/>
  <c r="AJ319" i="14"/>
  <c r="AI319" i="14"/>
  <c r="AH319" i="14"/>
  <c r="AG319" i="14"/>
  <c r="AF319" i="14"/>
  <c r="AE319" i="14"/>
  <c r="AD319" i="14"/>
  <c r="AC319" i="14"/>
  <c r="AB319" i="14"/>
  <c r="AA319" i="14"/>
  <c r="Z319" i="14"/>
  <c r="Y319" i="14"/>
  <c r="X319" i="14"/>
  <c r="W319" i="14"/>
  <c r="V319" i="14"/>
  <c r="U319" i="14"/>
  <c r="T319" i="14"/>
  <c r="S319" i="14"/>
  <c r="R319" i="14"/>
  <c r="Q319" i="14"/>
  <c r="P319" i="14"/>
  <c r="O319" i="14"/>
  <c r="N319" i="14"/>
  <c r="M319" i="14"/>
  <c r="L319" i="14"/>
  <c r="K319" i="14"/>
  <c r="J319" i="14"/>
  <c r="I319" i="14"/>
  <c r="H319" i="14"/>
  <c r="G319" i="14"/>
  <c r="F319" i="14"/>
  <c r="E319" i="14"/>
  <c r="D319" i="14"/>
  <c r="C319" i="14"/>
  <c r="B319" i="14"/>
  <c r="A319" i="14"/>
  <c r="AU318" i="14"/>
  <c r="AT318" i="14"/>
  <c r="AQ318" i="14"/>
  <c r="AP318" i="14"/>
  <c r="AO318" i="14"/>
  <c r="AN318" i="14"/>
  <c r="AL318" i="14"/>
  <c r="AJ318" i="14"/>
  <c r="AI318" i="14"/>
  <c r="AH318" i="14"/>
  <c r="AG318" i="14"/>
  <c r="AF318" i="14"/>
  <c r="AE318" i="14"/>
  <c r="AD318" i="14"/>
  <c r="AC318" i="14"/>
  <c r="AB318" i="14"/>
  <c r="AA318" i="14"/>
  <c r="Z318" i="14"/>
  <c r="Y318" i="14"/>
  <c r="X318" i="14"/>
  <c r="W318" i="14"/>
  <c r="V318" i="14"/>
  <c r="U318" i="14"/>
  <c r="T318" i="14"/>
  <c r="S318" i="14"/>
  <c r="R318" i="14"/>
  <c r="Q318" i="14"/>
  <c r="P318" i="14"/>
  <c r="O318" i="14"/>
  <c r="N318" i="14"/>
  <c r="M318" i="14"/>
  <c r="L318" i="14"/>
  <c r="K318" i="14"/>
  <c r="J318" i="14"/>
  <c r="I318" i="14"/>
  <c r="H318" i="14"/>
  <c r="G318" i="14"/>
  <c r="F318" i="14"/>
  <c r="E318" i="14"/>
  <c r="D318" i="14"/>
  <c r="C318" i="14"/>
  <c r="B318" i="14"/>
  <c r="A318" i="14"/>
  <c r="AU317" i="14"/>
  <c r="AT317" i="14"/>
  <c r="AQ317" i="14"/>
  <c r="AP317" i="14"/>
  <c r="AO317" i="14"/>
  <c r="AN317" i="14"/>
  <c r="AL317" i="14"/>
  <c r="AJ317" i="14"/>
  <c r="AI317" i="14"/>
  <c r="AH317" i="14"/>
  <c r="AG317" i="14"/>
  <c r="AF317" i="14"/>
  <c r="AE317" i="14"/>
  <c r="AD317" i="14"/>
  <c r="AC317" i="14"/>
  <c r="AB317" i="14"/>
  <c r="AA317" i="14"/>
  <c r="Z317" i="14"/>
  <c r="Y317" i="14"/>
  <c r="X317" i="14"/>
  <c r="W317" i="14"/>
  <c r="V317" i="14"/>
  <c r="U317" i="14"/>
  <c r="T317" i="14"/>
  <c r="S317" i="14"/>
  <c r="R317" i="14"/>
  <c r="Q317" i="14"/>
  <c r="P317" i="14"/>
  <c r="O317" i="14"/>
  <c r="N317" i="14"/>
  <c r="M317" i="14"/>
  <c r="L317" i="14"/>
  <c r="K317" i="14"/>
  <c r="J317" i="14"/>
  <c r="I317" i="14"/>
  <c r="H317" i="14"/>
  <c r="G317" i="14"/>
  <c r="F317" i="14"/>
  <c r="E317" i="14"/>
  <c r="D317" i="14"/>
  <c r="C317" i="14"/>
  <c r="B317" i="14"/>
  <c r="A317" i="14"/>
  <c r="AU316" i="14"/>
  <c r="AT316" i="14"/>
  <c r="AQ316" i="14"/>
  <c r="AP316" i="14"/>
  <c r="AO316" i="14"/>
  <c r="AN316" i="14"/>
  <c r="AL316" i="14"/>
  <c r="AJ316" i="14"/>
  <c r="AI316" i="14"/>
  <c r="AH316" i="14"/>
  <c r="AG316" i="14"/>
  <c r="AF316" i="14"/>
  <c r="AE316" i="14"/>
  <c r="AD316" i="14"/>
  <c r="AC316" i="14"/>
  <c r="AB316" i="14"/>
  <c r="AA316" i="14"/>
  <c r="Z316" i="14"/>
  <c r="Y316" i="14"/>
  <c r="X316" i="14"/>
  <c r="W316" i="14"/>
  <c r="V316" i="14"/>
  <c r="U316" i="14"/>
  <c r="T316" i="14"/>
  <c r="S316" i="14"/>
  <c r="R316" i="14"/>
  <c r="Q316" i="14"/>
  <c r="P316" i="14"/>
  <c r="O316" i="14"/>
  <c r="N316" i="14"/>
  <c r="M316" i="14"/>
  <c r="L316" i="14"/>
  <c r="K316" i="14"/>
  <c r="J316" i="14"/>
  <c r="I316" i="14"/>
  <c r="H316" i="14"/>
  <c r="G316" i="14"/>
  <c r="F316" i="14"/>
  <c r="E316" i="14"/>
  <c r="D316" i="14"/>
  <c r="C316" i="14"/>
  <c r="B316" i="14"/>
  <c r="A316" i="14"/>
  <c r="AU315" i="14"/>
  <c r="AT315" i="14"/>
  <c r="AQ315" i="14"/>
  <c r="AP315" i="14"/>
  <c r="AO315" i="14"/>
  <c r="AN315" i="14"/>
  <c r="AL315" i="14"/>
  <c r="AJ315" i="14"/>
  <c r="AI315" i="14"/>
  <c r="AH315" i="14"/>
  <c r="AG315" i="14"/>
  <c r="AF315" i="14"/>
  <c r="AE315" i="14"/>
  <c r="AD315" i="14"/>
  <c r="AC315" i="14"/>
  <c r="AB315" i="14"/>
  <c r="AA315" i="14"/>
  <c r="Z315" i="14"/>
  <c r="Y315" i="14"/>
  <c r="X315" i="14"/>
  <c r="W315" i="14"/>
  <c r="V315" i="14"/>
  <c r="U315" i="14"/>
  <c r="T315" i="14"/>
  <c r="S315" i="14"/>
  <c r="R315" i="14"/>
  <c r="Q315" i="14"/>
  <c r="P315" i="14"/>
  <c r="O315" i="14"/>
  <c r="N315" i="14"/>
  <c r="M315" i="14"/>
  <c r="L315" i="14"/>
  <c r="K315" i="14"/>
  <c r="J315" i="14"/>
  <c r="I315" i="14"/>
  <c r="H315" i="14"/>
  <c r="G315" i="14"/>
  <c r="F315" i="14"/>
  <c r="E315" i="14"/>
  <c r="D315" i="14"/>
  <c r="C315" i="14"/>
  <c r="B315" i="14"/>
  <c r="A315" i="14"/>
  <c r="AU314" i="14"/>
  <c r="AT314" i="14"/>
  <c r="AQ314" i="14"/>
  <c r="AP314" i="14"/>
  <c r="AO314" i="14"/>
  <c r="AN314" i="14"/>
  <c r="AL314" i="14"/>
  <c r="AJ314" i="14"/>
  <c r="AI314" i="14"/>
  <c r="AH314" i="14"/>
  <c r="AG314" i="14"/>
  <c r="AF314" i="14"/>
  <c r="AE314" i="14"/>
  <c r="AD314" i="14"/>
  <c r="AC314" i="14"/>
  <c r="AB314" i="14"/>
  <c r="AA314" i="14"/>
  <c r="Z314" i="14"/>
  <c r="Y314" i="14"/>
  <c r="X314" i="14"/>
  <c r="W314" i="14"/>
  <c r="V314" i="14"/>
  <c r="U314" i="14"/>
  <c r="T314" i="14"/>
  <c r="S314" i="14"/>
  <c r="R314" i="14"/>
  <c r="Q314" i="14"/>
  <c r="P314" i="14"/>
  <c r="O314" i="14"/>
  <c r="N314" i="14"/>
  <c r="M314" i="14"/>
  <c r="L314" i="14"/>
  <c r="K314" i="14"/>
  <c r="J314" i="14"/>
  <c r="I314" i="14"/>
  <c r="H314" i="14"/>
  <c r="G314" i="14"/>
  <c r="F314" i="14"/>
  <c r="E314" i="14"/>
  <c r="D314" i="14"/>
  <c r="C314" i="14"/>
  <c r="B314" i="14"/>
  <c r="A314" i="14"/>
  <c r="AU313" i="14"/>
  <c r="AT313" i="14"/>
  <c r="AQ313" i="14"/>
  <c r="AP313" i="14"/>
  <c r="AO313" i="14"/>
  <c r="AN313" i="14"/>
  <c r="AL313" i="14"/>
  <c r="AJ313" i="14"/>
  <c r="AI313" i="14"/>
  <c r="AH313" i="14"/>
  <c r="AG313" i="14"/>
  <c r="AF313" i="14"/>
  <c r="AE313" i="14"/>
  <c r="AD313" i="14"/>
  <c r="AC313" i="14"/>
  <c r="AB313" i="14"/>
  <c r="AA313" i="14"/>
  <c r="Z313" i="14"/>
  <c r="Y313" i="14"/>
  <c r="X313" i="14"/>
  <c r="W313" i="14"/>
  <c r="V313" i="14"/>
  <c r="U313" i="14"/>
  <c r="T313" i="14"/>
  <c r="S313" i="14"/>
  <c r="R313" i="14"/>
  <c r="Q313" i="14"/>
  <c r="P313" i="14"/>
  <c r="O313" i="14"/>
  <c r="N313" i="14"/>
  <c r="M313" i="14"/>
  <c r="L313" i="14"/>
  <c r="K313" i="14"/>
  <c r="J313" i="14"/>
  <c r="I313" i="14"/>
  <c r="H313" i="14"/>
  <c r="G313" i="14"/>
  <c r="F313" i="14"/>
  <c r="E313" i="14"/>
  <c r="D313" i="14"/>
  <c r="C313" i="14"/>
  <c r="B313" i="14"/>
  <c r="A313" i="14"/>
  <c r="AU312" i="14"/>
  <c r="AT312" i="14"/>
  <c r="AQ312" i="14"/>
  <c r="AP312" i="14"/>
  <c r="AO312" i="14"/>
  <c r="AN312" i="14"/>
  <c r="AL312" i="14"/>
  <c r="AJ312" i="14"/>
  <c r="AI312" i="14"/>
  <c r="AH312" i="14"/>
  <c r="AG312" i="14"/>
  <c r="AF312" i="14"/>
  <c r="AE312" i="14"/>
  <c r="AD312" i="14"/>
  <c r="AC312" i="14"/>
  <c r="AB312" i="14"/>
  <c r="AA312" i="14"/>
  <c r="Z312" i="14"/>
  <c r="Y312" i="14"/>
  <c r="X312" i="14"/>
  <c r="W312" i="14"/>
  <c r="V312" i="14"/>
  <c r="U312" i="14"/>
  <c r="T312" i="14"/>
  <c r="S312" i="14"/>
  <c r="R312" i="14"/>
  <c r="Q312" i="14"/>
  <c r="P312" i="14"/>
  <c r="O312" i="14"/>
  <c r="N312" i="14"/>
  <c r="M312" i="14"/>
  <c r="L312" i="14"/>
  <c r="K312" i="14"/>
  <c r="J312" i="14"/>
  <c r="I312" i="14"/>
  <c r="H312" i="14"/>
  <c r="G312" i="14"/>
  <c r="F312" i="14"/>
  <c r="E312" i="14"/>
  <c r="D312" i="14"/>
  <c r="C312" i="14"/>
  <c r="B312" i="14"/>
  <c r="A312" i="14"/>
  <c r="AU311" i="14"/>
  <c r="AT311" i="14"/>
  <c r="AQ311" i="14"/>
  <c r="AP311" i="14"/>
  <c r="AO311" i="14"/>
  <c r="AN311" i="14"/>
  <c r="AL311" i="14"/>
  <c r="AJ311" i="14"/>
  <c r="AI311" i="14"/>
  <c r="AH311" i="14"/>
  <c r="AG311" i="14"/>
  <c r="AF311" i="14"/>
  <c r="AE311" i="14"/>
  <c r="AD311" i="14"/>
  <c r="AC311" i="14"/>
  <c r="AB311" i="14"/>
  <c r="AA311" i="14"/>
  <c r="Z311" i="14"/>
  <c r="Y311" i="14"/>
  <c r="X311" i="14"/>
  <c r="W311" i="14"/>
  <c r="V311" i="14"/>
  <c r="U311" i="14"/>
  <c r="T311" i="14"/>
  <c r="S311" i="14"/>
  <c r="R311" i="14"/>
  <c r="Q311" i="14"/>
  <c r="P311" i="14"/>
  <c r="O311" i="14"/>
  <c r="N311" i="14"/>
  <c r="M311" i="14"/>
  <c r="L311" i="14"/>
  <c r="K311" i="14"/>
  <c r="J311" i="14"/>
  <c r="I311" i="14"/>
  <c r="H311" i="14"/>
  <c r="G311" i="14"/>
  <c r="F311" i="14"/>
  <c r="E311" i="14"/>
  <c r="D311" i="14"/>
  <c r="C311" i="14"/>
  <c r="B311" i="14"/>
  <c r="A311" i="14"/>
  <c r="AU310" i="14"/>
  <c r="AT310" i="14"/>
  <c r="AQ310" i="14"/>
  <c r="AP310" i="14"/>
  <c r="AO310" i="14"/>
  <c r="AN310" i="14"/>
  <c r="AL310" i="14"/>
  <c r="AJ310" i="14"/>
  <c r="AI310" i="14"/>
  <c r="AH310" i="14"/>
  <c r="AG310" i="14"/>
  <c r="AF310" i="14"/>
  <c r="AE310" i="14"/>
  <c r="AD310" i="14"/>
  <c r="AC310" i="14"/>
  <c r="AB310" i="14"/>
  <c r="AA310" i="14"/>
  <c r="Z310" i="14"/>
  <c r="Y310" i="14"/>
  <c r="X310" i="14"/>
  <c r="W310" i="14"/>
  <c r="V310" i="14"/>
  <c r="U310" i="14"/>
  <c r="T310" i="14"/>
  <c r="S310" i="14"/>
  <c r="R310" i="14"/>
  <c r="Q310" i="14"/>
  <c r="P310" i="14"/>
  <c r="O310" i="14"/>
  <c r="N310" i="14"/>
  <c r="M310" i="14"/>
  <c r="L310" i="14"/>
  <c r="K310" i="14"/>
  <c r="J310" i="14"/>
  <c r="I310" i="14"/>
  <c r="H310" i="14"/>
  <c r="G310" i="14"/>
  <c r="F310" i="14"/>
  <c r="E310" i="14"/>
  <c r="D310" i="14"/>
  <c r="C310" i="14"/>
  <c r="B310" i="14"/>
  <c r="A310" i="14"/>
  <c r="AU309" i="14"/>
  <c r="AT309" i="14"/>
  <c r="AQ309" i="14"/>
  <c r="AP309" i="14"/>
  <c r="AO309" i="14"/>
  <c r="AN309" i="14"/>
  <c r="AL309" i="14"/>
  <c r="AJ309" i="14"/>
  <c r="AI309" i="14"/>
  <c r="AH309" i="14"/>
  <c r="AG309" i="14"/>
  <c r="AF309" i="14"/>
  <c r="AE309" i="14"/>
  <c r="AD309" i="14"/>
  <c r="AC309" i="14"/>
  <c r="AB309" i="14"/>
  <c r="AA309" i="14"/>
  <c r="Z309" i="14"/>
  <c r="Y309" i="14"/>
  <c r="X309" i="14"/>
  <c r="W309" i="14"/>
  <c r="V309" i="14"/>
  <c r="U309" i="14"/>
  <c r="T309" i="14"/>
  <c r="S309" i="14"/>
  <c r="R309" i="14"/>
  <c r="Q309" i="14"/>
  <c r="P309" i="14"/>
  <c r="O309" i="14"/>
  <c r="N309" i="14"/>
  <c r="M309" i="14"/>
  <c r="L309" i="14"/>
  <c r="K309" i="14"/>
  <c r="J309" i="14"/>
  <c r="I309" i="14"/>
  <c r="H309" i="14"/>
  <c r="G309" i="14"/>
  <c r="F309" i="14"/>
  <c r="E309" i="14"/>
  <c r="D309" i="14"/>
  <c r="C309" i="14"/>
  <c r="B309" i="14"/>
  <c r="A309" i="14"/>
  <c r="AU308" i="14"/>
  <c r="AT308" i="14"/>
  <c r="AQ308" i="14"/>
  <c r="AP308" i="14"/>
  <c r="AO308" i="14"/>
  <c r="AN308" i="14"/>
  <c r="AL308" i="14"/>
  <c r="AJ308" i="14"/>
  <c r="AI308" i="14"/>
  <c r="AH308" i="14"/>
  <c r="AG308" i="14"/>
  <c r="AF308" i="14"/>
  <c r="AE308" i="14"/>
  <c r="AD308" i="14"/>
  <c r="AC308" i="14"/>
  <c r="AB308" i="14"/>
  <c r="AA308" i="14"/>
  <c r="Z308" i="14"/>
  <c r="Y308" i="14"/>
  <c r="X308" i="14"/>
  <c r="W308" i="14"/>
  <c r="V308" i="14"/>
  <c r="U308" i="14"/>
  <c r="T308" i="14"/>
  <c r="S308" i="14"/>
  <c r="R308" i="14"/>
  <c r="Q308" i="14"/>
  <c r="P308" i="14"/>
  <c r="O308" i="14"/>
  <c r="N308" i="14"/>
  <c r="M308" i="14"/>
  <c r="L308" i="14"/>
  <c r="K308" i="14"/>
  <c r="J308" i="14"/>
  <c r="I308" i="14"/>
  <c r="H308" i="14"/>
  <c r="G308" i="14"/>
  <c r="F308" i="14"/>
  <c r="E308" i="14"/>
  <c r="D308" i="14"/>
  <c r="C308" i="14"/>
  <c r="B308" i="14"/>
  <c r="A308" i="14"/>
  <c r="AU307" i="14"/>
  <c r="AT307" i="14"/>
  <c r="AQ307" i="14"/>
  <c r="AP307" i="14"/>
  <c r="AO307" i="14"/>
  <c r="AN307" i="14"/>
  <c r="AL307" i="14"/>
  <c r="AJ307" i="14"/>
  <c r="AI307" i="14"/>
  <c r="AH307" i="14"/>
  <c r="AG307" i="14"/>
  <c r="AF307" i="14"/>
  <c r="AE307" i="14"/>
  <c r="AD307" i="14"/>
  <c r="AC307" i="14"/>
  <c r="AB307" i="14"/>
  <c r="AA307" i="14"/>
  <c r="Z307" i="14"/>
  <c r="Y307" i="14"/>
  <c r="X307" i="14"/>
  <c r="W307" i="14"/>
  <c r="V307" i="14"/>
  <c r="U307" i="14"/>
  <c r="T307" i="14"/>
  <c r="S307" i="14"/>
  <c r="R307" i="14"/>
  <c r="Q307" i="14"/>
  <c r="P307" i="14"/>
  <c r="O307" i="14"/>
  <c r="N307" i="14"/>
  <c r="M307" i="14"/>
  <c r="L307" i="14"/>
  <c r="K307" i="14"/>
  <c r="J307" i="14"/>
  <c r="I307" i="14"/>
  <c r="H307" i="14"/>
  <c r="G307" i="14"/>
  <c r="F307" i="14"/>
  <c r="E307" i="14"/>
  <c r="D307" i="14"/>
  <c r="C307" i="14"/>
  <c r="B307" i="14"/>
  <c r="A307" i="14"/>
  <c r="AU306" i="14"/>
  <c r="AT306" i="14"/>
  <c r="AQ306" i="14"/>
  <c r="AP306" i="14"/>
  <c r="AO306" i="14"/>
  <c r="AN306" i="14"/>
  <c r="AL306" i="14"/>
  <c r="AJ306" i="14"/>
  <c r="AI306" i="14"/>
  <c r="AH306" i="14"/>
  <c r="AG306" i="14"/>
  <c r="AF306" i="14"/>
  <c r="AE306" i="14"/>
  <c r="AD306" i="14"/>
  <c r="AC306" i="14"/>
  <c r="AB306" i="14"/>
  <c r="AA306" i="14"/>
  <c r="Z306" i="14"/>
  <c r="Y306" i="14"/>
  <c r="X306" i="14"/>
  <c r="W306" i="14"/>
  <c r="V306" i="14"/>
  <c r="U306" i="14"/>
  <c r="T306" i="14"/>
  <c r="S306" i="14"/>
  <c r="R306" i="14"/>
  <c r="Q306" i="14"/>
  <c r="P306" i="14"/>
  <c r="O306" i="14"/>
  <c r="N306" i="14"/>
  <c r="M306" i="14"/>
  <c r="L306" i="14"/>
  <c r="K306" i="14"/>
  <c r="J306" i="14"/>
  <c r="I306" i="14"/>
  <c r="H306" i="14"/>
  <c r="G306" i="14"/>
  <c r="F306" i="14"/>
  <c r="E306" i="14"/>
  <c r="D306" i="14"/>
  <c r="C306" i="14"/>
  <c r="B306" i="14"/>
  <c r="A306" i="14"/>
  <c r="AU305" i="14"/>
  <c r="AT305" i="14"/>
  <c r="AQ305" i="14"/>
  <c r="AP305" i="14"/>
  <c r="AO305" i="14"/>
  <c r="AN305" i="14"/>
  <c r="AL305" i="14"/>
  <c r="AJ305" i="14"/>
  <c r="AI305" i="14"/>
  <c r="AH305" i="14"/>
  <c r="AG305" i="14"/>
  <c r="AF305" i="14"/>
  <c r="AE305" i="14"/>
  <c r="AD305" i="14"/>
  <c r="AC305" i="14"/>
  <c r="AB305" i="14"/>
  <c r="AA305" i="14"/>
  <c r="Z305" i="14"/>
  <c r="Y305" i="14"/>
  <c r="X305" i="14"/>
  <c r="W305" i="14"/>
  <c r="V305" i="14"/>
  <c r="U305" i="14"/>
  <c r="T305" i="14"/>
  <c r="S305" i="14"/>
  <c r="R305" i="14"/>
  <c r="Q305" i="14"/>
  <c r="P305" i="14"/>
  <c r="O305" i="14"/>
  <c r="N305" i="14"/>
  <c r="M305" i="14"/>
  <c r="L305" i="14"/>
  <c r="K305" i="14"/>
  <c r="J305" i="14"/>
  <c r="I305" i="14"/>
  <c r="H305" i="14"/>
  <c r="G305" i="14"/>
  <c r="F305" i="14"/>
  <c r="E305" i="14"/>
  <c r="D305" i="14"/>
  <c r="C305" i="14"/>
  <c r="B305" i="14"/>
  <c r="A305" i="14"/>
  <c r="AU304" i="14"/>
  <c r="AT304" i="14"/>
  <c r="AQ304" i="14"/>
  <c r="AP304" i="14"/>
  <c r="AO304" i="14"/>
  <c r="AN304" i="14"/>
  <c r="AL304" i="14"/>
  <c r="AJ304" i="14"/>
  <c r="AI304" i="14"/>
  <c r="AH304" i="14"/>
  <c r="AG304" i="14"/>
  <c r="AF304" i="14"/>
  <c r="AE304" i="14"/>
  <c r="AD304" i="14"/>
  <c r="AC304" i="14"/>
  <c r="AB304" i="14"/>
  <c r="AA304" i="14"/>
  <c r="Z304" i="14"/>
  <c r="Y304" i="14"/>
  <c r="X304" i="14"/>
  <c r="W304" i="14"/>
  <c r="V304" i="14"/>
  <c r="U304" i="14"/>
  <c r="T304" i="14"/>
  <c r="S304" i="14"/>
  <c r="R304" i="14"/>
  <c r="Q304" i="14"/>
  <c r="P304" i="14"/>
  <c r="O304" i="14"/>
  <c r="N304" i="14"/>
  <c r="M304" i="14"/>
  <c r="L304" i="14"/>
  <c r="K304" i="14"/>
  <c r="J304" i="14"/>
  <c r="I304" i="14"/>
  <c r="H304" i="14"/>
  <c r="G304" i="14"/>
  <c r="F304" i="14"/>
  <c r="E304" i="14"/>
  <c r="D304" i="14"/>
  <c r="C304" i="14"/>
  <c r="B304" i="14"/>
  <c r="A304" i="14"/>
  <c r="AU303" i="14"/>
  <c r="AT303" i="14"/>
  <c r="AQ303" i="14"/>
  <c r="AP303" i="14"/>
  <c r="AO303" i="14"/>
  <c r="AN303" i="14"/>
  <c r="AL303" i="14"/>
  <c r="AJ303" i="14"/>
  <c r="AI303" i="14"/>
  <c r="AH303" i="14"/>
  <c r="AG303" i="14"/>
  <c r="AF303" i="14"/>
  <c r="AE303" i="14"/>
  <c r="AD303" i="14"/>
  <c r="AC303" i="14"/>
  <c r="AB303" i="14"/>
  <c r="AA303" i="14"/>
  <c r="Z303" i="14"/>
  <c r="Y303" i="14"/>
  <c r="X303" i="14"/>
  <c r="W303" i="14"/>
  <c r="V303" i="14"/>
  <c r="U303" i="14"/>
  <c r="T303" i="14"/>
  <c r="S303" i="14"/>
  <c r="R303" i="14"/>
  <c r="Q303" i="14"/>
  <c r="P303" i="14"/>
  <c r="O303" i="14"/>
  <c r="N303" i="14"/>
  <c r="M303" i="14"/>
  <c r="L303" i="14"/>
  <c r="K303" i="14"/>
  <c r="J303" i="14"/>
  <c r="I303" i="14"/>
  <c r="H303" i="14"/>
  <c r="G303" i="14"/>
  <c r="F303" i="14"/>
  <c r="E303" i="14"/>
  <c r="D303" i="14"/>
  <c r="C303" i="14"/>
  <c r="B303" i="14"/>
  <c r="A303" i="14"/>
  <c r="AU302" i="14"/>
  <c r="AT302" i="14"/>
  <c r="AQ302" i="14"/>
  <c r="AP302" i="14"/>
  <c r="AO302" i="14"/>
  <c r="AN302" i="14"/>
  <c r="AL302" i="14"/>
  <c r="AJ302" i="14"/>
  <c r="AI302" i="14"/>
  <c r="AH302" i="14"/>
  <c r="AG302" i="14"/>
  <c r="AF302" i="14"/>
  <c r="AE302" i="14"/>
  <c r="AD302" i="14"/>
  <c r="AC302" i="14"/>
  <c r="AB302" i="14"/>
  <c r="AA302" i="14"/>
  <c r="Z302" i="14"/>
  <c r="Y302" i="14"/>
  <c r="X302" i="14"/>
  <c r="W302" i="14"/>
  <c r="V302" i="14"/>
  <c r="U302" i="14"/>
  <c r="T302" i="14"/>
  <c r="S302" i="14"/>
  <c r="R302" i="14"/>
  <c r="Q302" i="14"/>
  <c r="P302" i="14"/>
  <c r="O302" i="14"/>
  <c r="N302" i="14"/>
  <c r="M302" i="14"/>
  <c r="L302" i="14"/>
  <c r="K302" i="14"/>
  <c r="J302" i="14"/>
  <c r="I302" i="14"/>
  <c r="H302" i="14"/>
  <c r="G302" i="14"/>
  <c r="F302" i="14"/>
  <c r="E302" i="14"/>
  <c r="D302" i="14"/>
  <c r="C302" i="14"/>
  <c r="B302" i="14"/>
  <c r="A302" i="14"/>
  <c r="AU301" i="14"/>
  <c r="AT301" i="14"/>
  <c r="AQ301" i="14"/>
  <c r="AP301" i="14"/>
  <c r="AO301" i="14"/>
  <c r="AN301" i="14"/>
  <c r="AL301" i="14"/>
  <c r="AJ301" i="14"/>
  <c r="AI301" i="14"/>
  <c r="AH301" i="14"/>
  <c r="AG301" i="14"/>
  <c r="AF301" i="14"/>
  <c r="AE301" i="14"/>
  <c r="AD301" i="14"/>
  <c r="AC301" i="14"/>
  <c r="AB301" i="14"/>
  <c r="AA301" i="14"/>
  <c r="Z301" i="14"/>
  <c r="Y301" i="14"/>
  <c r="X301" i="14"/>
  <c r="W301" i="14"/>
  <c r="V301" i="14"/>
  <c r="U301" i="14"/>
  <c r="T301" i="14"/>
  <c r="S301" i="14"/>
  <c r="R301" i="14"/>
  <c r="Q301" i="14"/>
  <c r="P301" i="14"/>
  <c r="O301" i="14"/>
  <c r="N301" i="14"/>
  <c r="M301" i="14"/>
  <c r="L301" i="14"/>
  <c r="K301" i="14"/>
  <c r="J301" i="14"/>
  <c r="I301" i="14"/>
  <c r="H301" i="14"/>
  <c r="G301" i="14"/>
  <c r="F301" i="14"/>
  <c r="E301" i="14"/>
  <c r="D301" i="14"/>
  <c r="C301" i="14"/>
  <c r="B301" i="14"/>
  <c r="A301" i="14"/>
  <c r="AU300" i="14"/>
  <c r="AT300" i="14"/>
  <c r="AQ300" i="14"/>
  <c r="AP300" i="14"/>
  <c r="AO300" i="14"/>
  <c r="AN300" i="14"/>
  <c r="AL300" i="14"/>
  <c r="AJ300" i="14"/>
  <c r="AI300" i="14"/>
  <c r="AH300" i="14"/>
  <c r="AG300" i="14"/>
  <c r="AF300" i="14"/>
  <c r="AE300" i="14"/>
  <c r="AD300" i="14"/>
  <c r="AC300" i="14"/>
  <c r="AB300" i="14"/>
  <c r="AA300" i="14"/>
  <c r="Z300" i="14"/>
  <c r="Y300" i="14"/>
  <c r="X300" i="14"/>
  <c r="W300" i="14"/>
  <c r="V300" i="14"/>
  <c r="U300" i="14"/>
  <c r="T300" i="14"/>
  <c r="S300" i="14"/>
  <c r="R300" i="14"/>
  <c r="Q300" i="14"/>
  <c r="P300" i="14"/>
  <c r="O300" i="14"/>
  <c r="N300" i="14"/>
  <c r="M300" i="14"/>
  <c r="L300" i="14"/>
  <c r="K300" i="14"/>
  <c r="J300" i="14"/>
  <c r="I300" i="14"/>
  <c r="H300" i="14"/>
  <c r="G300" i="14"/>
  <c r="F300" i="14"/>
  <c r="E300" i="14"/>
  <c r="D300" i="14"/>
  <c r="C300" i="14"/>
  <c r="B300" i="14"/>
  <c r="A300" i="14"/>
  <c r="AU299" i="14"/>
  <c r="AT299" i="14"/>
  <c r="AQ299" i="14"/>
  <c r="AP299" i="14"/>
  <c r="AO299" i="14"/>
  <c r="AN299" i="14"/>
  <c r="AL299" i="14"/>
  <c r="AJ299" i="14"/>
  <c r="AI299" i="14"/>
  <c r="AH299" i="14"/>
  <c r="AG299" i="14"/>
  <c r="AF299" i="14"/>
  <c r="AE299" i="14"/>
  <c r="AD299" i="14"/>
  <c r="AC299" i="14"/>
  <c r="AB299" i="14"/>
  <c r="AA299" i="14"/>
  <c r="Z299" i="14"/>
  <c r="Y299" i="14"/>
  <c r="X299" i="14"/>
  <c r="W299" i="14"/>
  <c r="V299" i="14"/>
  <c r="U299" i="14"/>
  <c r="T299" i="14"/>
  <c r="S299" i="14"/>
  <c r="R299" i="14"/>
  <c r="Q299" i="14"/>
  <c r="P299" i="14"/>
  <c r="O299" i="14"/>
  <c r="N299" i="14"/>
  <c r="M299" i="14"/>
  <c r="L299" i="14"/>
  <c r="K299" i="14"/>
  <c r="J299" i="14"/>
  <c r="I299" i="14"/>
  <c r="H299" i="14"/>
  <c r="G299" i="14"/>
  <c r="F299" i="14"/>
  <c r="E299" i="14"/>
  <c r="D299" i="14"/>
  <c r="C299" i="14"/>
  <c r="B299" i="14"/>
  <c r="A299" i="14"/>
  <c r="AU298" i="14"/>
  <c r="AT298" i="14"/>
  <c r="AQ298" i="14"/>
  <c r="AP298" i="14"/>
  <c r="AO298" i="14"/>
  <c r="AN298" i="14"/>
  <c r="AL298" i="14"/>
  <c r="AJ298" i="14"/>
  <c r="AI298" i="14"/>
  <c r="AH298" i="14"/>
  <c r="AG298" i="14"/>
  <c r="AF298" i="14"/>
  <c r="AE298" i="14"/>
  <c r="AD298" i="14"/>
  <c r="AC298" i="14"/>
  <c r="AB298" i="14"/>
  <c r="AA298" i="14"/>
  <c r="Z298" i="14"/>
  <c r="Y298" i="14"/>
  <c r="X298" i="14"/>
  <c r="W298" i="14"/>
  <c r="V298" i="14"/>
  <c r="U298" i="14"/>
  <c r="T298" i="14"/>
  <c r="S298" i="14"/>
  <c r="R298" i="14"/>
  <c r="Q298" i="14"/>
  <c r="P298" i="14"/>
  <c r="O298" i="14"/>
  <c r="N298" i="14"/>
  <c r="M298" i="14"/>
  <c r="L298" i="14"/>
  <c r="K298" i="14"/>
  <c r="J298" i="14"/>
  <c r="I298" i="14"/>
  <c r="H298" i="14"/>
  <c r="G298" i="14"/>
  <c r="F298" i="14"/>
  <c r="E298" i="14"/>
  <c r="D298" i="14"/>
  <c r="C298" i="14"/>
  <c r="B298" i="14"/>
  <c r="A298" i="14"/>
  <c r="AU297" i="14"/>
  <c r="AT297" i="14"/>
  <c r="AQ297" i="14"/>
  <c r="AP297" i="14"/>
  <c r="AO297" i="14"/>
  <c r="AN297" i="14"/>
  <c r="AL297" i="14"/>
  <c r="AJ297" i="14"/>
  <c r="AI297" i="14"/>
  <c r="AH297" i="14"/>
  <c r="AG297" i="14"/>
  <c r="AF297" i="14"/>
  <c r="AE297" i="14"/>
  <c r="AD297" i="14"/>
  <c r="AC297" i="14"/>
  <c r="AB297" i="14"/>
  <c r="AA297" i="14"/>
  <c r="Z297" i="14"/>
  <c r="Y297" i="14"/>
  <c r="X297" i="14"/>
  <c r="W297" i="14"/>
  <c r="V297" i="14"/>
  <c r="U297" i="14"/>
  <c r="T297" i="14"/>
  <c r="S297" i="14"/>
  <c r="R297" i="14"/>
  <c r="Q297" i="14"/>
  <c r="P297" i="14"/>
  <c r="O297" i="14"/>
  <c r="N297" i="14"/>
  <c r="M297" i="14"/>
  <c r="L297" i="14"/>
  <c r="K297" i="14"/>
  <c r="J297" i="14"/>
  <c r="I297" i="14"/>
  <c r="H297" i="14"/>
  <c r="G297" i="14"/>
  <c r="F297" i="14"/>
  <c r="E297" i="14"/>
  <c r="D297" i="14"/>
  <c r="C297" i="14"/>
  <c r="B297" i="14"/>
  <c r="A297" i="14"/>
  <c r="AU296" i="14"/>
  <c r="AT296" i="14"/>
  <c r="AQ296" i="14"/>
  <c r="AP296" i="14"/>
  <c r="AO296" i="14"/>
  <c r="AN296" i="14"/>
  <c r="AL296" i="14"/>
  <c r="AJ296" i="14"/>
  <c r="AI296" i="14"/>
  <c r="AH296" i="14"/>
  <c r="AG296" i="14"/>
  <c r="AF296" i="14"/>
  <c r="AE296" i="14"/>
  <c r="AD296" i="14"/>
  <c r="AC296" i="14"/>
  <c r="AB296" i="14"/>
  <c r="AA296" i="14"/>
  <c r="Z296" i="14"/>
  <c r="Y296" i="14"/>
  <c r="X296" i="14"/>
  <c r="W296" i="14"/>
  <c r="V296" i="14"/>
  <c r="U296" i="14"/>
  <c r="T296" i="14"/>
  <c r="S296" i="14"/>
  <c r="R296" i="14"/>
  <c r="Q296" i="14"/>
  <c r="P296" i="14"/>
  <c r="O296" i="14"/>
  <c r="N296" i="14"/>
  <c r="M296" i="14"/>
  <c r="L296" i="14"/>
  <c r="K296" i="14"/>
  <c r="J296" i="14"/>
  <c r="I296" i="14"/>
  <c r="H296" i="14"/>
  <c r="G296" i="14"/>
  <c r="F296" i="14"/>
  <c r="E296" i="14"/>
  <c r="D296" i="14"/>
  <c r="C296" i="14"/>
  <c r="B296" i="14"/>
  <c r="A296" i="14"/>
  <c r="AU295" i="14"/>
  <c r="AT295" i="14"/>
  <c r="AQ295" i="14"/>
  <c r="AP295" i="14"/>
  <c r="AO295" i="14"/>
  <c r="AN295" i="14"/>
  <c r="AL295" i="14"/>
  <c r="AJ295" i="14"/>
  <c r="AI295" i="14"/>
  <c r="AH295" i="14"/>
  <c r="AG295" i="14"/>
  <c r="AF295" i="14"/>
  <c r="AE295" i="14"/>
  <c r="AD295" i="14"/>
  <c r="AC295" i="14"/>
  <c r="AB295" i="14"/>
  <c r="AA295" i="14"/>
  <c r="Z295" i="14"/>
  <c r="Y295" i="14"/>
  <c r="X295" i="14"/>
  <c r="W295" i="14"/>
  <c r="V295" i="14"/>
  <c r="U295" i="14"/>
  <c r="T295" i="14"/>
  <c r="S295" i="14"/>
  <c r="R295" i="14"/>
  <c r="Q295" i="14"/>
  <c r="P295" i="14"/>
  <c r="O295" i="14"/>
  <c r="N295" i="14"/>
  <c r="M295" i="14"/>
  <c r="L295" i="14"/>
  <c r="K295" i="14"/>
  <c r="J295" i="14"/>
  <c r="I295" i="14"/>
  <c r="H295" i="14"/>
  <c r="G295" i="14"/>
  <c r="F295" i="14"/>
  <c r="E295" i="14"/>
  <c r="D295" i="14"/>
  <c r="C295" i="14"/>
  <c r="B295" i="14"/>
  <c r="A295" i="14"/>
  <c r="AU294" i="14"/>
  <c r="AT294" i="14"/>
  <c r="AQ294" i="14"/>
  <c r="AP294" i="14"/>
  <c r="AO294" i="14"/>
  <c r="AN294" i="14"/>
  <c r="AL294" i="14"/>
  <c r="AJ294" i="14"/>
  <c r="AI294" i="14"/>
  <c r="AH294" i="14"/>
  <c r="AG294" i="14"/>
  <c r="AF294" i="14"/>
  <c r="AE294" i="14"/>
  <c r="AD294" i="14"/>
  <c r="AC294" i="14"/>
  <c r="AB294" i="14"/>
  <c r="AA294" i="14"/>
  <c r="Z294" i="14"/>
  <c r="Y294" i="14"/>
  <c r="X294" i="14"/>
  <c r="W294" i="14"/>
  <c r="V294" i="14"/>
  <c r="U294" i="14"/>
  <c r="T294" i="14"/>
  <c r="S294" i="14"/>
  <c r="R294" i="14"/>
  <c r="Q294" i="14"/>
  <c r="P294" i="14"/>
  <c r="O294" i="14"/>
  <c r="N294" i="14"/>
  <c r="M294" i="14"/>
  <c r="L294" i="14"/>
  <c r="K294" i="14"/>
  <c r="J294" i="14"/>
  <c r="I294" i="14"/>
  <c r="H294" i="14"/>
  <c r="G294" i="14"/>
  <c r="F294" i="14"/>
  <c r="E294" i="14"/>
  <c r="D294" i="14"/>
  <c r="C294" i="14"/>
  <c r="B294" i="14"/>
  <c r="A294" i="14"/>
  <c r="AU293" i="14"/>
  <c r="AT293" i="14"/>
  <c r="AQ293" i="14"/>
  <c r="AP293" i="14"/>
  <c r="AO293" i="14"/>
  <c r="AN293" i="14"/>
  <c r="AL293" i="14"/>
  <c r="AJ293" i="14"/>
  <c r="AI293" i="14"/>
  <c r="AH293" i="14"/>
  <c r="AG293" i="14"/>
  <c r="AF293" i="14"/>
  <c r="AE293" i="14"/>
  <c r="AD293" i="14"/>
  <c r="AC293" i="14"/>
  <c r="AB293" i="14"/>
  <c r="AA293" i="14"/>
  <c r="Z293" i="14"/>
  <c r="Y293" i="14"/>
  <c r="X293" i="14"/>
  <c r="W293" i="14"/>
  <c r="V293" i="14"/>
  <c r="U293" i="14"/>
  <c r="T293" i="14"/>
  <c r="S293" i="14"/>
  <c r="R293" i="14"/>
  <c r="Q293" i="14"/>
  <c r="P293" i="14"/>
  <c r="O293" i="14"/>
  <c r="N293" i="14"/>
  <c r="M293" i="14"/>
  <c r="L293" i="14"/>
  <c r="K293" i="14"/>
  <c r="J293" i="14"/>
  <c r="I293" i="14"/>
  <c r="H293" i="14"/>
  <c r="G293" i="14"/>
  <c r="F293" i="14"/>
  <c r="E293" i="14"/>
  <c r="D293" i="14"/>
  <c r="C293" i="14"/>
  <c r="B293" i="14"/>
  <c r="A293" i="14"/>
  <c r="AU292" i="14"/>
  <c r="AT292" i="14"/>
  <c r="AQ292" i="14"/>
  <c r="AP292" i="14"/>
  <c r="AO292" i="14"/>
  <c r="AN292" i="14"/>
  <c r="AL292" i="14"/>
  <c r="AJ292" i="14"/>
  <c r="AI292" i="14"/>
  <c r="AH292" i="14"/>
  <c r="AG292" i="14"/>
  <c r="AF292" i="14"/>
  <c r="AE292" i="14"/>
  <c r="AD292" i="14"/>
  <c r="AC292" i="14"/>
  <c r="AB292" i="14"/>
  <c r="AA292" i="14"/>
  <c r="Z292" i="14"/>
  <c r="Y292" i="14"/>
  <c r="X292" i="14"/>
  <c r="W292" i="14"/>
  <c r="V292" i="14"/>
  <c r="U292" i="14"/>
  <c r="T292" i="14"/>
  <c r="S292" i="14"/>
  <c r="R292" i="14"/>
  <c r="Q292" i="14"/>
  <c r="P292" i="14"/>
  <c r="O292" i="14"/>
  <c r="N292" i="14"/>
  <c r="M292" i="14"/>
  <c r="L292" i="14"/>
  <c r="K292" i="14"/>
  <c r="J292" i="14"/>
  <c r="I292" i="14"/>
  <c r="H292" i="14"/>
  <c r="G292" i="14"/>
  <c r="F292" i="14"/>
  <c r="E292" i="14"/>
  <c r="D292" i="14"/>
  <c r="C292" i="14"/>
  <c r="B292" i="14"/>
  <c r="A292" i="14"/>
  <c r="AU291" i="14"/>
  <c r="AT291" i="14"/>
  <c r="AQ291" i="14"/>
  <c r="AP291" i="14"/>
  <c r="AO291" i="14"/>
  <c r="AN291" i="14"/>
  <c r="AL291" i="14"/>
  <c r="AJ291" i="14"/>
  <c r="AI291" i="14"/>
  <c r="AH291" i="14"/>
  <c r="AG291" i="14"/>
  <c r="AF291" i="14"/>
  <c r="AE291" i="14"/>
  <c r="AD291" i="14"/>
  <c r="AC291" i="14"/>
  <c r="AB291" i="14"/>
  <c r="AA291" i="14"/>
  <c r="Z291" i="14"/>
  <c r="Y291" i="14"/>
  <c r="X291" i="14"/>
  <c r="W291" i="14"/>
  <c r="V291" i="14"/>
  <c r="U291" i="14"/>
  <c r="T291" i="14"/>
  <c r="S291" i="14"/>
  <c r="R291" i="14"/>
  <c r="Q291" i="14"/>
  <c r="P291" i="14"/>
  <c r="O291" i="14"/>
  <c r="N291" i="14"/>
  <c r="M291" i="14"/>
  <c r="L291" i="14"/>
  <c r="K291" i="14"/>
  <c r="J291" i="14"/>
  <c r="I291" i="14"/>
  <c r="H291" i="14"/>
  <c r="G291" i="14"/>
  <c r="F291" i="14"/>
  <c r="E291" i="14"/>
  <c r="D291" i="14"/>
  <c r="C291" i="14"/>
  <c r="B291" i="14"/>
  <c r="A291" i="14"/>
  <c r="AU290" i="14"/>
  <c r="AT290" i="14"/>
  <c r="AQ290" i="14"/>
  <c r="AP290" i="14"/>
  <c r="AO290" i="14"/>
  <c r="AN290" i="14"/>
  <c r="AL290" i="14"/>
  <c r="AJ290" i="14"/>
  <c r="AI290" i="14"/>
  <c r="AH290" i="14"/>
  <c r="AG290" i="14"/>
  <c r="AF290" i="14"/>
  <c r="AE290" i="14"/>
  <c r="AD290" i="14"/>
  <c r="AC290" i="14"/>
  <c r="AB290" i="14"/>
  <c r="AA290" i="14"/>
  <c r="Z290" i="14"/>
  <c r="Y290" i="14"/>
  <c r="X290" i="14"/>
  <c r="W290" i="14"/>
  <c r="V290" i="14"/>
  <c r="U290" i="14"/>
  <c r="T290" i="14"/>
  <c r="S290" i="14"/>
  <c r="R290" i="14"/>
  <c r="Q290" i="14"/>
  <c r="P290" i="14"/>
  <c r="O290" i="14"/>
  <c r="N290" i="14"/>
  <c r="M290" i="14"/>
  <c r="L290" i="14"/>
  <c r="K290" i="14"/>
  <c r="J290" i="14"/>
  <c r="I290" i="14"/>
  <c r="H290" i="14"/>
  <c r="G290" i="14"/>
  <c r="F290" i="14"/>
  <c r="E290" i="14"/>
  <c r="D290" i="14"/>
  <c r="C290" i="14"/>
  <c r="B290" i="14"/>
  <c r="A290" i="14"/>
  <c r="AU289" i="14"/>
  <c r="AT289" i="14"/>
  <c r="AQ289" i="14"/>
  <c r="AP289" i="14"/>
  <c r="AO289" i="14"/>
  <c r="AN289" i="14"/>
  <c r="AL289" i="14"/>
  <c r="AJ289" i="14"/>
  <c r="AI289" i="14"/>
  <c r="AH289" i="14"/>
  <c r="AG289" i="14"/>
  <c r="AF289" i="14"/>
  <c r="AE289" i="14"/>
  <c r="AD289" i="14"/>
  <c r="AC289" i="14"/>
  <c r="AB289" i="14"/>
  <c r="AA289" i="14"/>
  <c r="Z289" i="14"/>
  <c r="Y289" i="14"/>
  <c r="X289" i="14"/>
  <c r="W289" i="14"/>
  <c r="V289" i="14"/>
  <c r="U289" i="14"/>
  <c r="T289" i="14"/>
  <c r="S289" i="14"/>
  <c r="R289" i="14"/>
  <c r="Q289" i="14"/>
  <c r="P289" i="14"/>
  <c r="O289" i="14"/>
  <c r="N289" i="14"/>
  <c r="M289" i="14"/>
  <c r="L289" i="14"/>
  <c r="K289" i="14"/>
  <c r="J289" i="14"/>
  <c r="I289" i="14"/>
  <c r="H289" i="14"/>
  <c r="G289" i="14"/>
  <c r="F289" i="14"/>
  <c r="E289" i="14"/>
  <c r="D289" i="14"/>
  <c r="C289" i="14"/>
  <c r="B289" i="14"/>
  <c r="A289" i="14"/>
  <c r="AU288" i="14"/>
  <c r="AT288" i="14"/>
  <c r="AQ288" i="14"/>
  <c r="AP288" i="14"/>
  <c r="AO288" i="14"/>
  <c r="AN288" i="14"/>
  <c r="AL288" i="14"/>
  <c r="AJ288" i="14"/>
  <c r="AI288" i="14"/>
  <c r="AH288" i="14"/>
  <c r="AG288" i="14"/>
  <c r="AF288" i="14"/>
  <c r="AE288" i="14"/>
  <c r="AD288" i="14"/>
  <c r="AC288" i="14"/>
  <c r="AB288" i="14"/>
  <c r="AA288" i="14"/>
  <c r="Z288" i="14"/>
  <c r="Y288" i="14"/>
  <c r="X288" i="14"/>
  <c r="W288" i="14"/>
  <c r="V288" i="14"/>
  <c r="U288" i="14"/>
  <c r="T288" i="14"/>
  <c r="S288" i="14"/>
  <c r="R288" i="14"/>
  <c r="Q288" i="14"/>
  <c r="P288" i="14"/>
  <c r="O288" i="14"/>
  <c r="N288" i="14"/>
  <c r="M288" i="14"/>
  <c r="L288" i="14"/>
  <c r="K288" i="14"/>
  <c r="J288" i="14"/>
  <c r="I288" i="14"/>
  <c r="H288" i="14"/>
  <c r="G288" i="14"/>
  <c r="F288" i="14"/>
  <c r="E288" i="14"/>
  <c r="D288" i="14"/>
  <c r="C288" i="14"/>
  <c r="B288" i="14"/>
  <c r="A288" i="14"/>
  <c r="AU287" i="14"/>
  <c r="AT287" i="14"/>
  <c r="AQ287" i="14"/>
  <c r="AP287" i="14"/>
  <c r="AO287" i="14"/>
  <c r="AN287" i="14"/>
  <c r="AL287" i="14"/>
  <c r="AJ287" i="14"/>
  <c r="AI287" i="14"/>
  <c r="AH287" i="14"/>
  <c r="AG287" i="14"/>
  <c r="AF287" i="14"/>
  <c r="AE287" i="14"/>
  <c r="AD287" i="14"/>
  <c r="AC287" i="14"/>
  <c r="AB287" i="14"/>
  <c r="AA287" i="14"/>
  <c r="Z287" i="14"/>
  <c r="Y287" i="14"/>
  <c r="X287" i="14"/>
  <c r="W287" i="14"/>
  <c r="V287" i="14"/>
  <c r="U287" i="14"/>
  <c r="T287" i="14"/>
  <c r="S287" i="14"/>
  <c r="R287" i="14"/>
  <c r="Q287" i="14"/>
  <c r="P287" i="14"/>
  <c r="O287" i="14"/>
  <c r="N287" i="14"/>
  <c r="M287" i="14"/>
  <c r="L287" i="14"/>
  <c r="K287" i="14"/>
  <c r="J287" i="14"/>
  <c r="I287" i="14"/>
  <c r="H287" i="14"/>
  <c r="G287" i="14"/>
  <c r="F287" i="14"/>
  <c r="E287" i="14"/>
  <c r="D287" i="14"/>
  <c r="C287" i="14"/>
  <c r="B287" i="14"/>
  <c r="A287" i="14"/>
  <c r="AU286" i="14"/>
  <c r="AT286" i="14"/>
  <c r="AQ286" i="14"/>
  <c r="AP286" i="14"/>
  <c r="AO286" i="14"/>
  <c r="AN286" i="14"/>
  <c r="AL286" i="14"/>
  <c r="AJ286" i="14"/>
  <c r="AI286" i="14"/>
  <c r="AH286" i="14"/>
  <c r="AG286" i="14"/>
  <c r="AF286" i="14"/>
  <c r="AE286" i="14"/>
  <c r="AD286" i="14"/>
  <c r="AC286" i="14"/>
  <c r="AB286" i="14"/>
  <c r="AA286" i="14"/>
  <c r="Z286" i="14"/>
  <c r="Y286" i="14"/>
  <c r="X286" i="14"/>
  <c r="W286" i="14"/>
  <c r="V286" i="14"/>
  <c r="U286" i="14"/>
  <c r="T286" i="14"/>
  <c r="S286" i="14"/>
  <c r="R286" i="14"/>
  <c r="Q286" i="14"/>
  <c r="P286" i="14"/>
  <c r="O286" i="14"/>
  <c r="N286" i="14"/>
  <c r="M286" i="14"/>
  <c r="L286" i="14"/>
  <c r="K286" i="14"/>
  <c r="J286" i="14"/>
  <c r="I286" i="14"/>
  <c r="H286" i="14"/>
  <c r="G286" i="14"/>
  <c r="F286" i="14"/>
  <c r="E286" i="14"/>
  <c r="D286" i="14"/>
  <c r="C286" i="14"/>
  <c r="B286" i="14"/>
  <c r="A286" i="14"/>
  <c r="AU285" i="14"/>
  <c r="AT285" i="14"/>
  <c r="AQ285" i="14"/>
  <c r="AP285" i="14"/>
  <c r="AO285" i="14"/>
  <c r="AN285" i="14"/>
  <c r="AL285" i="14"/>
  <c r="AJ285" i="14"/>
  <c r="AI285" i="14"/>
  <c r="AH285" i="14"/>
  <c r="AG285" i="14"/>
  <c r="AF285" i="14"/>
  <c r="AE285" i="14"/>
  <c r="AD285" i="14"/>
  <c r="AC285" i="14"/>
  <c r="AB285" i="14"/>
  <c r="AA285" i="14"/>
  <c r="Z285" i="14"/>
  <c r="Y285" i="14"/>
  <c r="X285" i="14"/>
  <c r="W285" i="14"/>
  <c r="V285" i="14"/>
  <c r="U285" i="14"/>
  <c r="T285" i="14"/>
  <c r="S285" i="14"/>
  <c r="R285" i="14"/>
  <c r="Q285" i="14"/>
  <c r="P285" i="14"/>
  <c r="O285" i="14"/>
  <c r="N285" i="14"/>
  <c r="M285" i="14"/>
  <c r="L285" i="14"/>
  <c r="K285" i="14"/>
  <c r="J285" i="14"/>
  <c r="I285" i="14"/>
  <c r="H285" i="14"/>
  <c r="G285" i="14"/>
  <c r="F285" i="14"/>
  <c r="E285" i="14"/>
  <c r="D285" i="14"/>
  <c r="C285" i="14"/>
  <c r="B285" i="14"/>
  <c r="A285" i="14"/>
  <c r="AU284" i="14"/>
  <c r="AT284" i="14"/>
  <c r="AQ284" i="14"/>
  <c r="AP284" i="14"/>
  <c r="AO284" i="14"/>
  <c r="AN284" i="14"/>
  <c r="AL284" i="14"/>
  <c r="AJ284" i="14"/>
  <c r="AI284" i="14"/>
  <c r="AH284" i="14"/>
  <c r="AG284" i="14"/>
  <c r="AF284" i="14"/>
  <c r="AE284" i="14"/>
  <c r="AD284" i="14"/>
  <c r="AC284" i="14"/>
  <c r="AB284" i="14"/>
  <c r="AA284" i="14"/>
  <c r="Z284" i="14"/>
  <c r="Y284" i="14"/>
  <c r="X284" i="14"/>
  <c r="W284" i="14"/>
  <c r="V284" i="14"/>
  <c r="U284" i="14"/>
  <c r="T284" i="14"/>
  <c r="S284" i="14"/>
  <c r="R284" i="14"/>
  <c r="Q284" i="14"/>
  <c r="P284" i="14"/>
  <c r="O284" i="14"/>
  <c r="N284" i="14"/>
  <c r="M284" i="14"/>
  <c r="L284" i="14"/>
  <c r="K284" i="14"/>
  <c r="J284" i="14"/>
  <c r="I284" i="14"/>
  <c r="H284" i="14"/>
  <c r="G284" i="14"/>
  <c r="F284" i="14"/>
  <c r="E284" i="14"/>
  <c r="D284" i="14"/>
  <c r="C284" i="14"/>
  <c r="B284" i="14"/>
  <c r="A284" i="14"/>
  <c r="AU283" i="14"/>
  <c r="AT283" i="14"/>
  <c r="AQ283" i="14"/>
  <c r="AP283" i="14"/>
  <c r="AO283" i="14"/>
  <c r="AN283" i="14"/>
  <c r="AL283" i="14"/>
  <c r="AJ283" i="14"/>
  <c r="AI283" i="14"/>
  <c r="AH283" i="14"/>
  <c r="AG283" i="14"/>
  <c r="AF283" i="14"/>
  <c r="AE283" i="14"/>
  <c r="AD283" i="14"/>
  <c r="AC283" i="14"/>
  <c r="AB283" i="14"/>
  <c r="AA283" i="14"/>
  <c r="Z283" i="14"/>
  <c r="Y283" i="14"/>
  <c r="X283" i="14"/>
  <c r="W283" i="14"/>
  <c r="V283" i="14"/>
  <c r="U283" i="14"/>
  <c r="T283" i="14"/>
  <c r="S283" i="14"/>
  <c r="R283" i="14"/>
  <c r="Q283" i="14"/>
  <c r="P283" i="14"/>
  <c r="O283" i="14"/>
  <c r="N283" i="14"/>
  <c r="M283" i="14"/>
  <c r="L283" i="14"/>
  <c r="K283" i="14"/>
  <c r="J283" i="14"/>
  <c r="I283" i="14"/>
  <c r="H283" i="14"/>
  <c r="G283" i="14"/>
  <c r="F283" i="14"/>
  <c r="E283" i="14"/>
  <c r="D283" i="14"/>
  <c r="C283" i="14"/>
  <c r="B283" i="14"/>
  <c r="A283" i="14"/>
  <c r="AU282" i="14"/>
  <c r="AT282" i="14"/>
  <c r="AQ282" i="14"/>
  <c r="AP282" i="14"/>
  <c r="AO282" i="14"/>
  <c r="AN282" i="14"/>
  <c r="AL282" i="14"/>
  <c r="AJ282" i="14"/>
  <c r="AI282" i="14"/>
  <c r="AH282" i="14"/>
  <c r="AG282" i="14"/>
  <c r="AF282" i="14"/>
  <c r="AE282" i="14"/>
  <c r="AD282" i="14"/>
  <c r="AC282" i="14"/>
  <c r="AB282" i="14"/>
  <c r="AA282" i="14"/>
  <c r="Z282" i="14"/>
  <c r="Y282" i="14"/>
  <c r="X282" i="14"/>
  <c r="W282" i="14"/>
  <c r="V282" i="14"/>
  <c r="U282" i="14"/>
  <c r="T282" i="14"/>
  <c r="S282" i="14"/>
  <c r="R282" i="14"/>
  <c r="Q282" i="14"/>
  <c r="P282" i="14"/>
  <c r="O282" i="14"/>
  <c r="N282" i="14"/>
  <c r="M282" i="14"/>
  <c r="L282" i="14"/>
  <c r="K282" i="14"/>
  <c r="J282" i="14"/>
  <c r="I282" i="14"/>
  <c r="H282" i="14"/>
  <c r="G282" i="14"/>
  <c r="F282" i="14"/>
  <c r="E282" i="14"/>
  <c r="D282" i="14"/>
  <c r="C282" i="14"/>
  <c r="B282" i="14"/>
  <c r="A282" i="14"/>
  <c r="AU281" i="14"/>
  <c r="AT281" i="14"/>
  <c r="AQ281" i="14"/>
  <c r="AP281" i="14"/>
  <c r="AO281" i="14"/>
  <c r="AN281" i="14"/>
  <c r="AL281" i="14"/>
  <c r="AJ281" i="14"/>
  <c r="AI281" i="14"/>
  <c r="AH281" i="14"/>
  <c r="AG281" i="14"/>
  <c r="AF281" i="14"/>
  <c r="AE281" i="14"/>
  <c r="AD281" i="14"/>
  <c r="AC281" i="14"/>
  <c r="AB281" i="14"/>
  <c r="AA281" i="14"/>
  <c r="Z281" i="14"/>
  <c r="Y281" i="14"/>
  <c r="X281" i="14"/>
  <c r="W281" i="14"/>
  <c r="V281" i="14"/>
  <c r="U281" i="14"/>
  <c r="T281" i="14"/>
  <c r="S281" i="14"/>
  <c r="R281" i="14"/>
  <c r="Q281" i="14"/>
  <c r="P281" i="14"/>
  <c r="O281" i="14"/>
  <c r="N281" i="14"/>
  <c r="M281" i="14"/>
  <c r="L281" i="14"/>
  <c r="K281" i="14"/>
  <c r="J281" i="14"/>
  <c r="I281" i="14"/>
  <c r="H281" i="14"/>
  <c r="G281" i="14"/>
  <c r="F281" i="14"/>
  <c r="E281" i="14"/>
  <c r="D281" i="14"/>
  <c r="C281" i="14"/>
  <c r="B281" i="14"/>
  <c r="A281" i="14"/>
  <c r="AU280" i="14"/>
  <c r="AT280" i="14"/>
  <c r="AQ280" i="14"/>
  <c r="AP280" i="14"/>
  <c r="AO280" i="14"/>
  <c r="AN280" i="14"/>
  <c r="AL280" i="14"/>
  <c r="AJ280" i="14"/>
  <c r="AI280" i="14"/>
  <c r="AH280" i="14"/>
  <c r="AG280" i="14"/>
  <c r="AF280" i="14"/>
  <c r="AE280" i="14"/>
  <c r="AD280" i="14"/>
  <c r="AC280" i="14"/>
  <c r="AB280" i="14"/>
  <c r="AA280" i="14"/>
  <c r="Z280" i="14"/>
  <c r="Y280" i="14"/>
  <c r="X280" i="14"/>
  <c r="W280" i="14"/>
  <c r="V280" i="14"/>
  <c r="U280" i="14"/>
  <c r="T280" i="14"/>
  <c r="S280" i="14"/>
  <c r="R280" i="14"/>
  <c r="Q280" i="14"/>
  <c r="P280" i="14"/>
  <c r="O280" i="14"/>
  <c r="N280" i="14"/>
  <c r="M280" i="14"/>
  <c r="L280" i="14"/>
  <c r="K280" i="14"/>
  <c r="J280" i="14"/>
  <c r="I280" i="14"/>
  <c r="H280" i="14"/>
  <c r="G280" i="14"/>
  <c r="F280" i="14"/>
  <c r="E280" i="14"/>
  <c r="D280" i="14"/>
  <c r="C280" i="14"/>
  <c r="B280" i="14"/>
  <c r="A280" i="14"/>
  <c r="AU279" i="14"/>
  <c r="AT279" i="14"/>
  <c r="AQ279" i="14"/>
  <c r="AP279" i="14"/>
  <c r="AO279" i="14"/>
  <c r="AN279" i="14"/>
  <c r="AL279" i="14"/>
  <c r="AJ279" i="14"/>
  <c r="AI279" i="14"/>
  <c r="AH279" i="14"/>
  <c r="AG279" i="14"/>
  <c r="AF279" i="14"/>
  <c r="AE279" i="14"/>
  <c r="AD279" i="14"/>
  <c r="AC279" i="14"/>
  <c r="AB279" i="14"/>
  <c r="AA279" i="14"/>
  <c r="Z279" i="14"/>
  <c r="Y279" i="14"/>
  <c r="X279" i="14"/>
  <c r="W279" i="14"/>
  <c r="V279" i="14"/>
  <c r="U279" i="14"/>
  <c r="T279" i="14"/>
  <c r="S279" i="14"/>
  <c r="R279" i="14"/>
  <c r="Q279" i="14"/>
  <c r="P279" i="14"/>
  <c r="O279" i="14"/>
  <c r="N279" i="14"/>
  <c r="M279" i="14"/>
  <c r="L279" i="14"/>
  <c r="K279" i="14"/>
  <c r="J279" i="14"/>
  <c r="I279" i="14"/>
  <c r="H279" i="14"/>
  <c r="G279" i="14"/>
  <c r="F279" i="14"/>
  <c r="E279" i="14"/>
  <c r="D279" i="14"/>
  <c r="C279" i="14"/>
  <c r="B279" i="14"/>
  <c r="A279" i="14"/>
  <c r="AU278" i="14"/>
  <c r="AT278" i="14"/>
  <c r="AQ278" i="14"/>
  <c r="AP278" i="14"/>
  <c r="AO278" i="14"/>
  <c r="AN278" i="14"/>
  <c r="AL278" i="14"/>
  <c r="AJ278" i="14"/>
  <c r="AI278" i="14"/>
  <c r="AH278" i="14"/>
  <c r="AG278" i="14"/>
  <c r="AF278" i="14"/>
  <c r="AE278" i="14"/>
  <c r="AD278" i="14"/>
  <c r="AC278" i="14"/>
  <c r="AB278" i="14"/>
  <c r="AA278" i="14"/>
  <c r="Z278" i="14"/>
  <c r="Y278" i="14"/>
  <c r="X278" i="14"/>
  <c r="W278" i="14"/>
  <c r="V278" i="14"/>
  <c r="U278" i="14"/>
  <c r="T278" i="14"/>
  <c r="S278" i="14"/>
  <c r="R278" i="14"/>
  <c r="Q278" i="14"/>
  <c r="P278" i="14"/>
  <c r="O278" i="14"/>
  <c r="N278" i="14"/>
  <c r="M278" i="14"/>
  <c r="L278" i="14"/>
  <c r="K278" i="14"/>
  <c r="J278" i="14"/>
  <c r="I278" i="14"/>
  <c r="H278" i="14"/>
  <c r="G278" i="14"/>
  <c r="F278" i="14"/>
  <c r="E278" i="14"/>
  <c r="D278" i="14"/>
  <c r="C278" i="14"/>
  <c r="B278" i="14"/>
  <c r="A278" i="14"/>
  <c r="AU277" i="14"/>
  <c r="AT277" i="14"/>
  <c r="AQ277" i="14"/>
  <c r="AP277" i="14"/>
  <c r="AO277" i="14"/>
  <c r="AN277" i="14"/>
  <c r="AL277" i="14"/>
  <c r="AJ277" i="14"/>
  <c r="AI277" i="14"/>
  <c r="AH277" i="14"/>
  <c r="AG277" i="14"/>
  <c r="AF277" i="14"/>
  <c r="AE277" i="14"/>
  <c r="AD277" i="14"/>
  <c r="AC277" i="14"/>
  <c r="AB277" i="14"/>
  <c r="AA277" i="14"/>
  <c r="Z277" i="14"/>
  <c r="Y277" i="14"/>
  <c r="X277" i="14"/>
  <c r="W277" i="14"/>
  <c r="V277" i="14"/>
  <c r="U277" i="14"/>
  <c r="T277" i="14"/>
  <c r="S277" i="14"/>
  <c r="R277" i="14"/>
  <c r="Q277" i="14"/>
  <c r="P277" i="14"/>
  <c r="O277" i="14"/>
  <c r="N277" i="14"/>
  <c r="M277" i="14"/>
  <c r="L277" i="14"/>
  <c r="K277" i="14"/>
  <c r="J277" i="14"/>
  <c r="I277" i="14"/>
  <c r="H277" i="14"/>
  <c r="G277" i="14"/>
  <c r="F277" i="14"/>
  <c r="E277" i="14"/>
  <c r="D277" i="14"/>
  <c r="C277" i="14"/>
  <c r="B277" i="14"/>
  <c r="A277" i="14"/>
  <c r="AU276" i="14"/>
  <c r="AT276" i="14"/>
  <c r="AQ276" i="14"/>
  <c r="AP276" i="14"/>
  <c r="AO276" i="14"/>
  <c r="AN276" i="14"/>
  <c r="AL276" i="14"/>
  <c r="AJ276" i="14"/>
  <c r="AI276" i="14"/>
  <c r="AH276" i="14"/>
  <c r="AG276" i="14"/>
  <c r="AF276" i="14"/>
  <c r="AE276" i="14"/>
  <c r="AD276" i="14"/>
  <c r="AC276" i="14"/>
  <c r="AB276" i="14"/>
  <c r="AA276" i="14"/>
  <c r="Z276" i="14"/>
  <c r="Y276" i="14"/>
  <c r="X276" i="14"/>
  <c r="W276" i="14"/>
  <c r="V276" i="14"/>
  <c r="U276" i="14"/>
  <c r="T276" i="14"/>
  <c r="S276" i="14"/>
  <c r="R276" i="14"/>
  <c r="Q276" i="14"/>
  <c r="P276" i="14"/>
  <c r="O276" i="14"/>
  <c r="N276" i="14"/>
  <c r="M276" i="14"/>
  <c r="L276" i="14"/>
  <c r="K276" i="14"/>
  <c r="J276" i="14"/>
  <c r="I276" i="14"/>
  <c r="H276" i="14"/>
  <c r="G276" i="14"/>
  <c r="F276" i="14"/>
  <c r="E276" i="14"/>
  <c r="D276" i="14"/>
  <c r="C276" i="14"/>
  <c r="B276" i="14"/>
  <c r="A276" i="14"/>
  <c r="AU275" i="14"/>
  <c r="AT275" i="14"/>
  <c r="AQ275" i="14"/>
  <c r="AP275" i="14"/>
  <c r="AO275" i="14"/>
  <c r="AN275" i="14"/>
  <c r="AL275" i="14"/>
  <c r="AJ275" i="14"/>
  <c r="AI275" i="14"/>
  <c r="AH275" i="14"/>
  <c r="AG275" i="14"/>
  <c r="AF275" i="14"/>
  <c r="AE275" i="14"/>
  <c r="AD275" i="14"/>
  <c r="AC275" i="14"/>
  <c r="AB275" i="14"/>
  <c r="AA275" i="14"/>
  <c r="Z275" i="14"/>
  <c r="Y275" i="14"/>
  <c r="X275" i="14"/>
  <c r="W275" i="14"/>
  <c r="V275" i="14"/>
  <c r="U275" i="14"/>
  <c r="T275" i="14"/>
  <c r="S275" i="14"/>
  <c r="R275" i="14"/>
  <c r="Q275" i="14"/>
  <c r="P275" i="14"/>
  <c r="O275" i="14"/>
  <c r="N275" i="14"/>
  <c r="M275" i="14"/>
  <c r="L275" i="14"/>
  <c r="K275" i="14"/>
  <c r="J275" i="14"/>
  <c r="I275" i="14"/>
  <c r="H275" i="14"/>
  <c r="G275" i="14"/>
  <c r="F275" i="14"/>
  <c r="E275" i="14"/>
  <c r="D275" i="14"/>
  <c r="C275" i="14"/>
  <c r="B275" i="14"/>
  <c r="A275" i="14"/>
  <c r="AU274" i="14"/>
  <c r="AT274" i="14"/>
  <c r="AQ274" i="14"/>
  <c r="AP274" i="14"/>
  <c r="AO274" i="14"/>
  <c r="AN274" i="14"/>
  <c r="AL274" i="14"/>
  <c r="AJ274" i="14"/>
  <c r="AI274" i="14"/>
  <c r="AH274" i="14"/>
  <c r="AG274" i="14"/>
  <c r="AF274" i="14"/>
  <c r="AE274" i="14"/>
  <c r="AD274" i="14"/>
  <c r="AC274" i="14"/>
  <c r="AB274" i="14"/>
  <c r="AA274" i="14"/>
  <c r="Z274" i="14"/>
  <c r="Y274" i="14"/>
  <c r="X274" i="14"/>
  <c r="W274" i="14"/>
  <c r="V274" i="14"/>
  <c r="U274" i="14"/>
  <c r="T274" i="14"/>
  <c r="S274" i="14"/>
  <c r="R274" i="14"/>
  <c r="Q274" i="14"/>
  <c r="P274" i="14"/>
  <c r="O274" i="14"/>
  <c r="N274" i="14"/>
  <c r="M274" i="14"/>
  <c r="L274" i="14"/>
  <c r="K274" i="14"/>
  <c r="J274" i="14"/>
  <c r="I274" i="14"/>
  <c r="H274" i="14"/>
  <c r="G274" i="14"/>
  <c r="F274" i="14"/>
  <c r="E274" i="14"/>
  <c r="D274" i="14"/>
  <c r="C274" i="14"/>
  <c r="B274" i="14"/>
  <c r="A274" i="14"/>
  <c r="AU273" i="14"/>
  <c r="AT273" i="14"/>
  <c r="AQ273" i="14"/>
  <c r="AP273" i="14"/>
  <c r="AO273" i="14"/>
  <c r="AN273" i="14"/>
  <c r="AL273" i="14"/>
  <c r="AJ273" i="14"/>
  <c r="AI273" i="14"/>
  <c r="AH273" i="14"/>
  <c r="AG273" i="14"/>
  <c r="AF273" i="14"/>
  <c r="AE273" i="14"/>
  <c r="AD273" i="14"/>
  <c r="AC273" i="14"/>
  <c r="AB273" i="14"/>
  <c r="AA273" i="14"/>
  <c r="Z273" i="14"/>
  <c r="Y273" i="14"/>
  <c r="X273" i="14"/>
  <c r="W273" i="14"/>
  <c r="V273" i="14"/>
  <c r="U273" i="14"/>
  <c r="T273" i="14"/>
  <c r="S273" i="14"/>
  <c r="R273" i="14"/>
  <c r="Q273" i="14"/>
  <c r="P273" i="14"/>
  <c r="O273" i="14"/>
  <c r="N273" i="14"/>
  <c r="M273" i="14"/>
  <c r="L273" i="14"/>
  <c r="K273" i="14"/>
  <c r="J273" i="14"/>
  <c r="I273" i="14"/>
  <c r="H273" i="14"/>
  <c r="G273" i="14"/>
  <c r="F273" i="14"/>
  <c r="E273" i="14"/>
  <c r="D273" i="14"/>
  <c r="C273" i="14"/>
  <c r="B273" i="14"/>
  <c r="A273" i="14"/>
  <c r="AU272" i="14"/>
  <c r="AT272" i="14"/>
  <c r="AQ272" i="14"/>
  <c r="AP272" i="14"/>
  <c r="AO272" i="14"/>
  <c r="AN272" i="14"/>
  <c r="AL272" i="14"/>
  <c r="AJ272" i="14"/>
  <c r="AI272" i="14"/>
  <c r="AH272" i="14"/>
  <c r="AG272" i="14"/>
  <c r="AF272" i="14"/>
  <c r="AE272" i="14"/>
  <c r="AD272" i="14"/>
  <c r="AC272" i="14"/>
  <c r="AB272" i="14"/>
  <c r="AA272" i="14"/>
  <c r="Z272" i="14"/>
  <c r="Y272" i="14"/>
  <c r="X272" i="14"/>
  <c r="W272" i="14"/>
  <c r="V272" i="14"/>
  <c r="U272" i="14"/>
  <c r="T272" i="14"/>
  <c r="S272" i="14"/>
  <c r="R272" i="14"/>
  <c r="Q272" i="14"/>
  <c r="P272" i="14"/>
  <c r="O272" i="14"/>
  <c r="N272" i="14"/>
  <c r="M272" i="14"/>
  <c r="L272" i="14"/>
  <c r="K272" i="14"/>
  <c r="J272" i="14"/>
  <c r="I272" i="14"/>
  <c r="H272" i="14"/>
  <c r="G272" i="14"/>
  <c r="F272" i="14"/>
  <c r="E272" i="14"/>
  <c r="D272" i="14"/>
  <c r="C272" i="14"/>
  <c r="B272" i="14"/>
  <c r="A272" i="14"/>
  <c r="AU271" i="14"/>
  <c r="AT271" i="14"/>
  <c r="AQ271" i="14"/>
  <c r="AP271" i="14"/>
  <c r="AO271" i="14"/>
  <c r="AN271" i="14"/>
  <c r="AL271" i="14"/>
  <c r="AJ271" i="14"/>
  <c r="AI271" i="14"/>
  <c r="AH271" i="14"/>
  <c r="AG271" i="14"/>
  <c r="AF271" i="14"/>
  <c r="AE271" i="14"/>
  <c r="AD271" i="14"/>
  <c r="AC271" i="14"/>
  <c r="AB271" i="14"/>
  <c r="AA271" i="14"/>
  <c r="Z271" i="14"/>
  <c r="Y271" i="14"/>
  <c r="X271" i="14"/>
  <c r="W271" i="14"/>
  <c r="V271" i="14"/>
  <c r="U271" i="14"/>
  <c r="T271" i="14"/>
  <c r="S271" i="14"/>
  <c r="R271" i="14"/>
  <c r="Q271" i="14"/>
  <c r="P271" i="14"/>
  <c r="O271" i="14"/>
  <c r="N271" i="14"/>
  <c r="M271" i="14"/>
  <c r="L271" i="14"/>
  <c r="K271" i="14"/>
  <c r="J271" i="14"/>
  <c r="I271" i="14"/>
  <c r="H271" i="14"/>
  <c r="G271" i="14"/>
  <c r="F271" i="14"/>
  <c r="E271" i="14"/>
  <c r="D271" i="14"/>
  <c r="C271" i="14"/>
  <c r="B271" i="14"/>
  <c r="A271" i="14"/>
  <c r="AU270" i="14"/>
  <c r="AT270" i="14"/>
  <c r="AQ270" i="14"/>
  <c r="AP270" i="14"/>
  <c r="AO270" i="14"/>
  <c r="AN270" i="14"/>
  <c r="AL270" i="14"/>
  <c r="AJ270" i="14"/>
  <c r="AI270" i="14"/>
  <c r="AH270" i="14"/>
  <c r="AG270" i="14"/>
  <c r="AF270" i="14"/>
  <c r="AE270" i="14"/>
  <c r="AD270" i="14"/>
  <c r="AC270" i="14"/>
  <c r="AB270" i="14"/>
  <c r="AA270" i="14"/>
  <c r="Z270" i="14"/>
  <c r="Y270" i="14"/>
  <c r="X270" i="14"/>
  <c r="W270" i="14"/>
  <c r="V270" i="14"/>
  <c r="U270" i="14"/>
  <c r="T270" i="14"/>
  <c r="S270" i="14"/>
  <c r="R270" i="14"/>
  <c r="Q270" i="14"/>
  <c r="P270" i="14"/>
  <c r="O270" i="14"/>
  <c r="N270" i="14"/>
  <c r="M270" i="14"/>
  <c r="L270" i="14"/>
  <c r="K270" i="14"/>
  <c r="J270" i="14"/>
  <c r="I270" i="14"/>
  <c r="H270" i="14"/>
  <c r="G270" i="14"/>
  <c r="F270" i="14"/>
  <c r="E270" i="14"/>
  <c r="D270" i="14"/>
  <c r="C270" i="14"/>
  <c r="B270" i="14"/>
  <c r="A270" i="14"/>
  <c r="AU269" i="14"/>
  <c r="AT269" i="14"/>
  <c r="AQ269" i="14"/>
  <c r="AP269" i="14"/>
  <c r="AO269" i="14"/>
  <c r="AN269" i="14"/>
  <c r="AL269" i="14"/>
  <c r="AJ269" i="14"/>
  <c r="AI269" i="14"/>
  <c r="AH269" i="14"/>
  <c r="AG269" i="14"/>
  <c r="AF269" i="14"/>
  <c r="AE269" i="14"/>
  <c r="AD269" i="14"/>
  <c r="AC269" i="14"/>
  <c r="AB269" i="14"/>
  <c r="AA269" i="14"/>
  <c r="Z269" i="14"/>
  <c r="Y269" i="14"/>
  <c r="X269" i="14"/>
  <c r="W269" i="14"/>
  <c r="V269" i="14"/>
  <c r="U269" i="14"/>
  <c r="T269" i="14"/>
  <c r="S269" i="14"/>
  <c r="R269" i="14"/>
  <c r="Q269" i="14"/>
  <c r="P269" i="14"/>
  <c r="O269" i="14"/>
  <c r="N269" i="14"/>
  <c r="M269" i="14"/>
  <c r="L269" i="14"/>
  <c r="K269" i="14"/>
  <c r="J269" i="14"/>
  <c r="I269" i="14"/>
  <c r="H269" i="14"/>
  <c r="G269" i="14"/>
  <c r="F269" i="14"/>
  <c r="E269" i="14"/>
  <c r="D269" i="14"/>
  <c r="C269" i="14"/>
  <c r="B269" i="14"/>
  <c r="A269" i="14"/>
  <c r="AU268" i="14"/>
  <c r="AT268" i="14"/>
  <c r="AQ268" i="14"/>
  <c r="AP268" i="14"/>
  <c r="AO268" i="14"/>
  <c r="AN268" i="14"/>
  <c r="AL268" i="14"/>
  <c r="AJ268" i="14"/>
  <c r="AI268" i="14"/>
  <c r="AH268" i="14"/>
  <c r="AG268" i="14"/>
  <c r="AF268" i="14"/>
  <c r="AE268" i="14"/>
  <c r="AD268" i="14"/>
  <c r="AC268" i="14"/>
  <c r="AB268" i="14"/>
  <c r="AA268" i="14"/>
  <c r="Z268" i="14"/>
  <c r="Y268" i="14"/>
  <c r="X268" i="14"/>
  <c r="W268" i="14"/>
  <c r="V268" i="14"/>
  <c r="U268" i="14"/>
  <c r="T268" i="14"/>
  <c r="S268" i="14"/>
  <c r="R268" i="14"/>
  <c r="Q268" i="14"/>
  <c r="P268" i="14"/>
  <c r="O268" i="14"/>
  <c r="N268" i="14"/>
  <c r="M268" i="14"/>
  <c r="L268" i="14"/>
  <c r="K268" i="14"/>
  <c r="J268" i="14"/>
  <c r="I268" i="14"/>
  <c r="H268" i="14"/>
  <c r="G268" i="14"/>
  <c r="F268" i="14"/>
  <c r="E268" i="14"/>
  <c r="D268" i="14"/>
  <c r="C268" i="14"/>
  <c r="B268" i="14"/>
  <c r="A268" i="14"/>
  <c r="AU267" i="14"/>
  <c r="AT267" i="14"/>
  <c r="AQ267" i="14"/>
  <c r="AP267" i="14"/>
  <c r="AO267" i="14"/>
  <c r="AN267" i="14"/>
  <c r="AL267" i="14"/>
  <c r="AJ267" i="14"/>
  <c r="AI267" i="14"/>
  <c r="AH267" i="14"/>
  <c r="AG267" i="14"/>
  <c r="AF267" i="14"/>
  <c r="AE267" i="14"/>
  <c r="AD267" i="14"/>
  <c r="AC267" i="14"/>
  <c r="AB267" i="14"/>
  <c r="AA267" i="14"/>
  <c r="Z267" i="14"/>
  <c r="Y267" i="14"/>
  <c r="X267" i="14"/>
  <c r="W267" i="14"/>
  <c r="V267" i="14"/>
  <c r="U267" i="14"/>
  <c r="T267" i="14"/>
  <c r="S267" i="14"/>
  <c r="R267" i="14"/>
  <c r="Q267" i="14"/>
  <c r="P267" i="14"/>
  <c r="O267" i="14"/>
  <c r="N267" i="14"/>
  <c r="M267" i="14"/>
  <c r="L267" i="14"/>
  <c r="K267" i="14"/>
  <c r="J267" i="14"/>
  <c r="I267" i="14"/>
  <c r="H267" i="14"/>
  <c r="G267" i="14"/>
  <c r="F267" i="14"/>
  <c r="E267" i="14"/>
  <c r="D267" i="14"/>
  <c r="C267" i="14"/>
  <c r="B267" i="14"/>
  <c r="A267" i="14"/>
  <c r="AU266" i="14"/>
  <c r="AT266" i="14"/>
  <c r="AQ266" i="14"/>
  <c r="AP266" i="14"/>
  <c r="AO266" i="14"/>
  <c r="AN266" i="14"/>
  <c r="AL266" i="14"/>
  <c r="AJ266" i="14"/>
  <c r="AI266" i="14"/>
  <c r="AH266" i="14"/>
  <c r="AG266" i="14"/>
  <c r="AF266" i="14"/>
  <c r="AE266" i="14"/>
  <c r="AD266" i="14"/>
  <c r="AC266" i="14"/>
  <c r="AB266" i="14"/>
  <c r="AA266" i="14"/>
  <c r="Z266" i="14"/>
  <c r="Y266" i="14"/>
  <c r="X266" i="14"/>
  <c r="W266" i="14"/>
  <c r="V266" i="14"/>
  <c r="U266" i="14"/>
  <c r="T266" i="14"/>
  <c r="S266" i="14"/>
  <c r="R266" i="14"/>
  <c r="Q266" i="14"/>
  <c r="P266" i="14"/>
  <c r="O266" i="14"/>
  <c r="N266" i="14"/>
  <c r="M266" i="14"/>
  <c r="L266" i="14"/>
  <c r="K266" i="14"/>
  <c r="J266" i="14"/>
  <c r="I266" i="14"/>
  <c r="H266" i="14"/>
  <c r="G266" i="14"/>
  <c r="F266" i="14"/>
  <c r="E266" i="14"/>
  <c r="D266" i="14"/>
  <c r="C266" i="14"/>
  <c r="B266" i="14"/>
  <c r="A266" i="14"/>
  <c r="AU265" i="14"/>
  <c r="AT265" i="14"/>
  <c r="AQ265" i="14"/>
  <c r="AP265" i="14"/>
  <c r="AO265" i="14"/>
  <c r="AN265" i="14"/>
  <c r="AL265" i="14"/>
  <c r="AJ265" i="14"/>
  <c r="AI265" i="14"/>
  <c r="AH265" i="14"/>
  <c r="AG265" i="14"/>
  <c r="AF265" i="14"/>
  <c r="AE265" i="14"/>
  <c r="AD265" i="14"/>
  <c r="AC265" i="14"/>
  <c r="AB265" i="14"/>
  <c r="AA265" i="14"/>
  <c r="Z265" i="14"/>
  <c r="Y265" i="14"/>
  <c r="X265" i="14"/>
  <c r="W265" i="14"/>
  <c r="V265" i="14"/>
  <c r="U265" i="14"/>
  <c r="T265" i="14"/>
  <c r="S265" i="14"/>
  <c r="R265" i="14"/>
  <c r="Q265" i="14"/>
  <c r="P265" i="14"/>
  <c r="O265" i="14"/>
  <c r="N265" i="14"/>
  <c r="M265" i="14"/>
  <c r="L265" i="14"/>
  <c r="K265" i="14"/>
  <c r="J265" i="14"/>
  <c r="I265" i="14"/>
  <c r="H265" i="14"/>
  <c r="G265" i="14"/>
  <c r="F265" i="14"/>
  <c r="E265" i="14"/>
  <c r="D265" i="14"/>
  <c r="C265" i="14"/>
  <c r="B265" i="14"/>
  <c r="A265" i="14"/>
  <c r="AU264" i="14"/>
  <c r="AT264" i="14"/>
  <c r="AQ264" i="14"/>
  <c r="AP264" i="14"/>
  <c r="AO264" i="14"/>
  <c r="AN264" i="14"/>
  <c r="AL264" i="14"/>
  <c r="AJ264" i="14"/>
  <c r="AI264" i="14"/>
  <c r="AH264" i="14"/>
  <c r="AG264" i="14"/>
  <c r="AF264" i="14"/>
  <c r="AE264" i="14"/>
  <c r="AD264" i="14"/>
  <c r="AC264" i="14"/>
  <c r="AB264" i="14"/>
  <c r="AA264" i="14"/>
  <c r="Z264" i="14"/>
  <c r="Y264" i="14"/>
  <c r="X264" i="14"/>
  <c r="W264" i="14"/>
  <c r="V264" i="14"/>
  <c r="U264" i="14"/>
  <c r="T264" i="14"/>
  <c r="S264" i="14"/>
  <c r="R264" i="14"/>
  <c r="Q264" i="14"/>
  <c r="P264" i="14"/>
  <c r="O264" i="14"/>
  <c r="N264" i="14"/>
  <c r="M264" i="14"/>
  <c r="L264" i="14"/>
  <c r="K264" i="14"/>
  <c r="J264" i="14"/>
  <c r="I264" i="14"/>
  <c r="H264" i="14"/>
  <c r="G264" i="14"/>
  <c r="F264" i="14"/>
  <c r="E264" i="14"/>
  <c r="D264" i="14"/>
  <c r="C264" i="14"/>
  <c r="B264" i="14"/>
  <c r="A264" i="14"/>
  <c r="AU263" i="14"/>
  <c r="AT263" i="14"/>
  <c r="AQ263" i="14"/>
  <c r="AP263" i="14"/>
  <c r="AO263" i="14"/>
  <c r="AN263" i="14"/>
  <c r="AL263" i="14"/>
  <c r="AJ263" i="14"/>
  <c r="AI263" i="14"/>
  <c r="AH263" i="14"/>
  <c r="AG263" i="14"/>
  <c r="AF263" i="14"/>
  <c r="AE263" i="14"/>
  <c r="AD263" i="14"/>
  <c r="AC263" i="14"/>
  <c r="AB263" i="14"/>
  <c r="AA263" i="14"/>
  <c r="Z263" i="14"/>
  <c r="Y263" i="14"/>
  <c r="X263" i="14"/>
  <c r="W263" i="14"/>
  <c r="V263" i="14"/>
  <c r="U263" i="14"/>
  <c r="T263" i="14"/>
  <c r="S263" i="14"/>
  <c r="R263" i="14"/>
  <c r="Q263" i="14"/>
  <c r="P263" i="14"/>
  <c r="O263" i="14"/>
  <c r="N263" i="14"/>
  <c r="M263" i="14"/>
  <c r="L263" i="14"/>
  <c r="K263" i="14"/>
  <c r="J263" i="14"/>
  <c r="I263" i="14"/>
  <c r="H263" i="14"/>
  <c r="G263" i="14"/>
  <c r="F263" i="14"/>
  <c r="E263" i="14"/>
  <c r="D263" i="14"/>
  <c r="C263" i="14"/>
  <c r="B263" i="14"/>
  <c r="A263" i="14"/>
  <c r="AU262" i="14"/>
  <c r="AT262" i="14"/>
  <c r="AQ262" i="14"/>
  <c r="AP262" i="14"/>
  <c r="AO262" i="14"/>
  <c r="AN262" i="14"/>
  <c r="AL262" i="14"/>
  <c r="AJ262" i="14"/>
  <c r="AI262" i="14"/>
  <c r="AH262" i="14"/>
  <c r="AG262" i="14"/>
  <c r="AF262" i="14"/>
  <c r="AE262" i="14"/>
  <c r="AD262" i="14"/>
  <c r="AC262" i="14"/>
  <c r="AB262" i="14"/>
  <c r="AA262" i="14"/>
  <c r="Z262" i="14"/>
  <c r="Y262" i="14"/>
  <c r="X262" i="14"/>
  <c r="W262" i="14"/>
  <c r="V262" i="14"/>
  <c r="U262" i="14"/>
  <c r="T262" i="14"/>
  <c r="S262" i="14"/>
  <c r="R262" i="14"/>
  <c r="Q262" i="14"/>
  <c r="P262" i="14"/>
  <c r="O262" i="14"/>
  <c r="N262" i="14"/>
  <c r="M262" i="14"/>
  <c r="L262" i="14"/>
  <c r="K262" i="14"/>
  <c r="J262" i="14"/>
  <c r="I262" i="14"/>
  <c r="H262" i="14"/>
  <c r="G262" i="14"/>
  <c r="F262" i="14"/>
  <c r="E262" i="14"/>
  <c r="D262" i="14"/>
  <c r="C262" i="14"/>
  <c r="B262" i="14"/>
  <c r="A262" i="14"/>
  <c r="AU261" i="14"/>
  <c r="AT261" i="14"/>
  <c r="AQ261" i="14"/>
  <c r="AP261" i="14"/>
  <c r="AO261" i="14"/>
  <c r="AN261" i="14"/>
  <c r="AL261" i="14"/>
  <c r="AJ261" i="14"/>
  <c r="AI261" i="14"/>
  <c r="AH261" i="14"/>
  <c r="AG261" i="14"/>
  <c r="AF261" i="14"/>
  <c r="AE261" i="14"/>
  <c r="AD261" i="14"/>
  <c r="AC261" i="14"/>
  <c r="AB261" i="14"/>
  <c r="AA261" i="14"/>
  <c r="Z261" i="14"/>
  <c r="Y261" i="14"/>
  <c r="X261" i="14"/>
  <c r="W261" i="14"/>
  <c r="V261" i="14"/>
  <c r="U261" i="14"/>
  <c r="T261" i="14"/>
  <c r="S261" i="14"/>
  <c r="R261" i="14"/>
  <c r="Q261" i="14"/>
  <c r="P261" i="14"/>
  <c r="O261" i="14"/>
  <c r="N261" i="14"/>
  <c r="M261" i="14"/>
  <c r="L261" i="14"/>
  <c r="K261" i="14"/>
  <c r="J261" i="14"/>
  <c r="I261" i="14"/>
  <c r="H261" i="14"/>
  <c r="G261" i="14"/>
  <c r="F261" i="14"/>
  <c r="E261" i="14"/>
  <c r="D261" i="14"/>
  <c r="C261" i="14"/>
  <c r="B261" i="14"/>
  <c r="A261" i="14"/>
  <c r="AU260" i="14"/>
  <c r="AT260" i="14"/>
  <c r="AQ260" i="14"/>
  <c r="AP260" i="14"/>
  <c r="AO260" i="14"/>
  <c r="AN260" i="14"/>
  <c r="AL260" i="14"/>
  <c r="AJ260" i="14"/>
  <c r="AI260" i="14"/>
  <c r="AH260" i="14"/>
  <c r="AG260" i="14"/>
  <c r="AF260" i="14"/>
  <c r="AE260" i="14"/>
  <c r="AD260" i="14"/>
  <c r="AC260" i="14"/>
  <c r="AB260" i="14"/>
  <c r="AA260" i="14"/>
  <c r="Z260" i="14"/>
  <c r="Y260" i="14"/>
  <c r="X260" i="14"/>
  <c r="W260" i="14"/>
  <c r="V260" i="14"/>
  <c r="U260" i="14"/>
  <c r="T260" i="14"/>
  <c r="S260" i="14"/>
  <c r="R260" i="14"/>
  <c r="Q260" i="14"/>
  <c r="P260" i="14"/>
  <c r="O260" i="14"/>
  <c r="N260" i="14"/>
  <c r="M260" i="14"/>
  <c r="L260" i="14"/>
  <c r="K260" i="14"/>
  <c r="J260" i="14"/>
  <c r="I260" i="14"/>
  <c r="H260" i="14"/>
  <c r="G260" i="14"/>
  <c r="F260" i="14"/>
  <c r="E260" i="14"/>
  <c r="D260" i="14"/>
  <c r="C260" i="14"/>
  <c r="B260" i="14"/>
  <c r="A260" i="14"/>
  <c r="AU259" i="14"/>
  <c r="AT259" i="14"/>
  <c r="AQ259" i="14"/>
  <c r="AP259" i="14"/>
  <c r="AO259" i="14"/>
  <c r="AN259" i="14"/>
  <c r="AL259" i="14"/>
  <c r="AJ259" i="14"/>
  <c r="AI259" i="14"/>
  <c r="AH259" i="14"/>
  <c r="AG259" i="14"/>
  <c r="AF259" i="14"/>
  <c r="AE259" i="14"/>
  <c r="AD259" i="14"/>
  <c r="AC259" i="14"/>
  <c r="AB259" i="14"/>
  <c r="AA259" i="14"/>
  <c r="Z259" i="14"/>
  <c r="Y259" i="14"/>
  <c r="X259" i="14"/>
  <c r="W259" i="14"/>
  <c r="V259" i="14"/>
  <c r="U259" i="14"/>
  <c r="T259" i="14"/>
  <c r="S259" i="14"/>
  <c r="R259" i="14"/>
  <c r="Q259" i="14"/>
  <c r="P259" i="14"/>
  <c r="O259" i="14"/>
  <c r="N259" i="14"/>
  <c r="M259" i="14"/>
  <c r="L259" i="14"/>
  <c r="K259" i="14"/>
  <c r="J259" i="14"/>
  <c r="I259" i="14"/>
  <c r="H259" i="14"/>
  <c r="G259" i="14"/>
  <c r="F259" i="14"/>
  <c r="E259" i="14"/>
  <c r="D259" i="14"/>
  <c r="C259" i="14"/>
  <c r="B259" i="14"/>
  <c r="A259" i="14"/>
  <c r="AU258" i="14"/>
  <c r="AT258" i="14"/>
  <c r="AQ258" i="14"/>
  <c r="AP258" i="14"/>
  <c r="AO258" i="14"/>
  <c r="AN258" i="14"/>
  <c r="AL258" i="14"/>
  <c r="AJ258" i="14"/>
  <c r="AI258" i="14"/>
  <c r="AH258" i="14"/>
  <c r="AG258" i="14"/>
  <c r="AF258" i="14"/>
  <c r="AE258" i="14"/>
  <c r="AD258" i="14"/>
  <c r="AC258" i="14"/>
  <c r="AB258" i="14"/>
  <c r="AA258" i="14"/>
  <c r="Z258" i="14"/>
  <c r="Y258" i="14"/>
  <c r="X258" i="14"/>
  <c r="W258" i="14"/>
  <c r="V258" i="14"/>
  <c r="U258" i="14"/>
  <c r="T258" i="14"/>
  <c r="S258" i="14"/>
  <c r="R258" i="14"/>
  <c r="Q258" i="14"/>
  <c r="P258" i="14"/>
  <c r="O258" i="14"/>
  <c r="N258" i="14"/>
  <c r="M258" i="14"/>
  <c r="L258" i="14"/>
  <c r="K258" i="14"/>
  <c r="J258" i="14"/>
  <c r="I258" i="14"/>
  <c r="H258" i="14"/>
  <c r="G258" i="14"/>
  <c r="F258" i="14"/>
  <c r="E258" i="14"/>
  <c r="D258" i="14"/>
  <c r="C258" i="14"/>
  <c r="B258" i="14"/>
  <c r="A258" i="14"/>
  <c r="AU257" i="14"/>
  <c r="AT257" i="14"/>
  <c r="AQ257" i="14"/>
  <c r="AP257" i="14"/>
  <c r="AO257" i="14"/>
  <c r="AN257" i="14"/>
  <c r="AL257" i="14"/>
  <c r="AJ257" i="14"/>
  <c r="AI257" i="14"/>
  <c r="AH257" i="14"/>
  <c r="AG257" i="14"/>
  <c r="AF257" i="14"/>
  <c r="AE257" i="14"/>
  <c r="AD257" i="14"/>
  <c r="AC257" i="14"/>
  <c r="AB257" i="14"/>
  <c r="AA257" i="14"/>
  <c r="Z257" i="14"/>
  <c r="Y257" i="14"/>
  <c r="X257" i="14"/>
  <c r="W257" i="14"/>
  <c r="V257" i="14"/>
  <c r="U257" i="14"/>
  <c r="T257" i="14"/>
  <c r="S257" i="14"/>
  <c r="R257" i="14"/>
  <c r="Q257" i="14"/>
  <c r="P257" i="14"/>
  <c r="O257" i="14"/>
  <c r="N257" i="14"/>
  <c r="M257" i="14"/>
  <c r="L257" i="14"/>
  <c r="K257" i="14"/>
  <c r="J257" i="14"/>
  <c r="I257" i="14"/>
  <c r="H257" i="14"/>
  <c r="G257" i="14"/>
  <c r="F257" i="14"/>
  <c r="E257" i="14"/>
  <c r="D257" i="14"/>
  <c r="C257" i="14"/>
  <c r="B257" i="14"/>
  <c r="A257" i="14"/>
  <c r="AU256" i="14"/>
  <c r="AT256" i="14"/>
  <c r="AQ256" i="14"/>
  <c r="AP256" i="14"/>
  <c r="AO256" i="14"/>
  <c r="AN256" i="14"/>
  <c r="AL256" i="14"/>
  <c r="AJ256" i="14"/>
  <c r="AI256" i="14"/>
  <c r="AH256" i="14"/>
  <c r="AG256" i="14"/>
  <c r="AF256" i="14"/>
  <c r="AE256" i="14"/>
  <c r="AD256" i="14"/>
  <c r="AC256" i="14"/>
  <c r="AB256" i="14"/>
  <c r="AA256" i="14"/>
  <c r="Z256" i="14"/>
  <c r="Y256" i="14"/>
  <c r="X256" i="14"/>
  <c r="W256" i="14"/>
  <c r="V256" i="14"/>
  <c r="U256" i="14"/>
  <c r="T256" i="14"/>
  <c r="S256" i="14"/>
  <c r="R256" i="14"/>
  <c r="Q256" i="14"/>
  <c r="P256" i="14"/>
  <c r="O256" i="14"/>
  <c r="N256" i="14"/>
  <c r="M256" i="14"/>
  <c r="L256" i="14"/>
  <c r="K256" i="14"/>
  <c r="J256" i="14"/>
  <c r="I256" i="14"/>
  <c r="H256" i="14"/>
  <c r="G256" i="14"/>
  <c r="F256" i="14"/>
  <c r="E256" i="14"/>
  <c r="D256" i="14"/>
  <c r="C256" i="14"/>
  <c r="B256" i="14"/>
  <c r="A256" i="14"/>
  <c r="AU255" i="14"/>
  <c r="AT255" i="14"/>
  <c r="AQ255" i="14"/>
  <c r="AP255" i="14"/>
  <c r="AO255" i="14"/>
  <c r="AN255" i="14"/>
  <c r="AL255" i="14"/>
  <c r="AJ255" i="14"/>
  <c r="AI255" i="14"/>
  <c r="AH255" i="14"/>
  <c r="AG255" i="14"/>
  <c r="AF255" i="14"/>
  <c r="AE255" i="14"/>
  <c r="AD255" i="14"/>
  <c r="AC255" i="14"/>
  <c r="AB255" i="14"/>
  <c r="AA255" i="14"/>
  <c r="Z255" i="14"/>
  <c r="Y255" i="14"/>
  <c r="X255" i="14"/>
  <c r="W255" i="14"/>
  <c r="V255" i="14"/>
  <c r="U255" i="14"/>
  <c r="T255" i="14"/>
  <c r="S255" i="14"/>
  <c r="R255" i="14"/>
  <c r="Q255" i="14"/>
  <c r="P255" i="14"/>
  <c r="O255" i="14"/>
  <c r="N255" i="14"/>
  <c r="M255" i="14"/>
  <c r="L255" i="14"/>
  <c r="K255" i="14"/>
  <c r="J255" i="14"/>
  <c r="I255" i="14"/>
  <c r="H255" i="14"/>
  <c r="G255" i="14"/>
  <c r="F255" i="14"/>
  <c r="E255" i="14"/>
  <c r="D255" i="14"/>
  <c r="C255" i="14"/>
  <c r="B255" i="14"/>
  <c r="A255" i="14"/>
  <c r="AU254" i="14"/>
  <c r="AT254" i="14"/>
  <c r="AQ254" i="14"/>
  <c r="AP254" i="14"/>
  <c r="AO254" i="14"/>
  <c r="AN254" i="14"/>
  <c r="AL254" i="14"/>
  <c r="AJ254" i="14"/>
  <c r="AI254" i="14"/>
  <c r="AH254" i="14"/>
  <c r="AG254" i="14"/>
  <c r="AF254" i="14"/>
  <c r="AE254" i="14"/>
  <c r="AD254" i="14"/>
  <c r="AC254" i="14"/>
  <c r="AB254" i="14"/>
  <c r="AA254" i="14"/>
  <c r="Z254" i="14"/>
  <c r="Y254" i="14"/>
  <c r="X254" i="14"/>
  <c r="W254" i="14"/>
  <c r="V254" i="14"/>
  <c r="U254" i="14"/>
  <c r="T254" i="14"/>
  <c r="S254" i="14"/>
  <c r="R254" i="14"/>
  <c r="Q254" i="14"/>
  <c r="P254" i="14"/>
  <c r="O254" i="14"/>
  <c r="N254" i="14"/>
  <c r="M254" i="14"/>
  <c r="L254" i="14"/>
  <c r="K254" i="14"/>
  <c r="J254" i="14"/>
  <c r="I254" i="14"/>
  <c r="H254" i="14"/>
  <c r="G254" i="14"/>
  <c r="F254" i="14"/>
  <c r="E254" i="14"/>
  <c r="D254" i="14"/>
  <c r="C254" i="14"/>
  <c r="B254" i="14"/>
  <c r="A254" i="14"/>
  <c r="AU253" i="14"/>
  <c r="AT253" i="14"/>
  <c r="AQ253" i="14"/>
  <c r="AP253" i="14"/>
  <c r="AO253" i="14"/>
  <c r="AN253" i="14"/>
  <c r="AL253" i="14"/>
  <c r="AJ253" i="14"/>
  <c r="AI253" i="14"/>
  <c r="AH253" i="14"/>
  <c r="AG253" i="14"/>
  <c r="AF253" i="14"/>
  <c r="AE253" i="14"/>
  <c r="AD253" i="14"/>
  <c r="AC253" i="14"/>
  <c r="AB253" i="14"/>
  <c r="AA253" i="14"/>
  <c r="Z253" i="14"/>
  <c r="Y253" i="14"/>
  <c r="X253" i="14"/>
  <c r="W253" i="14"/>
  <c r="V253" i="14"/>
  <c r="U253" i="14"/>
  <c r="T253" i="14"/>
  <c r="S253" i="14"/>
  <c r="R253" i="14"/>
  <c r="Q253" i="14"/>
  <c r="P253" i="14"/>
  <c r="O253" i="14"/>
  <c r="N253" i="14"/>
  <c r="M253" i="14"/>
  <c r="L253" i="14"/>
  <c r="K253" i="14"/>
  <c r="J253" i="14"/>
  <c r="I253" i="14"/>
  <c r="H253" i="14"/>
  <c r="G253" i="14"/>
  <c r="F253" i="14"/>
  <c r="E253" i="14"/>
  <c r="D253" i="14"/>
  <c r="C253" i="14"/>
  <c r="B253" i="14"/>
  <c r="A253" i="14"/>
  <c r="AU252" i="14"/>
  <c r="AT252" i="14"/>
  <c r="AQ252" i="14"/>
  <c r="AP252" i="14"/>
  <c r="AO252" i="14"/>
  <c r="AN252" i="14"/>
  <c r="AL252" i="14"/>
  <c r="AJ252" i="14"/>
  <c r="AI252" i="14"/>
  <c r="AH252" i="14"/>
  <c r="AG252" i="14"/>
  <c r="AF252" i="14"/>
  <c r="AE252" i="14"/>
  <c r="AD252" i="14"/>
  <c r="AC252" i="14"/>
  <c r="AB252" i="14"/>
  <c r="AA252" i="14"/>
  <c r="Z252" i="14"/>
  <c r="Y252" i="14"/>
  <c r="X252" i="14"/>
  <c r="W252" i="14"/>
  <c r="V252" i="14"/>
  <c r="U252" i="14"/>
  <c r="T252" i="14"/>
  <c r="S252" i="14"/>
  <c r="R252" i="14"/>
  <c r="Q252" i="14"/>
  <c r="P252" i="14"/>
  <c r="O252" i="14"/>
  <c r="N252" i="14"/>
  <c r="M252" i="14"/>
  <c r="L252" i="14"/>
  <c r="K252" i="14"/>
  <c r="J252" i="14"/>
  <c r="I252" i="14"/>
  <c r="H252" i="14"/>
  <c r="G252" i="14"/>
  <c r="F252" i="14"/>
  <c r="E252" i="14"/>
  <c r="D252" i="14"/>
  <c r="C252" i="14"/>
  <c r="B252" i="14"/>
  <c r="A252" i="14"/>
  <c r="AU251" i="14"/>
  <c r="AT251" i="14"/>
  <c r="AQ251" i="14"/>
  <c r="AP251" i="14"/>
  <c r="AO251" i="14"/>
  <c r="AN251" i="14"/>
  <c r="AL251" i="14"/>
  <c r="AJ251" i="14"/>
  <c r="AI251" i="14"/>
  <c r="AH251" i="14"/>
  <c r="AG251" i="14"/>
  <c r="AF251" i="14"/>
  <c r="AE251" i="14"/>
  <c r="AD251" i="14"/>
  <c r="AC251" i="14"/>
  <c r="AB251" i="14"/>
  <c r="AA251" i="14"/>
  <c r="Z251" i="14"/>
  <c r="Y251" i="14"/>
  <c r="X251" i="14"/>
  <c r="W251" i="14"/>
  <c r="V251" i="14"/>
  <c r="U251" i="14"/>
  <c r="T251" i="14"/>
  <c r="S251" i="14"/>
  <c r="R251" i="14"/>
  <c r="Q251" i="14"/>
  <c r="P251" i="14"/>
  <c r="O251" i="14"/>
  <c r="N251" i="14"/>
  <c r="M251" i="14"/>
  <c r="L251" i="14"/>
  <c r="K251" i="14"/>
  <c r="J251" i="14"/>
  <c r="I251" i="14"/>
  <c r="H251" i="14"/>
  <c r="G251" i="14"/>
  <c r="F251" i="14"/>
  <c r="E251" i="14"/>
  <c r="D251" i="14"/>
  <c r="C251" i="14"/>
  <c r="B251" i="14"/>
  <c r="A251" i="14"/>
  <c r="AU250" i="14"/>
  <c r="AT250" i="14"/>
  <c r="AQ250" i="14"/>
  <c r="AP250" i="14"/>
  <c r="AO250" i="14"/>
  <c r="AN250" i="14"/>
  <c r="AL250" i="14"/>
  <c r="AJ250" i="14"/>
  <c r="AI250" i="14"/>
  <c r="AH250" i="14"/>
  <c r="AG250" i="14"/>
  <c r="AF250" i="14"/>
  <c r="AE250" i="14"/>
  <c r="AD250" i="14"/>
  <c r="AC250" i="14"/>
  <c r="AB250" i="14"/>
  <c r="AA250" i="14"/>
  <c r="Z250" i="14"/>
  <c r="Y250" i="14"/>
  <c r="X250" i="14"/>
  <c r="W250" i="14"/>
  <c r="V250" i="14"/>
  <c r="U250" i="14"/>
  <c r="T250" i="14"/>
  <c r="S250" i="14"/>
  <c r="R250" i="14"/>
  <c r="Q250" i="14"/>
  <c r="P250" i="14"/>
  <c r="O250" i="14"/>
  <c r="N250" i="14"/>
  <c r="M250" i="14"/>
  <c r="L250" i="14"/>
  <c r="K250" i="14"/>
  <c r="J250" i="14"/>
  <c r="I250" i="14"/>
  <c r="H250" i="14"/>
  <c r="G250" i="14"/>
  <c r="F250" i="14"/>
  <c r="E250" i="14"/>
  <c r="D250" i="14"/>
  <c r="C250" i="14"/>
  <c r="B250" i="14"/>
  <c r="A250" i="14"/>
  <c r="AU249" i="14"/>
  <c r="AT249" i="14"/>
  <c r="AQ249" i="14"/>
  <c r="AP249" i="14"/>
  <c r="AO249" i="14"/>
  <c r="AN249" i="14"/>
  <c r="AL249" i="14"/>
  <c r="AJ249" i="14"/>
  <c r="AI249" i="14"/>
  <c r="AH249" i="14"/>
  <c r="AG249" i="14"/>
  <c r="AF249" i="14"/>
  <c r="AE249" i="14"/>
  <c r="AD249" i="14"/>
  <c r="AC249" i="14"/>
  <c r="AB249" i="14"/>
  <c r="AA249" i="14"/>
  <c r="Z249" i="14"/>
  <c r="Y249" i="14"/>
  <c r="X249" i="14"/>
  <c r="W249" i="14"/>
  <c r="V249" i="14"/>
  <c r="U249" i="14"/>
  <c r="T249" i="14"/>
  <c r="S249" i="14"/>
  <c r="R249" i="14"/>
  <c r="Q249" i="14"/>
  <c r="P249" i="14"/>
  <c r="O249" i="14"/>
  <c r="N249" i="14"/>
  <c r="M249" i="14"/>
  <c r="L249" i="14"/>
  <c r="K249" i="14"/>
  <c r="J249" i="14"/>
  <c r="I249" i="14"/>
  <c r="H249" i="14"/>
  <c r="G249" i="14"/>
  <c r="F249" i="14"/>
  <c r="E249" i="14"/>
  <c r="D249" i="14"/>
  <c r="C249" i="14"/>
  <c r="B249" i="14"/>
  <c r="A249" i="14"/>
  <c r="AU248" i="14"/>
  <c r="AT248" i="14"/>
  <c r="AQ248" i="14"/>
  <c r="AP248" i="14"/>
  <c r="AO248" i="14"/>
  <c r="AN248" i="14"/>
  <c r="AL248" i="14"/>
  <c r="AJ248" i="14"/>
  <c r="AI248" i="14"/>
  <c r="AH248" i="14"/>
  <c r="AG248" i="14"/>
  <c r="AF248" i="14"/>
  <c r="AE248" i="14"/>
  <c r="AD248" i="14"/>
  <c r="AC248" i="14"/>
  <c r="AB248" i="14"/>
  <c r="AA248" i="14"/>
  <c r="Z248" i="14"/>
  <c r="Y248" i="14"/>
  <c r="X248" i="14"/>
  <c r="W248" i="14"/>
  <c r="V248" i="14"/>
  <c r="U248" i="14"/>
  <c r="T248" i="14"/>
  <c r="S248" i="14"/>
  <c r="R248" i="14"/>
  <c r="Q248" i="14"/>
  <c r="P248" i="14"/>
  <c r="O248" i="14"/>
  <c r="N248" i="14"/>
  <c r="M248" i="14"/>
  <c r="L248" i="14"/>
  <c r="K248" i="14"/>
  <c r="J248" i="14"/>
  <c r="I248" i="14"/>
  <c r="H248" i="14"/>
  <c r="G248" i="14"/>
  <c r="F248" i="14"/>
  <c r="E248" i="14"/>
  <c r="D248" i="14"/>
  <c r="C248" i="14"/>
  <c r="B248" i="14"/>
  <c r="A248" i="14"/>
  <c r="AU247" i="14"/>
  <c r="AT247" i="14"/>
  <c r="AQ247" i="14"/>
  <c r="AP247" i="14"/>
  <c r="AO247" i="14"/>
  <c r="AN247" i="14"/>
  <c r="AL247" i="14"/>
  <c r="AJ247" i="14"/>
  <c r="AI247" i="14"/>
  <c r="AH247" i="14"/>
  <c r="AG247" i="14"/>
  <c r="AF247" i="14"/>
  <c r="AE247" i="14"/>
  <c r="AD247" i="14"/>
  <c r="AC247" i="14"/>
  <c r="AB247" i="14"/>
  <c r="AA247" i="14"/>
  <c r="Z247" i="14"/>
  <c r="Y247" i="14"/>
  <c r="X247" i="14"/>
  <c r="W247" i="14"/>
  <c r="V247" i="14"/>
  <c r="U247" i="14"/>
  <c r="T247" i="14"/>
  <c r="S247" i="14"/>
  <c r="R247" i="14"/>
  <c r="Q247" i="14"/>
  <c r="P247" i="14"/>
  <c r="O247" i="14"/>
  <c r="N247" i="14"/>
  <c r="M247" i="14"/>
  <c r="L247" i="14"/>
  <c r="K247" i="14"/>
  <c r="J247" i="14"/>
  <c r="I247" i="14"/>
  <c r="H247" i="14"/>
  <c r="G247" i="14"/>
  <c r="F247" i="14"/>
  <c r="E247" i="14"/>
  <c r="D247" i="14"/>
  <c r="C247" i="14"/>
  <c r="B247" i="14"/>
  <c r="A247" i="14"/>
  <c r="AU246" i="14"/>
  <c r="AT246" i="14"/>
  <c r="AQ246" i="14"/>
  <c r="AP246" i="14"/>
  <c r="AO246" i="14"/>
  <c r="AN246" i="14"/>
  <c r="AL246" i="14"/>
  <c r="AJ246" i="14"/>
  <c r="AI246" i="14"/>
  <c r="AH246" i="14"/>
  <c r="AG246" i="14"/>
  <c r="AF246" i="14"/>
  <c r="AE246" i="14"/>
  <c r="AD246" i="14"/>
  <c r="AC246" i="14"/>
  <c r="AB246" i="14"/>
  <c r="AA246" i="14"/>
  <c r="Z246" i="14"/>
  <c r="Y246" i="14"/>
  <c r="X246" i="14"/>
  <c r="W246" i="14"/>
  <c r="V246" i="14"/>
  <c r="U246" i="14"/>
  <c r="T246" i="14"/>
  <c r="S246" i="14"/>
  <c r="R246" i="14"/>
  <c r="Q246" i="14"/>
  <c r="P246" i="14"/>
  <c r="O246" i="14"/>
  <c r="N246" i="14"/>
  <c r="M246" i="14"/>
  <c r="L246" i="14"/>
  <c r="K246" i="14"/>
  <c r="J246" i="14"/>
  <c r="I246" i="14"/>
  <c r="H246" i="14"/>
  <c r="G246" i="14"/>
  <c r="F246" i="14"/>
  <c r="E246" i="14"/>
  <c r="D246" i="14"/>
  <c r="C246" i="14"/>
  <c r="B246" i="14"/>
  <c r="A246" i="14"/>
  <c r="AU245" i="14"/>
  <c r="AT245" i="14"/>
  <c r="AQ245" i="14"/>
  <c r="AP245" i="14"/>
  <c r="AO245" i="14"/>
  <c r="AN245" i="14"/>
  <c r="AL245" i="14"/>
  <c r="AJ245" i="14"/>
  <c r="AI245" i="14"/>
  <c r="AH245" i="14"/>
  <c r="AG245" i="14"/>
  <c r="AF245" i="14"/>
  <c r="AE245" i="14"/>
  <c r="AD245" i="14"/>
  <c r="AC245" i="14"/>
  <c r="AB245" i="14"/>
  <c r="AA245" i="14"/>
  <c r="Z245" i="14"/>
  <c r="Y245" i="14"/>
  <c r="X245" i="14"/>
  <c r="W245" i="14"/>
  <c r="V245" i="14"/>
  <c r="U245" i="14"/>
  <c r="T245" i="14"/>
  <c r="S245" i="14"/>
  <c r="R245" i="14"/>
  <c r="Q245" i="14"/>
  <c r="P245" i="14"/>
  <c r="O245" i="14"/>
  <c r="N245" i="14"/>
  <c r="M245" i="14"/>
  <c r="L245" i="14"/>
  <c r="K245" i="14"/>
  <c r="J245" i="14"/>
  <c r="I245" i="14"/>
  <c r="H245" i="14"/>
  <c r="G245" i="14"/>
  <c r="F245" i="14"/>
  <c r="E245" i="14"/>
  <c r="D245" i="14"/>
  <c r="C245" i="14"/>
  <c r="B245" i="14"/>
  <c r="A245" i="14"/>
  <c r="AU244" i="14"/>
  <c r="AT244" i="14"/>
  <c r="AQ244" i="14"/>
  <c r="AP244" i="14"/>
  <c r="AO244" i="14"/>
  <c r="AN244" i="14"/>
  <c r="AL244" i="14"/>
  <c r="AJ244" i="14"/>
  <c r="AI244" i="14"/>
  <c r="AH244" i="14"/>
  <c r="AG244" i="14"/>
  <c r="AF244" i="14"/>
  <c r="AE244" i="14"/>
  <c r="AD244" i="14"/>
  <c r="AC244" i="14"/>
  <c r="AB244" i="14"/>
  <c r="AA244" i="14"/>
  <c r="Z244" i="14"/>
  <c r="Y244" i="14"/>
  <c r="X244" i="14"/>
  <c r="W244" i="14"/>
  <c r="V244" i="14"/>
  <c r="U244" i="14"/>
  <c r="T244" i="14"/>
  <c r="S244" i="14"/>
  <c r="R244" i="14"/>
  <c r="Q244" i="14"/>
  <c r="P244" i="14"/>
  <c r="O244" i="14"/>
  <c r="N244" i="14"/>
  <c r="M244" i="14"/>
  <c r="L244" i="14"/>
  <c r="K244" i="14"/>
  <c r="J244" i="14"/>
  <c r="I244" i="14"/>
  <c r="H244" i="14"/>
  <c r="G244" i="14"/>
  <c r="F244" i="14"/>
  <c r="E244" i="14"/>
  <c r="D244" i="14"/>
  <c r="C244" i="14"/>
  <c r="B244" i="14"/>
  <c r="A244" i="14"/>
  <c r="AU243" i="14"/>
  <c r="AT243" i="14"/>
  <c r="AQ243" i="14"/>
  <c r="AP243" i="14"/>
  <c r="AO243" i="14"/>
  <c r="AN243" i="14"/>
  <c r="AL243" i="14"/>
  <c r="AJ243" i="14"/>
  <c r="AI243" i="14"/>
  <c r="AH243" i="14"/>
  <c r="AG243" i="14"/>
  <c r="AF243" i="14"/>
  <c r="AE243" i="14"/>
  <c r="AD243" i="14"/>
  <c r="AC243" i="14"/>
  <c r="AB243" i="14"/>
  <c r="AA243" i="14"/>
  <c r="Z243" i="14"/>
  <c r="Y243" i="14"/>
  <c r="X243" i="14"/>
  <c r="W243" i="14"/>
  <c r="V243" i="14"/>
  <c r="U243" i="14"/>
  <c r="T243" i="14"/>
  <c r="S243" i="14"/>
  <c r="R243" i="14"/>
  <c r="Q243" i="14"/>
  <c r="P243" i="14"/>
  <c r="O243" i="14"/>
  <c r="N243" i="14"/>
  <c r="M243" i="14"/>
  <c r="L243" i="14"/>
  <c r="K243" i="14"/>
  <c r="J243" i="14"/>
  <c r="I243" i="14"/>
  <c r="H243" i="14"/>
  <c r="G243" i="14"/>
  <c r="F243" i="14"/>
  <c r="E243" i="14"/>
  <c r="D243" i="14"/>
  <c r="C243" i="14"/>
  <c r="B243" i="14"/>
  <c r="A243" i="14"/>
  <c r="AU242" i="14"/>
  <c r="AT242" i="14"/>
  <c r="AQ242" i="14"/>
  <c r="AP242" i="14"/>
  <c r="AO242" i="14"/>
  <c r="AN242" i="14"/>
  <c r="AL242" i="14"/>
  <c r="AJ242" i="14"/>
  <c r="AI242" i="14"/>
  <c r="AH242" i="14"/>
  <c r="AG242" i="14"/>
  <c r="AF242" i="14"/>
  <c r="AE242" i="14"/>
  <c r="AD242" i="14"/>
  <c r="AC242" i="14"/>
  <c r="AB242" i="14"/>
  <c r="AA242" i="14"/>
  <c r="Z242" i="14"/>
  <c r="Y242" i="14"/>
  <c r="X242" i="14"/>
  <c r="W242" i="14"/>
  <c r="V242" i="14"/>
  <c r="U242" i="14"/>
  <c r="T242" i="14"/>
  <c r="S242" i="14"/>
  <c r="R242" i="14"/>
  <c r="Q242" i="14"/>
  <c r="P242" i="14"/>
  <c r="O242" i="14"/>
  <c r="N242" i="14"/>
  <c r="M242" i="14"/>
  <c r="L242" i="14"/>
  <c r="K242" i="14"/>
  <c r="J242" i="14"/>
  <c r="I242" i="14"/>
  <c r="H242" i="14"/>
  <c r="G242" i="14"/>
  <c r="F242" i="14"/>
  <c r="E242" i="14"/>
  <c r="D242" i="14"/>
  <c r="C242" i="14"/>
  <c r="B242" i="14"/>
  <c r="A242" i="14"/>
  <c r="AU241" i="14"/>
  <c r="AT241" i="14"/>
  <c r="AQ241" i="14"/>
  <c r="AP241" i="14"/>
  <c r="AO241" i="14"/>
  <c r="AN241" i="14"/>
  <c r="AL241" i="14"/>
  <c r="AJ241" i="14"/>
  <c r="AI241" i="14"/>
  <c r="AH241" i="14"/>
  <c r="AG241" i="14"/>
  <c r="AF241" i="14"/>
  <c r="AE241" i="14"/>
  <c r="AD241" i="14"/>
  <c r="AC241" i="14"/>
  <c r="AB241" i="14"/>
  <c r="AA241" i="14"/>
  <c r="Z241" i="14"/>
  <c r="Y241" i="14"/>
  <c r="X241" i="14"/>
  <c r="W241" i="14"/>
  <c r="V241" i="14"/>
  <c r="U241" i="14"/>
  <c r="T241" i="14"/>
  <c r="S241" i="14"/>
  <c r="R241" i="14"/>
  <c r="Q241" i="14"/>
  <c r="P241" i="14"/>
  <c r="O241" i="14"/>
  <c r="N241" i="14"/>
  <c r="M241" i="14"/>
  <c r="L241" i="14"/>
  <c r="K241" i="14"/>
  <c r="J241" i="14"/>
  <c r="I241" i="14"/>
  <c r="H241" i="14"/>
  <c r="G241" i="14"/>
  <c r="F241" i="14"/>
  <c r="E241" i="14"/>
  <c r="D241" i="14"/>
  <c r="C241" i="14"/>
  <c r="B241" i="14"/>
  <c r="A241" i="14"/>
  <c r="AU240" i="14"/>
  <c r="AT240" i="14"/>
  <c r="AQ240" i="14"/>
  <c r="AP240" i="14"/>
  <c r="AO240" i="14"/>
  <c r="AN240" i="14"/>
  <c r="AL240" i="14"/>
  <c r="AJ240" i="14"/>
  <c r="AI240" i="14"/>
  <c r="AH240" i="14"/>
  <c r="AG240" i="14"/>
  <c r="AF240" i="14"/>
  <c r="AE240" i="14"/>
  <c r="AD240" i="14"/>
  <c r="AC240" i="14"/>
  <c r="AB240" i="14"/>
  <c r="AA240" i="14"/>
  <c r="Z240" i="14"/>
  <c r="Y240" i="14"/>
  <c r="X240" i="14"/>
  <c r="W240" i="14"/>
  <c r="V240" i="14"/>
  <c r="U240" i="14"/>
  <c r="T240" i="14"/>
  <c r="S240" i="14"/>
  <c r="R240" i="14"/>
  <c r="Q240" i="14"/>
  <c r="P240" i="14"/>
  <c r="O240" i="14"/>
  <c r="N240" i="14"/>
  <c r="M240" i="14"/>
  <c r="L240" i="14"/>
  <c r="K240" i="14"/>
  <c r="J240" i="14"/>
  <c r="I240" i="14"/>
  <c r="H240" i="14"/>
  <c r="G240" i="14"/>
  <c r="F240" i="14"/>
  <c r="E240" i="14"/>
  <c r="D240" i="14"/>
  <c r="C240" i="14"/>
  <c r="B240" i="14"/>
  <c r="A240" i="14"/>
  <c r="AU239" i="14"/>
  <c r="AT239" i="14"/>
  <c r="AQ239" i="14"/>
  <c r="AP239" i="14"/>
  <c r="AO239" i="14"/>
  <c r="AN239" i="14"/>
  <c r="AL239" i="14"/>
  <c r="AJ239" i="14"/>
  <c r="AI239" i="14"/>
  <c r="AH239" i="14"/>
  <c r="AG239" i="14"/>
  <c r="AF239" i="14"/>
  <c r="AE239" i="14"/>
  <c r="AD239" i="14"/>
  <c r="AC239" i="14"/>
  <c r="AB239" i="14"/>
  <c r="AA239" i="14"/>
  <c r="Z239" i="14"/>
  <c r="Y239" i="14"/>
  <c r="X239" i="14"/>
  <c r="W239" i="14"/>
  <c r="V239" i="14"/>
  <c r="U239" i="14"/>
  <c r="T239" i="14"/>
  <c r="S239" i="14"/>
  <c r="R239" i="14"/>
  <c r="Q239" i="14"/>
  <c r="P239" i="14"/>
  <c r="O239" i="14"/>
  <c r="N239" i="14"/>
  <c r="M239" i="14"/>
  <c r="L239" i="14"/>
  <c r="K239" i="14"/>
  <c r="J239" i="14"/>
  <c r="I239" i="14"/>
  <c r="H239" i="14"/>
  <c r="G239" i="14"/>
  <c r="F239" i="14"/>
  <c r="E239" i="14"/>
  <c r="D239" i="14"/>
  <c r="C239" i="14"/>
  <c r="B239" i="14"/>
  <c r="A239" i="14"/>
  <c r="AU238" i="14"/>
  <c r="AT238" i="14"/>
  <c r="AQ238" i="14"/>
  <c r="AP238" i="14"/>
  <c r="AO238" i="14"/>
  <c r="AN238" i="14"/>
  <c r="AL238" i="14"/>
  <c r="AJ238" i="14"/>
  <c r="AI238" i="14"/>
  <c r="AH238" i="14"/>
  <c r="AG238" i="14"/>
  <c r="AF238" i="14"/>
  <c r="AE238" i="14"/>
  <c r="AD238" i="14"/>
  <c r="AC238" i="14"/>
  <c r="AB238" i="14"/>
  <c r="AA238" i="14"/>
  <c r="Z238" i="14"/>
  <c r="Y238" i="14"/>
  <c r="X238" i="14"/>
  <c r="W238" i="14"/>
  <c r="V238" i="14"/>
  <c r="U238" i="14"/>
  <c r="T238" i="14"/>
  <c r="S238" i="14"/>
  <c r="R238" i="14"/>
  <c r="Q238" i="14"/>
  <c r="P238" i="14"/>
  <c r="O238" i="14"/>
  <c r="N238" i="14"/>
  <c r="M238" i="14"/>
  <c r="L238" i="14"/>
  <c r="K238" i="14"/>
  <c r="J238" i="14"/>
  <c r="I238" i="14"/>
  <c r="H238" i="14"/>
  <c r="G238" i="14"/>
  <c r="F238" i="14"/>
  <c r="E238" i="14"/>
  <c r="D238" i="14"/>
  <c r="C238" i="14"/>
  <c r="B238" i="14"/>
  <c r="A238" i="14"/>
  <c r="AU237" i="14"/>
  <c r="AT237" i="14"/>
  <c r="AQ237" i="14"/>
  <c r="AP237" i="14"/>
  <c r="AO237" i="14"/>
  <c r="AN237" i="14"/>
  <c r="AL237" i="14"/>
  <c r="AJ237" i="14"/>
  <c r="AI237" i="14"/>
  <c r="AH237" i="14"/>
  <c r="AG237" i="14"/>
  <c r="AF237" i="14"/>
  <c r="AE237" i="14"/>
  <c r="AD237" i="14"/>
  <c r="AC237" i="14"/>
  <c r="AB237" i="14"/>
  <c r="AA237" i="14"/>
  <c r="Z237" i="14"/>
  <c r="Y237" i="14"/>
  <c r="X237" i="14"/>
  <c r="W237" i="14"/>
  <c r="V237" i="14"/>
  <c r="U237" i="14"/>
  <c r="T237" i="14"/>
  <c r="S237" i="14"/>
  <c r="R237" i="14"/>
  <c r="Q237" i="14"/>
  <c r="P237" i="14"/>
  <c r="O237" i="14"/>
  <c r="N237" i="14"/>
  <c r="M237" i="14"/>
  <c r="L237" i="14"/>
  <c r="K237" i="14"/>
  <c r="J237" i="14"/>
  <c r="I237" i="14"/>
  <c r="H237" i="14"/>
  <c r="G237" i="14"/>
  <c r="F237" i="14"/>
  <c r="E237" i="14"/>
  <c r="D237" i="14"/>
  <c r="C237" i="14"/>
  <c r="B237" i="14"/>
  <c r="A237" i="14"/>
  <c r="AU236" i="14"/>
  <c r="AT236" i="14"/>
  <c r="AQ236" i="14"/>
  <c r="AP236" i="14"/>
  <c r="AO236" i="14"/>
  <c r="AN236" i="14"/>
  <c r="AL236" i="14"/>
  <c r="AJ236" i="14"/>
  <c r="AI236" i="14"/>
  <c r="AH236" i="14"/>
  <c r="AG236" i="14"/>
  <c r="AF236" i="14"/>
  <c r="AE236" i="14"/>
  <c r="AD236" i="14"/>
  <c r="AC236" i="14"/>
  <c r="AB236" i="14"/>
  <c r="AA236" i="14"/>
  <c r="Z236" i="14"/>
  <c r="Y236" i="14"/>
  <c r="X236" i="14"/>
  <c r="W236" i="14"/>
  <c r="V236" i="14"/>
  <c r="U236" i="14"/>
  <c r="T236" i="14"/>
  <c r="S236" i="14"/>
  <c r="R236" i="14"/>
  <c r="Q236" i="14"/>
  <c r="P236" i="14"/>
  <c r="O236" i="14"/>
  <c r="N236" i="14"/>
  <c r="M236" i="14"/>
  <c r="L236" i="14"/>
  <c r="K236" i="14"/>
  <c r="J236" i="14"/>
  <c r="I236" i="14"/>
  <c r="H236" i="14"/>
  <c r="G236" i="14"/>
  <c r="F236" i="14"/>
  <c r="E236" i="14"/>
  <c r="D236" i="14"/>
  <c r="C236" i="14"/>
  <c r="B236" i="14"/>
  <c r="A236" i="14"/>
  <c r="AU235" i="14"/>
  <c r="AT235" i="14"/>
  <c r="AQ235" i="14"/>
  <c r="AP235" i="14"/>
  <c r="AO235" i="14"/>
  <c r="AN235" i="14"/>
  <c r="AL235" i="14"/>
  <c r="AJ235" i="14"/>
  <c r="AI235" i="14"/>
  <c r="AH235" i="14"/>
  <c r="AG235" i="14"/>
  <c r="AF235" i="14"/>
  <c r="AE235" i="14"/>
  <c r="AD235" i="14"/>
  <c r="AC235" i="14"/>
  <c r="AB235" i="14"/>
  <c r="AA235" i="14"/>
  <c r="Z235" i="14"/>
  <c r="Y235" i="14"/>
  <c r="X235" i="14"/>
  <c r="W235" i="14"/>
  <c r="V235" i="14"/>
  <c r="U235" i="14"/>
  <c r="T235" i="14"/>
  <c r="S235" i="14"/>
  <c r="R235" i="14"/>
  <c r="Q235" i="14"/>
  <c r="P235" i="14"/>
  <c r="O235" i="14"/>
  <c r="N235" i="14"/>
  <c r="M235" i="14"/>
  <c r="L235" i="14"/>
  <c r="K235" i="14"/>
  <c r="J235" i="14"/>
  <c r="I235" i="14"/>
  <c r="H235" i="14"/>
  <c r="G235" i="14"/>
  <c r="F235" i="14"/>
  <c r="E235" i="14"/>
  <c r="D235" i="14"/>
  <c r="C235" i="14"/>
  <c r="B235" i="14"/>
  <c r="A235" i="14"/>
  <c r="AU234" i="14"/>
  <c r="AT234" i="14"/>
  <c r="AQ234" i="14"/>
  <c r="AP234" i="14"/>
  <c r="AO234" i="14"/>
  <c r="AN234" i="14"/>
  <c r="AL234" i="14"/>
  <c r="AJ234" i="14"/>
  <c r="AI234" i="14"/>
  <c r="AH234" i="14"/>
  <c r="AG234" i="14"/>
  <c r="AF234" i="14"/>
  <c r="AE234" i="14"/>
  <c r="AD234" i="14"/>
  <c r="AC234" i="14"/>
  <c r="AB234" i="14"/>
  <c r="AA234" i="14"/>
  <c r="Z234" i="14"/>
  <c r="Y234" i="14"/>
  <c r="X234" i="14"/>
  <c r="W234" i="14"/>
  <c r="V234" i="14"/>
  <c r="U234" i="14"/>
  <c r="T234" i="14"/>
  <c r="S234" i="14"/>
  <c r="R234" i="14"/>
  <c r="Q234" i="14"/>
  <c r="P234" i="14"/>
  <c r="O234" i="14"/>
  <c r="N234" i="14"/>
  <c r="M234" i="14"/>
  <c r="L234" i="14"/>
  <c r="K234" i="14"/>
  <c r="J234" i="14"/>
  <c r="I234" i="14"/>
  <c r="H234" i="14"/>
  <c r="G234" i="14"/>
  <c r="F234" i="14"/>
  <c r="E234" i="14"/>
  <c r="D234" i="14"/>
  <c r="C234" i="14"/>
  <c r="B234" i="14"/>
  <c r="A234" i="14"/>
  <c r="AU233" i="14"/>
  <c r="AT233" i="14"/>
  <c r="AQ233" i="14"/>
  <c r="AP233" i="14"/>
  <c r="AO233" i="14"/>
  <c r="AN233" i="14"/>
  <c r="AL233" i="14"/>
  <c r="AJ233" i="14"/>
  <c r="AI233" i="14"/>
  <c r="AH233" i="14"/>
  <c r="AG233" i="14"/>
  <c r="AF233" i="14"/>
  <c r="AE233" i="14"/>
  <c r="AD233" i="14"/>
  <c r="AC233" i="14"/>
  <c r="AB233" i="14"/>
  <c r="AA233" i="14"/>
  <c r="Z233" i="14"/>
  <c r="Y233" i="14"/>
  <c r="X233" i="14"/>
  <c r="W233" i="14"/>
  <c r="V233" i="14"/>
  <c r="U233" i="14"/>
  <c r="T233" i="14"/>
  <c r="S233" i="14"/>
  <c r="R233" i="14"/>
  <c r="Q233" i="14"/>
  <c r="P233" i="14"/>
  <c r="O233" i="14"/>
  <c r="N233" i="14"/>
  <c r="M233" i="14"/>
  <c r="L233" i="14"/>
  <c r="K233" i="14"/>
  <c r="J233" i="14"/>
  <c r="I233" i="14"/>
  <c r="H233" i="14"/>
  <c r="G233" i="14"/>
  <c r="F233" i="14"/>
  <c r="E233" i="14"/>
  <c r="D233" i="14"/>
  <c r="C233" i="14"/>
  <c r="B233" i="14"/>
  <c r="A233" i="14"/>
  <c r="AU232" i="14"/>
  <c r="AT232" i="14"/>
  <c r="AQ232" i="14"/>
  <c r="AP232" i="14"/>
  <c r="AO232" i="14"/>
  <c r="AN232" i="14"/>
  <c r="AL232" i="14"/>
  <c r="AJ232" i="14"/>
  <c r="AI232" i="14"/>
  <c r="AH232" i="14"/>
  <c r="AG232" i="14"/>
  <c r="AF232" i="14"/>
  <c r="AE232" i="14"/>
  <c r="AD232" i="14"/>
  <c r="AC232" i="14"/>
  <c r="AB232" i="14"/>
  <c r="AA232" i="14"/>
  <c r="Z232" i="14"/>
  <c r="Y232" i="14"/>
  <c r="X232" i="14"/>
  <c r="W232" i="14"/>
  <c r="V232" i="14"/>
  <c r="U232" i="14"/>
  <c r="T232" i="14"/>
  <c r="S232" i="14"/>
  <c r="R232" i="14"/>
  <c r="Q232" i="14"/>
  <c r="P232" i="14"/>
  <c r="O232" i="14"/>
  <c r="N232" i="14"/>
  <c r="M232" i="14"/>
  <c r="L232" i="14"/>
  <c r="K232" i="14"/>
  <c r="J232" i="14"/>
  <c r="I232" i="14"/>
  <c r="H232" i="14"/>
  <c r="G232" i="14"/>
  <c r="F232" i="14"/>
  <c r="E232" i="14"/>
  <c r="D232" i="14"/>
  <c r="C232" i="14"/>
  <c r="B232" i="14"/>
  <c r="A232" i="14"/>
  <c r="AU231" i="14"/>
  <c r="AT231" i="14"/>
  <c r="AQ231" i="14"/>
  <c r="AP231" i="14"/>
  <c r="AO231" i="14"/>
  <c r="AN231" i="14"/>
  <c r="AL231" i="14"/>
  <c r="AJ231" i="14"/>
  <c r="AI231" i="14"/>
  <c r="AH231" i="14"/>
  <c r="AG231" i="14"/>
  <c r="AF231" i="14"/>
  <c r="AE231" i="14"/>
  <c r="AD231" i="14"/>
  <c r="AC231" i="14"/>
  <c r="AB231" i="14"/>
  <c r="AA231" i="14"/>
  <c r="Z231" i="14"/>
  <c r="Y231" i="14"/>
  <c r="X231" i="14"/>
  <c r="W231" i="14"/>
  <c r="V231" i="14"/>
  <c r="U231" i="14"/>
  <c r="T231" i="14"/>
  <c r="S231" i="14"/>
  <c r="R231" i="14"/>
  <c r="Q231" i="14"/>
  <c r="P231" i="14"/>
  <c r="O231" i="14"/>
  <c r="N231" i="14"/>
  <c r="M231" i="14"/>
  <c r="L231" i="14"/>
  <c r="K231" i="14"/>
  <c r="J231" i="14"/>
  <c r="I231" i="14"/>
  <c r="H231" i="14"/>
  <c r="G231" i="14"/>
  <c r="F231" i="14"/>
  <c r="E231" i="14"/>
  <c r="D231" i="14"/>
  <c r="C231" i="14"/>
  <c r="B231" i="14"/>
  <c r="A231" i="14"/>
  <c r="AU230" i="14"/>
  <c r="AT230" i="14"/>
  <c r="AQ230" i="14"/>
  <c r="AP230" i="14"/>
  <c r="AO230" i="14"/>
  <c r="AN230" i="14"/>
  <c r="AL230" i="14"/>
  <c r="AJ230" i="14"/>
  <c r="AI230" i="14"/>
  <c r="AH230" i="14"/>
  <c r="AG230" i="14"/>
  <c r="AF230" i="14"/>
  <c r="AE230" i="14"/>
  <c r="AD230" i="14"/>
  <c r="AC230" i="14"/>
  <c r="AB230" i="14"/>
  <c r="AA230" i="14"/>
  <c r="Z230" i="14"/>
  <c r="Y230" i="14"/>
  <c r="X230" i="14"/>
  <c r="W230" i="14"/>
  <c r="V230" i="14"/>
  <c r="U230" i="14"/>
  <c r="T230" i="14"/>
  <c r="S230" i="14"/>
  <c r="R230" i="14"/>
  <c r="Q230" i="14"/>
  <c r="P230" i="14"/>
  <c r="O230" i="14"/>
  <c r="N230" i="14"/>
  <c r="M230" i="14"/>
  <c r="L230" i="14"/>
  <c r="K230" i="14"/>
  <c r="J230" i="14"/>
  <c r="I230" i="14"/>
  <c r="H230" i="14"/>
  <c r="G230" i="14"/>
  <c r="F230" i="14"/>
  <c r="E230" i="14"/>
  <c r="D230" i="14"/>
  <c r="C230" i="14"/>
  <c r="B230" i="14"/>
  <c r="A230" i="14"/>
  <c r="AU229" i="14"/>
  <c r="AT229" i="14"/>
  <c r="AQ229" i="14"/>
  <c r="AP229" i="14"/>
  <c r="AO229" i="14"/>
  <c r="AN229" i="14"/>
  <c r="AL229" i="14"/>
  <c r="AJ229" i="14"/>
  <c r="AI229" i="14"/>
  <c r="AH229" i="14"/>
  <c r="AG229" i="14"/>
  <c r="AF229" i="14"/>
  <c r="AE229" i="14"/>
  <c r="AD229" i="14"/>
  <c r="AC229" i="14"/>
  <c r="AB229" i="14"/>
  <c r="AA229" i="14"/>
  <c r="Z229" i="14"/>
  <c r="Y229" i="14"/>
  <c r="X229" i="14"/>
  <c r="W229" i="14"/>
  <c r="V229" i="14"/>
  <c r="U229" i="14"/>
  <c r="T229" i="14"/>
  <c r="S229" i="14"/>
  <c r="R229" i="14"/>
  <c r="Q229" i="14"/>
  <c r="P229" i="14"/>
  <c r="O229" i="14"/>
  <c r="N229" i="14"/>
  <c r="M229" i="14"/>
  <c r="L229" i="14"/>
  <c r="K229" i="14"/>
  <c r="J229" i="14"/>
  <c r="I229" i="14"/>
  <c r="H229" i="14"/>
  <c r="G229" i="14"/>
  <c r="F229" i="14"/>
  <c r="E229" i="14"/>
  <c r="D229" i="14"/>
  <c r="C229" i="14"/>
  <c r="B229" i="14"/>
  <c r="A229" i="14"/>
  <c r="AU228" i="14"/>
  <c r="AT228" i="14"/>
  <c r="AQ228" i="14"/>
  <c r="AP228" i="14"/>
  <c r="AO228" i="14"/>
  <c r="AN228" i="14"/>
  <c r="AL228" i="14"/>
  <c r="AJ228" i="14"/>
  <c r="AI228" i="14"/>
  <c r="AH228" i="14"/>
  <c r="AG228" i="14"/>
  <c r="AF228" i="14"/>
  <c r="AE228" i="14"/>
  <c r="AD228" i="14"/>
  <c r="AC228" i="14"/>
  <c r="AB228" i="14"/>
  <c r="AA228" i="14"/>
  <c r="Z228" i="14"/>
  <c r="Y228" i="14"/>
  <c r="X228" i="14"/>
  <c r="W228" i="14"/>
  <c r="V228" i="14"/>
  <c r="U228" i="14"/>
  <c r="T228" i="14"/>
  <c r="S228" i="14"/>
  <c r="R228" i="14"/>
  <c r="Q228" i="14"/>
  <c r="P228" i="14"/>
  <c r="O228" i="14"/>
  <c r="N228" i="14"/>
  <c r="M228" i="14"/>
  <c r="L228" i="14"/>
  <c r="K228" i="14"/>
  <c r="J228" i="14"/>
  <c r="I228" i="14"/>
  <c r="H228" i="14"/>
  <c r="G228" i="14"/>
  <c r="F228" i="14"/>
  <c r="E228" i="14"/>
  <c r="D228" i="14"/>
  <c r="C228" i="14"/>
  <c r="B228" i="14"/>
  <c r="A228" i="14"/>
  <c r="AU227" i="14"/>
  <c r="AT227" i="14"/>
  <c r="AQ227" i="14"/>
  <c r="AP227" i="14"/>
  <c r="AO227" i="14"/>
  <c r="AN227" i="14"/>
  <c r="AL227" i="14"/>
  <c r="AJ227" i="14"/>
  <c r="AI227" i="14"/>
  <c r="AH227" i="14"/>
  <c r="AG227" i="14"/>
  <c r="AF227" i="14"/>
  <c r="AE227" i="14"/>
  <c r="AD227" i="14"/>
  <c r="AC227" i="14"/>
  <c r="AB227" i="14"/>
  <c r="AA227" i="14"/>
  <c r="Z227" i="14"/>
  <c r="Y227" i="14"/>
  <c r="X227" i="14"/>
  <c r="W227" i="14"/>
  <c r="V227" i="14"/>
  <c r="U227" i="14"/>
  <c r="T227" i="14"/>
  <c r="S227" i="14"/>
  <c r="R227" i="14"/>
  <c r="Q227" i="14"/>
  <c r="P227" i="14"/>
  <c r="O227" i="14"/>
  <c r="N227" i="14"/>
  <c r="M227" i="14"/>
  <c r="L227" i="14"/>
  <c r="K227" i="14"/>
  <c r="J227" i="14"/>
  <c r="I227" i="14"/>
  <c r="H227" i="14"/>
  <c r="G227" i="14"/>
  <c r="F227" i="14"/>
  <c r="E227" i="14"/>
  <c r="D227" i="14"/>
  <c r="C227" i="14"/>
  <c r="B227" i="14"/>
  <c r="A227" i="14"/>
  <c r="AU226" i="14"/>
  <c r="AT226" i="14"/>
  <c r="AQ226" i="14"/>
  <c r="AP226" i="14"/>
  <c r="AO226" i="14"/>
  <c r="AN226" i="14"/>
  <c r="AL226" i="14"/>
  <c r="AJ226" i="14"/>
  <c r="AI226" i="14"/>
  <c r="AH226" i="14"/>
  <c r="AG226" i="14"/>
  <c r="AF226" i="14"/>
  <c r="AE226" i="14"/>
  <c r="AD226" i="14"/>
  <c r="AC226" i="14"/>
  <c r="AB226" i="14"/>
  <c r="AA226" i="14"/>
  <c r="Z226" i="14"/>
  <c r="Y226" i="14"/>
  <c r="X226" i="14"/>
  <c r="W226" i="14"/>
  <c r="V226" i="14"/>
  <c r="U226" i="14"/>
  <c r="T226" i="14"/>
  <c r="S226" i="14"/>
  <c r="R226" i="14"/>
  <c r="Q226" i="14"/>
  <c r="P226" i="14"/>
  <c r="O226" i="14"/>
  <c r="N226" i="14"/>
  <c r="M226" i="14"/>
  <c r="L226" i="14"/>
  <c r="K226" i="14"/>
  <c r="J226" i="14"/>
  <c r="I226" i="14"/>
  <c r="H226" i="14"/>
  <c r="G226" i="14"/>
  <c r="F226" i="14"/>
  <c r="E226" i="14"/>
  <c r="D226" i="14"/>
  <c r="C226" i="14"/>
  <c r="B226" i="14"/>
  <c r="A226" i="14"/>
  <c r="AU225" i="14"/>
  <c r="AT225" i="14"/>
  <c r="AQ225" i="14"/>
  <c r="AP225" i="14"/>
  <c r="AO225" i="14"/>
  <c r="AN225" i="14"/>
  <c r="AL225" i="14"/>
  <c r="AJ225" i="14"/>
  <c r="AI225" i="14"/>
  <c r="AH225" i="14"/>
  <c r="AG225" i="14"/>
  <c r="AF225" i="14"/>
  <c r="AE225" i="14"/>
  <c r="AD225" i="14"/>
  <c r="AC225" i="14"/>
  <c r="AB225" i="14"/>
  <c r="AA225" i="14"/>
  <c r="Z225" i="14"/>
  <c r="Y225" i="14"/>
  <c r="X225" i="14"/>
  <c r="W225" i="14"/>
  <c r="V225" i="14"/>
  <c r="U225" i="14"/>
  <c r="T225" i="14"/>
  <c r="S225" i="14"/>
  <c r="R225" i="14"/>
  <c r="Q225" i="14"/>
  <c r="P225" i="14"/>
  <c r="O225" i="14"/>
  <c r="N225" i="14"/>
  <c r="M225" i="14"/>
  <c r="L225" i="14"/>
  <c r="K225" i="14"/>
  <c r="J225" i="14"/>
  <c r="I225" i="14"/>
  <c r="H225" i="14"/>
  <c r="G225" i="14"/>
  <c r="F225" i="14"/>
  <c r="E225" i="14"/>
  <c r="D225" i="14"/>
  <c r="C225" i="14"/>
  <c r="B225" i="14"/>
  <c r="A225" i="14"/>
  <c r="AU224" i="14"/>
  <c r="AT224" i="14"/>
  <c r="AQ224" i="14"/>
  <c r="AP224" i="14"/>
  <c r="AO224" i="14"/>
  <c r="AN224" i="14"/>
  <c r="AL224" i="14"/>
  <c r="AJ224" i="14"/>
  <c r="AI224" i="14"/>
  <c r="AH224" i="14"/>
  <c r="AG224" i="14"/>
  <c r="AF224" i="14"/>
  <c r="AE224" i="14"/>
  <c r="AD224" i="14"/>
  <c r="AC224" i="14"/>
  <c r="AB224" i="14"/>
  <c r="AA224" i="14"/>
  <c r="Z224" i="14"/>
  <c r="Y224" i="14"/>
  <c r="X224" i="14"/>
  <c r="W224" i="14"/>
  <c r="V224" i="14"/>
  <c r="U224" i="14"/>
  <c r="T224" i="14"/>
  <c r="S224" i="14"/>
  <c r="R224" i="14"/>
  <c r="Q224" i="14"/>
  <c r="P224" i="14"/>
  <c r="O224" i="14"/>
  <c r="N224" i="14"/>
  <c r="M224" i="14"/>
  <c r="L224" i="14"/>
  <c r="K224" i="14"/>
  <c r="J224" i="14"/>
  <c r="I224" i="14"/>
  <c r="H224" i="14"/>
  <c r="G224" i="14"/>
  <c r="F224" i="14"/>
  <c r="E224" i="14"/>
  <c r="D224" i="14"/>
  <c r="C224" i="14"/>
  <c r="B224" i="14"/>
  <c r="A224" i="14"/>
  <c r="AU223" i="14"/>
  <c r="AT223" i="14"/>
  <c r="AQ223" i="14"/>
  <c r="AP223" i="14"/>
  <c r="AO223" i="14"/>
  <c r="AN223" i="14"/>
  <c r="AL223" i="14"/>
  <c r="AJ223" i="14"/>
  <c r="AI223" i="14"/>
  <c r="AH223" i="14"/>
  <c r="AG223" i="14"/>
  <c r="AF223" i="14"/>
  <c r="AE223" i="14"/>
  <c r="AD223" i="14"/>
  <c r="AC223" i="14"/>
  <c r="AB223" i="14"/>
  <c r="AA223" i="14"/>
  <c r="Z223" i="14"/>
  <c r="Y223" i="14"/>
  <c r="X223" i="14"/>
  <c r="W223" i="14"/>
  <c r="V223" i="14"/>
  <c r="U223" i="14"/>
  <c r="T223" i="14"/>
  <c r="S223" i="14"/>
  <c r="R223" i="14"/>
  <c r="Q223" i="14"/>
  <c r="P223" i="14"/>
  <c r="O223" i="14"/>
  <c r="N223" i="14"/>
  <c r="M223" i="14"/>
  <c r="L223" i="14"/>
  <c r="K223" i="14"/>
  <c r="J223" i="14"/>
  <c r="I223" i="14"/>
  <c r="H223" i="14"/>
  <c r="G223" i="14"/>
  <c r="F223" i="14"/>
  <c r="E223" i="14"/>
  <c r="D223" i="14"/>
  <c r="C223" i="14"/>
  <c r="B223" i="14"/>
  <c r="A223" i="14"/>
  <c r="AU222" i="14"/>
  <c r="AT222" i="14"/>
  <c r="AQ222" i="14"/>
  <c r="AP222" i="14"/>
  <c r="AO222" i="14"/>
  <c r="AN222" i="14"/>
  <c r="AL222" i="14"/>
  <c r="AJ222" i="14"/>
  <c r="AI222" i="14"/>
  <c r="AH222" i="14"/>
  <c r="AG222" i="14"/>
  <c r="AF222" i="14"/>
  <c r="AE222" i="14"/>
  <c r="AD222" i="14"/>
  <c r="AC222" i="14"/>
  <c r="AB222" i="14"/>
  <c r="AA222" i="14"/>
  <c r="Z222" i="14"/>
  <c r="Y222" i="14"/>
  <c r="X222" i="14"/>
  <c r="W222" i="14"/>
  <c r="V222" i="14"/>
  <c r="U222" i="14"/>
  <c r="T222" i="14"/>
  <c r="S222" i="14"/>
  <c r="R222" i="14"/>
  <c r="Q222" i="14"/>
  <c r="P222" i="14"/>
  <c r="O222" i="14"/>
  <c r="N222" i="14"/>
  <c r="M222" i="14"/>
  <c r="L222" i="14"/>
  <c r="K222" i="14"/>
  <c r="J222" i="14"/>
  <c r="I222" i="14"/>
  <c r="H222" i="14"/>
  <c r="G222" i="14"/>
  <c r="F222" i="14"/>
  <c r="E222" i="14"/>
  <c r="D222" i="14"/>
  <c r="C222" i="14"/>
  <c r="B222" i="14"/>
  <c r="A222" i="14"/>
  <c r="AU221" i="14"/>
  <c r="AT221" i="14"/>
  <c r="AQ221" i="14"/>
  <c r="AP221" i="14"/>
  <c r="AO221" i="14"/>
  <c r="AN221" i="14"/>
  <c r="AL221" i="14"/>
  <c r="AJ221" i="14"/>
  <c r="AI221" i="14"/>
  <c r="AH221" i="14"/>
  <c r="AG221" i="14"/>
  <c r="AF221" i="14"/>
  <c r="AE221" i="14"/>
  <c r="AD221" i="14"/>
  <c r="AC221" i="14"/>
  <c r="AB221" i="14"/>
  <c r="AA221" i="14"/>
  <c r="Z221" i="14"/>
  <c r="Y221" i="14"/>
  <c r="X221" i="14"/>
  <c r="W221" i="14"/>
  <c r="V221" i="14"/>
  <c r="U221" i="14"/>
  <c r="T221" i="14"/>
  <c r="S221" i="14"/>
  <c r="R221" i="14"/>
  <c r="Q221" i="14"/>
  <c r="P221" i="14"/>
  <c r="O221" i="14"/>
  <c r="N221" i="14"/>
  <c r="M221" i="14"/>
  <c r="L221" i="14"/>
  <c r="K221" i="14"/>
  <c r="J221" i="14"/>
  <c r="I221" i="14"/>
  <c r="H221" i="14"/>
  <c r="G221" i="14"/>
  <c r="F221" i="14"/>
  <c r="E221" i="14"/>
  <c r="D221" i="14"/>
  <c r="C221" i="14"/>
  <c r="B221" i="14"/>
  <c r="A221" i="14"/>
  <c r="AU220" i="14"/>
  <c r="AT220" i="14"/>
  <c r="AQ220" i="14"/>
  <c r="AP220" i="14"/>
  <c r="AO220" i="14"/>
  <c r="AN220" i="14"/>
  <c r="AL220" i="14"/>
  <c r="AJ220" i="14"/>
  <c r="AI220" i="14"/>
  <c r="AH220" i="14"/>
  <c r="AG220" i="14"/>
  <c r="AF220" i="14"/>
  <c r="AE220" i="14"/>
  <c r="AD220" i="14"/>
  <c r="AC220" i="14"/>
  <c r="AB220" i="14"/>
  <c r="AA220" i="14"/>
  <c r="Z220" i="14"/>
  <c r="Y220" i="14"/>
  <c r="X220" i="14"/>
  <c r="W220" i="14"/>
  <c r="V220" i="14"/>
  <c r="U220" i="14"/>
  <c r="T220" i="14"/>
  <c r="S220" i="14"/>
  <c r="R220" i="14"/>
  <c r="Q220" i="14"/>
  <c r="P220" i="14"/>
  <c r="O220" i="14"/>
  <c r="N220" i="14"/>
  <c r="M220" i="14"/>
  <c r="L220" i="14"/>
  <c r="K220" i="14"/>
  <c r="J220" i="14"/>
  <c r="I220" i="14"/>
  <c r="H220" i="14"/>
  <c r="G220" i="14"/>
  <c r="F220" i="14"/>
  <c r="E220" i="14"/>
  <c r="D220" i="14"/>
  <c r="C220" i="14"/>
  <c r="B220" i="14"/>
  <c r="A220" i="14"/>
  <c r="AU219" i="14"/>
  <c r="AT219" i="14"/>
  <c r="AQ219" i="14"/>
  <c r="AP219" i="14"/>
  <c r="AO219" i="14"/>
  <c r="AN219" i="14"/>
  <c r="AL219" i="14"/>
  <c r="AJ219" i="14"/>
  <c r="AI219" i="14"/>
  <c r="AH219" i="14"/>
  <c r="AG219" i="14"/>
  <c r="AF219" i="14"/>
  <c r="AE219" i="14"/>
  <c r="AD219" i="14"/>
  <c r="AC219" i="14"/>
  <c r="AB219" i="14"/>
  <c r="AA219" i="14"/>
  <c r="Z219" i="14"/>
  <c r="Y219" i="14"/>
  <c r="X219" i="14"/>
  <c r="W219" i="14"/>
  <c r="V219" i="14"/>
  <c r="U219" i="14"/>
  <c r="T219" i="14"/>
  <c r="S219" i="14"/>
  <c r="R219" i="14"/>
  <c r="Q219" i="14"/>
  <c r="P219" i="14"/>
  <c r="O219" i="14"/>
  <c r="N219" i="14"/>
  <c r="M219" i="14"/>
  <c r="L219" i="14"/>
  <c r="K219" i="14"/>
  <c r="J219" i="14"/>
  <c r="I219" i="14"/>
  <c r="H219" i="14"/>
  <c r="G219" i="14"/>
  <c r="F219" i="14"/>
  <c r="E219" i="14"/>
  <c r="D219" i="14"/>
  <c r="C219" i="14"/>
  <c r="B219" i="14"/>
  <c r="A219" i="14"/>
  <c r="AU218" i="14"/>
  <c r="AT218" i="14"/>
  <c r="AQ218" i="14"/>
  <c r="AP218" i="14"/>
  <c r="AO218" i="14"/>
  <c r="AN218" i="14"/>
  <c r="AL218" i="14"/>
  <c r="AJ218" i="14"/>
  <c r="AI218" i="14"/>
  <c r="AH218" i="14"/>
  <c r="AG218" i="14"/>
  <c r="AF218" i="14"/>
  <c r="AE218" i="14"/>
  <c r="AD218" i="14"/>
  <c r="AC218" i="14"/>
  <c r="AB218" i="14"/>
  <c r="AA218" i="14"/>
  <c r="Z218" i="14"/>
  <c r="Y218" i="14"/>
  <c r="X218" i="14"/>
  <c r="W218" i="14"/>
  <c r="V218" i="14"/>
  <c r="U218" i="14"/>
  <c r="T218" i="14"/>
  <c r="S218" i="14"/>
  <c r="R218" i="14"/>
  <c r="Q218" i="14"/>
  <c r="P218" i="14"/>
  <c r="O218" i="14"/>
  <c r="N218" i="14"/>
  <c r="M218" i="14"/>
  <c r="L218" i="14"/>
  <c r="K218" i="14"/>
  <c r="J218" i="14"/>
  <c r="I218" i="14"/>
  <c r="H218" i="14"/>
  <c r="G218" i="14"/>
  <c r="F218" i="14"/>
  <c r="E218" i="14"/>
  <c r="D218" i="14"/>
  <c r="C218" i="14"/>
  <c r="B218" i="14"/>
  <c r="A218" i="14"/>
  <c r="AU217" i="14"/>
  <c r="AT217" i="14"/>
  <c r="AQ217" i="14"/>
  <c r="AP217" i="14"/>
  <c r="AO217" i="14"/>
  <c r="AN217" i="14"/>
  <c r="AL217" i="14"/>
  <c r="AJ217" i="14"/>
  <c r="AI217" i="14"/>
  <c r="AH217" i="14"/>
  <c r="AG217" i="14"/>
  <c r="AF217" i="14"/>
  <c r="AE217" i="14"/>
  <c r="AD217" i="14"/>
  <c r="AC217" i="14"/>
  <c r="AB217" i="14"/>
  <c r="AA217" i="14"/>
  <c r="Z217" i="14"/>
  <c r="Y217" i="14"/>
  <c r="X217" i="14"/>
  <c r="W217" i="14"/>
  <c r="V217" i="14"/>
  <c r="U217" i="14"/>
  <c r="T217" i="14"/>
  <c r="S217" i="14"/>
  <c r="R217" i="14"/>
  <c r="Q217" i="14"/>
  <c r="P217" i="14"/>
  <c r="O217" i="14"/>
  <c r="N217" i="14"/>
  <c r="M217" i="14"/>
  <c r="L217" i="14"/>
  <c r="K217" i="14"/>
  <c r="J217" i="14"/>
  <c r="I217" i="14"/>
  <c r="H217" i="14"/>
  <c r="G217" i="14"/>
  <c r="F217" i="14"/>
  <c r="E217" i="14"/>
  <c r="D217" i="14"/>
  <c r="C217" i="14"/>
  <c r="B217" i="14"/>
  <c r="A217" i="14"/>
  <c r="AU216" i="14"/>
  <c r="AT216" i="14"/>
  <c r="AQ216" i="14"/>
  <c r="AP216" i="14"/>
  <c r="AO216" i="14"/>
  <c r="AN216" i="14"/>
  <c r="AL216" i="14"/>
  <c r="AJ216" i="14"/>
  <c r="AI216" i="14"/>
  <c r="AH216" i="14"/>
  <c r="AG216" i="14"/>
  <c r="AF216" i="14"/>
  <c r="AE216" i="14"/>
  <c r="AD216" i="14"/>
  <c r="AC216" i="14"/>
  <c r="AB216" i="14"/>
  <c r="AA216" i="14"/>
  <c r="Z216" i="14"/>
  <c r="Y216" i="14"/>
  <c r="X216" i="14"/>
  <c r="W216" i="14"/>
  <c r="V216" i="14"/>
  <c r="U216" i="14"/>
  <c r="T216" i="14"/>
  <c r="S216" i="14"/>
  <c r="R216" i="14"/>
  <c r="Q216" i="14"/>
  <c r="P216" i="14"/>
  <c r="O216" i="14"/>
  <c r="N216" i="14"/>
  <c r="M216" i="14"/>
  <c r="L216" i="14"/>
  <c r="K216" i="14"/>
  <c r="J216" i="14"/>
  <c r="I216" i="14"/>
  <c r="H216" i="14"/>
  <c r="G216" i="14"/>
  <c r="F216" i="14"/>
  <c r="E216" i="14"/>
  <c r="D216" i="14"/>
  <c r="C216" i="14"/>
  <c r="B216" i="14"/>
  <c r="A216" i="14"/>
  <c r="AU215" i="14"/>
  <c r="AT215" i="14"/>
  <c r="AQ215" i="14"/>
  <c r="AP215" i="14"/>
  <c r="AO215" i="14"/>
  <c r="AN215" i="14"/>
  <c r="AL215" i="14"/>
  <c r="AJ215" i="14"/>
  <c r="AI215" i="14"/>
  <c r="AH215" i="14"/>
  <c r="AG215" i="14"/>
  <c r="AF215" i="14"/>
  <c r="AE215" i="14"/>
  <c r="AD215" i="14"/>
  <c r="AC215" i="14"/>
  <c r="AB215" i="14"/>
  <c r="AA215" i="14"/>
  <c r="Z215" i="14"/>
  <c r="Y215" i="14"/>
  <c r="X215" i="14"/>
  <c r="W215" i="14"/>
  <c r="V215" i="14"/>
  <c r="U215" i="14"/>
  <c r="T215" i="14"/>
  <c r="S215" i="14"/>
  <c r="R215" i="14"/>
  <c r="Q215" i="14"/>
  <c r="P215" i="14"/>
  <c r="O215" i="14"/>
  <c r="N215" i="14"/>
  <c r="M215" i="14"/>
  <c r="L215" i="14"/>
  <c r="K215" i="14"/>
  <c r="J215" i="14"/>
  <c r="I215" i="14"/>
  <c r="H215" i="14"/>
  <c r="G215" i="14"/>
  <c r="F215" i="14"/>
  <c r="E215" i="14"/>
  <c r="D215" i="14"/>
  <c r="C215" i="14"/>
  <c r="B215" i="14"/>
  <c r="A215" i="14"/>
  <c r="AU214" i="14"/>
  <c r="AT214" i="14"/>
  <c r="AQ214" i="14"/>
  <c r="AP214" i="14"/>
  <c r="AO214" i="14"/>
  <c r="AN214" i="14"/>
  <c r="AL214" i="14"/>
  <c r="AJ214" i="14"/>
  <c r="AI214" i="14"/>
  <c r="AH214" i="14"/>
  <c r="AG214" i="14"/>
  <c r="AF214" i="14"/>
  <c r="AE214" i="14"/>
  <c r="AD214" i="14"/>
  <c r="AC214" i="14"/>
  <c r="AB214" i="14"/>
  <c r="AA214" i="14"/>
  <c r="Z214" i="14"/>
  <c r="Y214" i="14"/>
  <c r="X214" i="14"/>
  <c r="W214" i="14"/>
  <c r="V214" i="14"/>
  <c r="U214" i="14"/>
  <c r="T214" i="14"/>
  <c r="S214" i="14"/>
  <c r="R214" i="14"/>
  <c r="Q214" i="14"/>
  <c r="P214" i="14"/>
  <c r="O214" i="14"/>
  <c r="N214" i="14"/>
  <c r="M214" i="14"/>
  <c r="L214" i="14"/>
  <c r="K214" i="14"/>
  <c r="J214" i="14"/>
  <c r="I214" i="14"/>
  <c r="H214" i="14"/>
  <c r="G214" i="14"/>
  <c r="F214" i="14"/>
  <c r="E214" i="14"/>
  <c r="D214" i="14"/>
  <c r="C214" i="14"/>
  <c r="B214" i="14"/>
  <c r="A214" i="14"/>
  <c r="AU213" i="14"/>
  <c r="AT213" i="14"/>
  <c r="AQ213" i="14"/>
  <c r="AP213" i="14"/>
  <c r="AO213" i="14"/>
  <c r="AN213" i="14"/>
  <c r="AL213" i="14"/>
  <c r="AJ213" i="14"/>
  <c r="AI213" i="14"/>
  <c r="AH213" i="14"/>
  <c r="AG213" i="14"/>
  <c r="AF213" i="14"/>
  <c r="AE213" i="14"/>
  <c r="AD213" i="14"/>
  <c r="AC213" i="14"/>
  <c r="AB213" i="14"/>
  <c r="AA213" i="14"/>
  <c r="Z213" i="14"/>
  <c r="Y213" i="14"/>
  <c r="X213" i="14"/>
  <c r="W213" i="14"/>
  <c r="V213" i="14"/>
  <c r="U213" i="14"/>
  <c r="T213" i="14"/>
  <c r="S213" i="14"/>
  <c r="R213" i="14"/>
  <c r="Q213" i="14"/>
  <c r="P213" i="14"/>
  <c r="O213" i="14"/>
  <c r="N213" i="14"/>
  <c r="M213" i="14"/>
  <c r="L213" i="14"/>
  <c r="K213" i="14"/>
  <c r="J213" i="14"/>
  <c r="I213" i="14"/>
  <c r="H213" i="14"/>
  <c r="G213" i="14"/>
  <c r="F213" i="14"/>
  <c r="E213" i="14"/>
  <c r="D213" i="14"/>
  <c r="C213" i="14"/>
  <c r="B213" i="14"/>
  <c r="A213" i="14"/>
  <c r="AU212" i="14"/>
  <c r="AT212" i="14"/>
  <c r="AQ212" i="14"/>
  <c r="AP212" i="14"/>
  <c r="AO212" i="14"/>
  <c r="AN212" i="14"/>
  <c r="AL212" i="14"/>
  <c r="AJ212" i="14"/>
  <c r="AI212" i="14"/>
  <c r="AH212" i="14"/>
  <c r="AG212" i="14"/>
  <c r="AF212" i="14"/>
  <c r="AE212" i="14"/>
  <c r="AD212" i="14"/>
  <c r="AC212" i="14"/>
  <c r="AB212" i="14"/>
  <c r="AA212" i="14"/>
  <c r="Z212" i="14"/>
  <c r="Y212" i="14"/>
  <c r="X212" i="14"/>
  <c r="W212" i="14"/>
  <c r="V212" i="14"/>
  <c r="U212" i="14"/>
  <c r="T212" i="14"/>
  <c r="S212" i="14"/>
  <c r="R212" i="14"/>
  <c r="Q212" i="14"/>
  <c r="P212" i="14"/>
  <c r="O212" i="14"/>
  <c r="N212" i="14"/>
  <c r="M212" i="14"/>
  <c r="L212" i="14"/>
  <c r="K212" i="14"/>
  <c r="J212" i="14"/>
  <c r="I212" i="14"/>
  <c r="H212" i="14"/>
  <c r="G212" i="14"/>
  <c r="F212" i="14"/>
  <c r="E212" i="14"/>
  <c r="D212" i="14"/>
  <c r="C212" i="14"/>
  <c r="B212" i="14"/>
  <c r="A212" i="14"/>
  <c r="AU211" i="14"/>
  <c r="AT211" i="14"/>
  <c r="AQ211" i="14"/>
  <c r="AP211" i="14"/>
  <c r="AO211" i="14"/>
  <c r="AN211" i="14"/>
  <c r="AL211" i="14"/>
  <c r="AJ211" i="14"/>
  <c r="AI211" i="14"/>
  <c r="AH211" i="14"/>
  <c r="AG211" i="14"/>
  <c r="AF211" i="14"/>
  <c r="AE211" i="14"/>
  <c r="AD211" i="14"/>
  <c r="AC211" i="14"/>
  <c r="AB211" i="14"/>
  <c r="AA211" i="14"/>
  <c r="Z211" i="14"/>
  <c r="Y211" i="14"/>
  <c r="X211" i="14"/>
  <c r="W211" i="14"/>
  <c r="V211" i="14"/>
  <c r="U211" i="14"/>
  <c r="T211" i="14"/>
  <c r="S211" i="14"/>
  <c r="R211" i="14"/>
  <c r="Q211" i="14"/>
  <c r="P211" i="14"/>
  <c r="O211" i="14"/>
  <c r="N211" i="14"/>
  <c r="M211" i="14"/>
  <c r="L211" i="14"/>
  <c r="K211" i="14"/>
  <c r="J211" i="14"/>
  <c r="I211" i="14"/>
  <c r="H211" i="14"/>
  <c r="G211" i="14"/>
  <c r="F211" i="14"/>
  <c r="E211" i="14"/>
  <c r="D211" i="14"/>
  <c r="C211" i="14"/>
  <c r="B211" i="14"/>
  <c r="A211" i="14"/>
  <c r="AU210" i="14"/>
  <c r="AT210" i="14"/>
  <c r="AQ210" i="14"/>
  <c r="AP210" i="14"/>
  <c r="AO210" i="14"/>
  <c r="AN210" i="14"/>
  <c r="AL210" i="14"/>
  <c r="AJ210" i="14"/>
  <c r="AI210" i="14"/>
  <c r="AH210" i="14"/>
  <c r="AG210" i="14"/>
  <c r="AF210" i="14"/>
  <c r="AE210" i="14"/>
  <c r="AD210" i="14"/>
  <c r="AC210" i="14"/>
  <c r="AB210" i="14"/>
  <c r="AA210" i="14"/>
  <c r="Z210" i="14"/>
  <c r="Y210" i="14"/>
  <c r="X210" i="14"/>
  <c r="W210" i="14"/>
  <c r="V210" i="14"/>
  <c r="U210" i="14"/>
  <c r="T210" i="14"/>
  <c r="S210" i="14"/>
  <c r="R210" i="14"/>
  <c r="Q210" i="14"/>
  <c r="P210" i="14"/>
  <c r="O210" i="14"/>
  <c r="N210" i="14"/>
  <c r="M210" i="14"/>
  <c r="L210" i="14"/>
  <c r="K210" i="14"/>
  <c r="J210" i="14"/>
  <c r="I210" i="14"/>
  <c r="H210" i="14"/>
  <c r="G210" i="14"/>
  <c r="F210" i="14"/>
  <c r="E210" i="14"/>
  <c r="D210" i="14"/>
  <c r="C210" i="14"/>
  <c r="B210" i="14"/>
  <c r="A210" i="14"/>
  <c r="AU209" i="14"/>
  <c r="AT209" i="14"/>
  <c r="AQ209" i="14"/>
  <c r="AP209" i="14"/>
  <c r="AO209" i="14"/>
  <c r="AN209" i="14"/>
  <c r="AL209" i="14"/>
  <c r="AJ209" i="14"/>
  <c r="AI209" i="14"/>
  <c r="AH209" i="14"/>
  <c r="AG209" i="14"/>
  <c r="AF209" i="14"/>
  <c r="AE209" i="14"/>
  <c r="AD209" i="14"/>
  <c r="AC209" i="14"/>
  <c r="AB209" i="14"/>
  <c r="AA209" i="14"/>
  <c r="Z209" i="14"/>
  <c r="Y209" i="14"/>
  <c r="X209" i="14"/>
  <c r="W209" i="14"/>
  <c r="V209" i="14"/>
  <c r="U209" i="14"/>
  <c r="T209" i="14"/>
  <c r="S209" i="14"/>
  <c r="R209" i="14"/>
  <c r="Q209" i="14"/>
  <c r="P209" i="14"/>
  <c r="O209" i="14"/>
  <c r="N209" i="14"/>
  <c r="M209" i="14"/>
  <c r="L209" i="14"/>
  <c r="K209" i="14"/>
  <c r="J209" i="14"/>
  <c r="I209" i="14"/>
  <c r="H209" i="14"/>
  <c r="G209" i="14"/>
  <c r="F209" i="14"/>
  <c r="E209" i="14"/>
  <c r="D209" i="14"/>
  <c r="C209" i="14"/>
  <c r="B209" i="14"/>
  <c r="A209" i="14"/>
  <c r="AU208" i="14"/>
  <c r="AT208" i="14"/>
  <c r="AQ208" i="14"/>
  <c r="AP208" i="14"/>
  <c r="AO208" i="14"/>
  <c r="AN208" i="14"/>
  <c r="AL208" i="14"/>
  <c r="AJ208" i="14"/>
  <c r="AI208" i="14"/>
  <c r="AH208" i="14"/>
  <c r="AG208" i="14"/>
  <c r="AF208" i="14"/>
  <c r="AE208" i="14"/>
  <c r="AD208" i="14"/>
  <c r="AC208" i="14"/>
  <c r="AB208" i="14"/>
  <c r="AA208" i="14"/>
  <c r="Z208" i="14"/>
  <c r="Y208" i="14"/>
  <c r="X208" i="14"/>
  <c r="W208" i="14"/>
  <c r="V208" i="14"/>
  <c r="U208" i="14"/>
  <c r="T208" i="14"/>
  <c r="S208" i="14"/>
  <c r="R208" i="14"/>
  <c r="Q208" i="14"/>
  <c r="P208" i="14"/>
  <c r="O208" i="14"/>
  <c r="N208" i="14"/>
  <c r="M208" i="14"/>
  <c r="L208" i="14"/>
  <c r="K208" i="14"/>
  <c r="J208" i="14"/>
  <c r="I208" i="14"/>
  <c r="H208" i="14"/>
  <c r="G208" i="14"/>
  <c r="F208" i="14"/>
  <c r="E208" i="14"/>
  <c r="D208" i="14"/>
  <c r="C208" i="14"/>
  <c r="B208" i="14"/>
  <c r="A208" i="14"/>
  <c r="AU207" i="14"/>
  <c r="AT207" i="14"/>
  <c r="AQ207" i="14"/>
  <c r="AP207" i="14"/>
  <c r="AO207" i="14"/>
  <c r="AN207" i="14"/>
  <c r="AL207" i="14"/>
  <c r="AJ207" i="14"/>
  <c r="AI207" i="14"/>
  <c r="AH207" i="14"/>
  <c r="AG207" i="14"/>
  <c r="AF207" i="14"/>
  <c r="AE207" i="14"/>
  <c r="AD207" i="14"/>
  <c r="AC207" i="14"/>
  <c r="AB207" i="14"/>
  <c r="AA207" i="14"/>
  <c r="Z207" i="14"/>
  <c r="Y207" i="14"/>
  <c r="X207" i="14"/>
  <c r="W207" i="14"/>
  <c r="V207" i="14"/>
  <c r="U207" i="14"/>
  <c r="T207" i="14"/>
  <c r="S207" i="14"/>
  <c r="R207" i="14"/>
  <c r="Q207" i="14"/>
  <c r="P207" i="14"/>
  <c r="O207" i="14"/>
  <c r="N207" i="14"/>
  <c r="M207" i="14"/>
  <c r="L207" i="14"/>
  <c r="K207" i="14"/>
  <c r="J207" i="14"/>
  <c r="I207" i="14"/>
  <c r="H207" i="14"/>
  <c r="G207" i="14"/>
  <c r="F207" i="14"/>
  <c r="E207" i="14"/>
  <c r="D207" i="14"/>
  <c r="C207" i="14"/>
  <c r="B207" i="14"/>
  <c r="A207" i="14"/>
  <c r="AU206" i="14"/>
  <c r="AT206" i="14"/>
  <c r="AQ206" i="14"/>
  <c r="AP206" i="14"/>
  <c r="AO206" i="14"/>
  <c r="AN206" i="14"/>
  <c r="AL206" i="14"/>
  <c r="AJ206" i="14"/>
  <c r="AI206" i="14"/>
  <c r="AH206" i="14"/>
  <c r="AG206" i="14"/>
  <c r="AF206" i="14"/>
  <c r="AE206" i="14"/>
  <c r="AD206" i="14"/>
  <c r="AC206" i="14"/>
  <c r="AB206" i="14"/>
  <c r="AA206" i="14"/>
  <c r="Z206" i="14"/>
  <c r="Y206" i="14"/>
  <c r="X206" i="14"/>
  <c r="W206" i="14"/>
  <c r="V206" i="14"/>
  <c r="U206" i="14"/>
  <c r="T206" i="14"/>
  <c r="S206" i="14"/>
  <c r="R206" i="14"/>
  <c r="Q206" i="14"/>
  <c r="P206" i="14"/>
  <c r="O206" i="14"/>
  <c r="N206" i="14"/>
  <c r="M206" i="14"/>
  <c r="L206" i="14"/>
  <c r="K206" i="14"/>
  <c r="J206" i="14"/>
  <c r="I206" i="14"/>
  <c r="H206" i="14"/>
  <c r="G206" i="14"/>
  <c r="F206" i="14"/>
  <c r="E206" i="14"/>
  <c r="D206" i="14"/>
  <c r="C206" i="14"/>
  <c r="B206" i="14"/>
  <c r="A206" i="14"/>
  <c r="AU205" i="14"/>
  <c r="AT205" i="14"/>
  <c r="AQ205" i="14"/>
  <c r="AP205" i="14"/>
  <c r="AO205" i="14"/>
  <c r="AN205" i="14"/>
  <c r="AL205" i="14"/>
  <c r="AJ205" i="14"/>
  <c r="AI205" i="14"/>
  <c r="AH205" i="14"/>
  <c r="AG205" i="14"/>
  <c r="AF205" i="14"/>
  <c r="AE205" i="14"/>
  <c r="AD205" i="14"/>
  <c r="AC205" i="14"/>
  <c r="AB205" i="14"/>
  <c r="AA205" i="14"/>
  <c r="Z205" i="14"/>
  <c r="Y205" i="14"/>
  <c r="X205" i="14"/>
  <c r="W205" i="14"/>
  <c r="V205" i="14"/>
  <c r="U205" i="14"/>
  <c r="T205" i="14"/>
  <c r="S205" i="14"/>
  <c r="R205" i="14"/>
  <c r="Q205" i="14"/>
  <c r="P205" i="14"/>
  <c r="O205" i="14"/>
  <c r="N205" i="14"/>
  <c r="M205" i="14"/>
  <c r="L205" i="14"/>
  <c r="K205" i="14"/>
  <c r="J205" i="14"/>
  <c r="I205" i="14"/>
  <c r="H205" i="14"/>
  <c r="G205" i="14"/>
  <c r="F205" i="14"/>
  <c r="E205" i="14"/>
  <c r="D205" i="14"/>
  <c r="C205" i="14"/>
  <c r="B205" i="14"/>
  <c r="A205" i="14"/>
  <c r="AU204" i="14"/>
  <c r="AT204" i="14"/>
  <c r="AQ204" i="14"/>
  <c r="AP204" i="14"/>
  <c r="AO204" i="14"/>
  <c r="AN204" i="14"/>
  <c r="AL204" i="14"/>
  <c r="AJ204" i="14"/>
  <c r="AI204" i="14"/>
  <c r="AH204" i="14"/>
  <c r="AG204" i="14"/>
  <c r="AF204" i="14"/>
  <c r="AE204" i="14"/>
  <c r="AD204" i="14"/>
  <c r="AC204" i="14"/>
  <c r="AB204" i="14"/>
  <c r="AA204" i="14"/>
  <c r="Z204" i="14"/>
  <c r="Y204" i="14"/>
  <c r="X204" i="14"/>
  <c r="W204" i="14"/>
  <c r="V204" i="14"/>
  <c r="U204" i="14"/>
  <c r="T204" i="14"/>
  <c r="S204" i="14"/>
  <c r="R204" i="14"/>
  <c r="Q204" i="14"/>
  <c r="P204" i="14"/>
  <c r="O204" i="14"/>
  <c r="N204" i="14"/>
  <c r="M204" i="14"/>
  <c r="L204" i="14"/>
  <c r="K204" i="14"/>
  <c r="J204" i="14"/>
  <c r="I204" i="14"/>
  <c r="H204" i="14"/>
  <c r="G204" i="14"/>
  <c r="F204" i="14"/>
  <c r="E204" i="14"/>
  <c r="D204" i="14"/>
  <c r="C204" i="14"/>
  <c r="B204" i="14"/>
  <c r="A204" i="14"/>
  <c r="AU203" i="14"/>
  <c r="AT203" i="14"/>
  <c r="AQ203" i="14"/>
  <c r="AP203" i="14"/>
  <c r="AO203" i="14"/>
  <c r="AN203" i="14"/>
  <c r="AL203" i="14"/>
  <c r="AJ203" i="14"/>
  <c r="AI203" i="14"/>
  <c r="AH203" i="14"/>
  <c r="AG203" i="14"/>
  <c r="AF203" i="14"/>
  <c r="AE203" i="14"/>
  <c r="AD203" i="14"/>
  <c r="AC203" i="14"/>
  <c r="AB203" i="14"/>
  <c r="AA203" i="14"/>
  <c r="Z203" i="14"/>
  <c r="Y203" i="14"/>
  <c r="X203" i="14"/>
  <c r="W203" i="14"/>
  <c r="V203" i="14"/>
  <c r="U203" i="14"/>
  <c r="T203" i="14"/>
  <c r="S203" i="14"/>
  <c r="R203" i="14"/>
  <c r="Q203" i="14"/>
  <c r="P203" i="14"/>
  <c r="O203" i="14"/>
  <c r="N203" i="14"/>
  <c r="M203" i="14"/>
  <c r="L203" i="14"/>
  <c r="K203" i="14"/>
  <c r="J203" i="14"/>
  <c r="I203" i="14"/>
  <c r="H203" i="14"/>
  <c r="G203" i="14"/>
  <c r="F203" i="14"/>
  <c r="E203" i="14"/>
  <c r="D203" i="14"/>
  <c r="C203" i="14"/>
  <c r="B203" i="14"/>
  <c r="A203" i="14"/>
  <c r="AU202" i="14"/>
  <c r="AT202" i="14"/>
  <c r="AQ202" i="14"/>
  <c r="AP202" i="14"/>
  <c r="AO202" i="14"/>
  <c r="AN202" i="14"/>
  <c r="AL202" i="14"/>
  <c r="AJ202" i="14"/>
  <c r="AI202" i="14"/>
  <c r="AH202" i="14"/>
  <c r="AG202" i="14"/>
  <c r="AF202" i="14"/>
  <c r="AE202" i="14"/>
  <c r="AD202" i="14"/>
  <c r="AC202" i="14"/>
  <c r="AB202" i="14"/>
  <c r="AA202" i="14"/>
  <c r="Z202" i="14"/>
  <c r="Y202" i="14"/>
  <c r="X202" i="14"/>
  <c r="W202" i="14"/>
  <c r="V202" i="14"/>
  <c r="U202" i="14"/>
  <c r="T202" i="14"/>
  <c r="S202" i="14"/>
  <c r="R202" i="14"/>
  <c r="Q202" i="14"/>
  <c r="P202" i="14"/>
  <c r="O202" i="14"/>
  <c r="N202" i="14"/>
  <c r="M202" i="14"/>
  <c r="L202" i="14"/>
  <c r="K202" i="14"/>
  <c r="J202" i="14"/>
  <c r="I202" i="14"/>
  <c r="H202" i="14"/>
  <c r="G202" i="14"/>
  <c r="F202" i="14"/>
  <c r="E202" i="14"/>
  <c r="D202" i="14"/>
  <c r="C202" i="14"/>
  <c r="B202" i="14"/>
  <c r="A202" i="14"/>
  <c r="AU201" i="14"/>
  <c r="AT201" i="14"/>
  <c r="AQ201" i="14"/>
  <c r="AP201" i="14"/>
  <c r="AO201" i="14"/>
  <c r="AN201" i="14"/>
  <c r="AL201" i="14"/>
  <c r="AJ201" i="14"/>
  <c r="AI201" i="14"/>
  <c r="AH201" i="14"/>
  <c r="AG201" i="14"/>
  <c r="AF201" i="14"/>
  <c r="AE201" i="14"/>
  <c r="AD201" i="14"/>
  <c r="AC201" i="14"/>
  <c r="AB201" i="14"/>
  <c r="AA201" i="14"/>
  <c r="Z201" i="14"/>
  <c r="Y201" i="14"/>
  <c r="X201" i="14"/>
  <c r="W201" i="14"/>
  <c r="V201" i="14"/>
  <c r="U201" i="14"/>
  <c r="T201" i="14"/>
  <c r="S201" i="14"/>
  <c r="R201" i="14"/>
  <c r="Q201" i="14"/>
  <c r="P201" i="14"/>
  <c r="O201" i="14"/>
  <c r="N201" i="14"/>
  <c r="M201" i="14"/>
  <c r="L201" i="14"/>
  <c r="K201" i="14"/>
  <c r="J201" i="14"/>
  <c r="I201" i="14"/>
  <c r="H201" i="14"/>
  <c r="G201" i="14"/>
  <c r="F201" i="14"/>
  <c r="E201" i="14"/>
  <c r="D201" i="14"/>
  <c r="C201" i="14"/>
  <c r="B201" i="14"/>
  <c r="A201" i="14"/>
  <c r="AU200" i="14"/>
  <c r="AT200" i="14"/>
  <c r="AQ200" i="14"/>
  <c r="AP200" i="14"/>
  <c r="AO200" i="14"/>
  <c r="AN200" i="14"/>
  <c r="AL200" i="14"/>
  <c r="AJ200" i="14"/>
  <c r="AI200" i="14"/>
  <c r="AH200" i="14"/>
  <c r="AG200" i="14"/>
  <c r="AF200" i="14"/>
  <c r="AE200" i="14"/>
  <c r="AD200" i="14"/>
  <c r="AC200" i="14"/>
  <c r="AB200" i="14"/>
  <c r="AA200" i="14"/>
  <c r="Z200" i="14"/>
  <c r="Y200" i="14"/>
  <c r="X200" i="14"/>
  <c r="W200" i="14"/>
  <c r="V200" i="14"/>
  <c r="U200" i="14"/>
  <c r="T200" i="14"/>
  <c r="S200" i="14"/>
  <c r="R200" i="14"/>
  <c r="Q200" i="14"/>
  <c r="P200" i="14"/>
  <c r="O200" i="14"/>
  <c r="N200" i="14"/>
  <c r="M200" i="14"/>
  <c r="L200" i="14"/>
  <c r="K200" i="14"/>
  <c r="J200" i="14"/>
  <c r="I200" i="14"/>
  <c r="H200" i="14"/>
  <c r="G200" i="14"/>
  <c r="F200" i="14"/>
  <c r="E200" i="14"/>
  <c r="D200" i="14"/>
  <c r="C200" i="14"/>
  <c r="B200" i="14"/>
  <c r="A200" i="14"/>
  <c r="AU199" i="14"/>
  <c r="AT199" i="14"/>
  <c r="AQ199" i="14"/>
  <c r="AP199" i="14"/>
  <c r="AO199" i="14"/>
  <c r="AN199" i="14"/>
  <c r="AL199" i="14"/>
  <c r="AJ199" i="14"/>
  <c r="AI199" i="14"/>
  <c r="AH199" i="14"/>
  <c r="AG199" i="14"/>
  <c r="AF199" i="14"/>
  <c r="AE199" i="14"/>
  <c r="AD199" i="14"/>
  <c r="AC199" i="14"/>
  <c r="AB199" i="14"/>
  <c r="AA199" i="14"/>
  <c r="Z199" i="14"/>
  <c r="Y199" i="14"/>
  <c r="X199" i="14"/>
  <c r="W199" i="14"/>
  <c r="V199" i="14"/>
  <c r="U199" i="14"/>
  <c r="T199" i="14"/>
  <c r="S199" i="14"/>
  <c r="R199" i="14"/>
  <c r="Q199" i="14"/>
  <c r="P199" i="14"/>
  <c r="O199" i="14"/>
  <c r="N199" i="14"/>
  <c r="M199" i="14"/>
  <c r="L199" i="14"/>
  <c r="K199" i="14"/>
  <c r="J199" i="14"/>
  <c r="I199" i="14"/>
  <c r="H199" i="14"/>
  <c r="G199" i="14"/>
  <c r="F199" i="14"/>
  <c r="E199" i="14"/>
  <c r="D199" i="14"/>
  <c r="C199" i="14"/>
  <c r="B199" i="14"/>
  <c r="A199" i="14"/>
  <c r="AU198" i="14"/>
  <c r="AT198" i="14"/>
  <c r="AQ198" i="14"/>
  <c r="AP198" i="14"/>
  <c r="AO198" i="14"/>
  <c r="AN198" i="14"/>
  <c r="AL198" i="14"/>
  <c r="AJ198" i="14"/>
  <c r="AI198" i="14"/>
  <c r="AH198" i="14"/>
  <c r="AG198" i="14"/>
  <c r="AF198" i="14"/>
  <c r="AE198" i="14"/>
  <c r="AD198" i="14"/>
  <c r="AC198" i="14"/>
  <c r="AB198" i="14"/>
  <c r="AA198" i="14"/>
  <c r="Z198" i="14"/>
  <c r="Y198" i="14"/>
  <c r="X198" i="14"/>
  <c r="W198" i="14"/>
  <c r="V198" i="14"/>
  <c r="U198" i="14"/>
  <c r="T198" i="14"/>
  <c r="S198" i="14"/>
  <c r="R198" i="14"/>
  <c r="Q198" i="14"/>
  <c r="P198" i="14"/>
  <c r="O198" i="14"/>
  <c r="N198" i="14"/>
  <c r="M198" i="14"/>
  <c r="L198" i="14"/>
  <c r="K198" i="14"/>
  <c r="J198" i="14"/>
  <c r="I198" i="14"/>
  <c r="H198" i="14"/>
  <c r="G198" i="14"/>
  <c r="F198" i="14"/>
  <c r="E198" i="14"/>
  <c r="D198" i="14"/>
  <c r="C198" i="14"/>
  <c r="B198" i="14"/>
  <c r="A198" i="14"/>
  <c r="AU197" i="14"/>
  <c r="AT197" i="14"/>
  <c r="AQ197" i="14"/>
  <c r="AP197" i="14"/>
  <c r="AO197" i="14"/>
  <c r="AN197" i="14"/>
  <c r="AL197" i="14"/>
  <c r="AJ197" i="14"/>
  <c r="AI197" i="14"/>
  <c r="AH197" i="14"/>
  <c r="AG197" i="14"/>
  <c r="AF197" i="14"/>
  <c r="AE197" i="14"/>
  <c r="AD197" i="14"/>
  <c r="AC197" i="14"/>
  <c r="AB197" i="14"/>
  <c r="AA197" i="14"/>
  <c r="Z197" i="14"/>
  <c r="Y197" i="14"/>
  <c r="X197" i="14"/>
  <c r="W197" i="14"/>
  <c r="V197" i="14"/>
  <c r="U197" i="14"/>
  <c r="T197" i="14"/>
  <c r="S197" i="14"/>
  <c r="R197" i="14"/>
  <c r="Q197" i="14"/>
  <c r="P197" i="14"/>
  <c r="O197" i="14"/>
  <c r="N197" i="14"/>
  <c r="M197" i="14"/>
  <c r="L197" i="14"/>
  <c r="K197" i="14"/>
  <c r="J197" i="14"/>
  <c r="I197" i="14"/>
  <c r="H197" i="14"/>
  <c r="G197" i="14"/>
  <c r="F197" i="14"/>
  <c r="E197" i="14"/>
  <c r="D197" i="14"/>
  <c r="C197" i="14"/>
  <c r="B197" i="14"/>
  <c r="A197" i="14"/>
  <c r="AU196" i="14"/>
  <c r="AT196" i="14"/>
  <c r="AQ196" i="14"/>
  <c r="AP196" i="14"/>
  <c r="AO196" i="14"/>
  <c r="AN196" i="14"/>
  <c r="AL196" i="14"/>
  <c r="AJ196" i="14"/>
  <c r="AI196" i="14"/>
  <c r="AH196" i="14"/>
  <c r="AG196" i="14"/>
  <c r="AF196" i="14"/>
  <c r="AE196" i="14"/>
  <c r="AD196" i="14"/>
  <c r="AC196" i="14"/>
  <c r="AB196" i="14"/>
  <c r="AA196" i="14"/>
  <c r="Z196" i="14"/>
  <c r="Y196" i="14"/>
  <c r="X196" i="14"/>
  <c r="W196" i="14"/>
  <c r="V196" i="14"/>
  <c r="U196" i="14"/>
  <c r="T196" i="14"/>
  <c r="S196" i="14"/>
  <c r="R196" i="14"/>
  <c r="Q196" i="14"/>
  <c r="P196" i="14"/>
  <c r="O196" i="14"/>
  <c r="N196" i="14"/>
  <c r="M196" i="14"/>
  <c r="L196" i="14"/>
  <c r="K196" i="14"/>
  <c r="J196" i="14"/>
  <c r="I196" i="14"/>
  <c r="H196" i="14"/>
  <c r="G196" i="14"/>
  <c r="F196" i="14"/>
  <c r="E196" i="14"/>
  <c r="D196" i="14"/>
  <c r="C196" i="14"/>
  <c r="B196" i="14"/>
  <c r="A196" i="14"/>
  <c r="AU195" i="14"/>
  <c r="AT195" i="14"/>
  <c r="AQ195" i="14"/>
  <c r="AP195" i="14"/>
  <c r="AO195" i="14"/>
  <c r="AN195" i="14"/>
  <c r="AL195" i="14"/>
  <c r="AJ195" i="14"/>
  <c r="AI195" i="14"/>
  <c r="AH195" i="14"/>
  <c r="AG195" i="14"/>
  <c r="AF195" i="14"/>
  <c r="AE195" i="14"/>
  <c r="AD195" i="14"/>
  <c r="AC195" i="14"/>
  <c r="AB195" i="14"/>
  <c r="AA195" i="14"/>
  <c r="Z195" i="14"/>
  <c r="Y195" i="14"/>
  <c r="X195" i="14"/>
  <c r="W195" i="14"/>
  <c r="V195" i="14"/>
  <c r="U195" i="14"/>
  <c r="T195" i="14"/>
  <c r="S195" i="14"/>
  <c r="R195" i="14"/>
  <c r="Q195" i="14"/>
  <c r="P195" i="14"/>
  <c r="O195" i="14"/>
  <c r="N195" i="14"/>
  <c r="M195" i="14"/>
  <c r="L195" i="14"/>
  <c r="K195" i="14"/>
  <c r="J195" i="14"/>
  <c r="I195" i="14"/>
  <c r="H195" i="14"/>
  <c r="G195" i="14"/>
  <c r="F195" i="14"/>
  <c r="E195" i="14"/>
  <c r="D195" i="14"/>
  <c r="C195" i="14"/>
  <c r="B195" i="14"/>
  <c r="A195" i="14"/>
  <c r="AU194" i="14"/>
  <c r="AT194" i="14"/>
  <c r="AQ194" i="14"/>
  <c r="AP194" i="14"/>
  <c r="AO194" i="14"/>
  <c r="AN194" i="14"/>
  <c r="AL194" i="14"/>
  <c r="AJ194" i="14"/>
  <c r="AI194" i="14"/>
  <c r="AH194" i="14"/>
  <c r="AG194" i="14"/>
  <c r="AF194" i="14"/>
  <c r="AE194" i="14"/>
  <c r="AD194" i="14"/>
  <c r="AC194" i="14"/>
  <c r="AB194" i="14"/>
  <c r="AA194" i="14"/>
  <c r="Z194" i="14"/>
  <c r="Y194" i="14"/>
  <c r="X194" i="14"/>
  <c r="W194" i="14"/>
  <c r="V194" i="14"/>
  <c r="U194" i="14"/>
  <c r="T194" i="14"/>
  <c r="S194" i="14"/>
  <c r="R194" i="14"/>
  <c r="Q194" i="14"/>
  <c r="P194" i="14"/>
  <c r="O194" i="14"/>
  <c r="N194" i="14"/>
  <c r="M194" i="14"/>
  <c r="L194" i="14"/>
  <c r="K194" i="14"/>
  <c r="J194" i="14"/>
  <c r="I194" i="14"/>
  <c r="H194" i="14"/>
  <c r="G194" i="14"/>
  <c r="F194" i="14"/>
  <c r="E194" i="14"/>
  <c r="D194" i="14"/>
  <c r="C194" i="14"/>
  <c r="B194" i="14"/>
  <c r="A194" i="14"/>
  <c r="AU193" i="14"/>
  <c r="AT193" i="14"/>
  <c r="AQ193" i="14"/>
  <c r="AP193" i="14"/>
  <c r="AO193" i="14"/>
  <c r="AN193" i="14"/>
  <c r="AL193" i="14"/>
  <c r="AJ193" i="14"/>
  <c r="AI193" i="14"/>
  <c r="AH193" i="14"/>
  <c r="AG193" i="14"/>
  <c r="AF193" i="14"/>
  <c r="AE193" i="14"/>
  <c r="AD193" i="14"/>
  <c r="AC193" i="14"/>
  <c r="AB193" i="14"/>
  <c r="AA193" i="14"/>
  <c r="Z193" i="14"/>
  <c r="Y193" i="14"/>
  <c r="X193" i="14"/>
  <c r="W193" i="14"/>
  <c r="V193" i="14"/>
  <c r="U193" i="14"/>
  <c r="T193" i="14"/>
  <c r="S193" i="14"/>
  <c r="R193" i="14"/>
  <c r="Q193" i="14"/>
  <c r="P193" i="14"/>
  <c r="O193" i="14"/>
  <c r="N193" i="14"/>
  <c r="M193" i="14"/>
  <c r="L193" i="14"/>
  <c r="K193" i="14"/>
  <c r="J193" i="14"/>
  <c r="I193" i="14"/>
  <c r="H193" i="14"/>
  <c r="G193" i="14"/>
  <c r="F193" i="14"/>
  <c r="E193" i="14"/>
  <c r="D193" i="14"/>
  <c r="C193" i="14"/>
  <c r="B193" i="14"/>
  <c r="A193" i="14"/>
  <c r="AU192" i="14"/>
  <c r="AT192" i="14"/>
  <c r="AQ192" i="14"/>
  <c r="AP192" i="14"/>
  <c r="AO192" i="14"/>
  <c r="AN192" i="14"/>
  <c r="AL192" i="14"/>
  <c r="AJ192" i="14"/>
  <c r="AI192" i="14"/>
  <c r="AH192" i="14"/>
  <c r="AG192" i="14"/>
  <c r="AF192" i="14"/>
  <c r="AE192" i="14"/>
  <c r="AD192" i="14"/>
  <c r="AC192" i="14"/>
  <c r="AB192" i="14"/>
  <c r="AA192" i="14"/>
  <c r="Z192" i="14"/>
  <c r="Y192" i="14"/>
  <c r="X192" i="14"/>
  <c r="W192" i="14"/>
  <c r="V192" i="14"/>
  <c r="U192" i="14"/>
  <c r="T192" i="14"/>
  <c r="S192" i="14"/>
  <c r="R192" i="14"/>
  <c r="Q192" i="14"/>
  <c r="P192" i="14"/>
  <c r="O192" i="14"/>
  <c r="N192" i="14"/>
  <c r="M192" i="14"/>
  <c r="L192" i="14"/>
  <c r="K192" i="14"/>
  <c r="J192" i="14"/>
  <c r="I192" i="14"/>
  <c r="H192" i="14"/>
  <c r="G192" i="14"/>
  <c r="F192" i="14"/>
  <c r="E192" i="14"/>
  <c r="D192" i="14"/>
  <c r="C192" i="14"/>
  <c r="B192" i="14"/>
  <c r="A192" i="14"/>
  <c r="AU191" i="14"/>
  <c r="AT191" i="14"/>
  <c r="AQ191" i="14"/>
  <c r="AP191" i="14"/>
  <c r="AO191" i="14"/>
  <c r="AN191" i="14"/>
  <c r="AL191" i="14"/>
  <c r="AJ191" i="14"/>
  <c r="AI191" i="14"/>
  <c r="AH191" i="14"/>
  <c r="AG191" i="14"/>
  <c r="AF191" i="14"/>
  <c r="AE191" i="14"/>
  <c r="AD191" i="14"/>
  <c r="AC191" i="14"/>
  <c r="AB191" i="14"/>
  <c r="AA191" i="14"/>
  <c r="Z191" i="14"/>
  <c r="Y191" i="14"/>
  <c r="X191" i="14"/>
  <c r="W191" i="14"/>
  <c r="V191" i="14"/>
  <c r="U191" i="14"/>
  <c r="T191" i="14"/>
  <c r="S191" i="14"/>
  <c r="R191" i="14"/>
  <c r="Q191" i="14"/>
  <c r="P191" i="14"/>
  <c r="O191" i="14"/>
  <c r="N191" i="14"/>
  <c r="M191" i="14"/>
  <c r="L191" i="14"/>
  <c r="K191" i="14"/>
  <c r="J191" i="14"/>
  <c r="I191" i="14"/>
  <c r="H191" i="14"/>
  <c r="G191" i="14"/>
  <c r="F191" i="14"/>
  <c r="E191" i="14"/>
  <c r="D191" i="14"/>
  <c r="C191" i="14"/>
  <c r="B191" i="14"/>
  <c r="A191" i="14"/>
  <c r="AU190" i="14"/>
  <c r="AT190" i="14"/>
  <c r="AQ190" i="14"/>
  <c r="AP190" i="14"/>
  <c r="AO190" i="14"/>
  <c r="AN190" i="14"/>
  <c r="AL190" i="14"/>
  <c r="AJ190" i="14"/>
  <c r="AI190" i="14"/>
  <c r="AH190" i="14"/>
  <c r="AG190" i="14"/>
  <c r="AF190" i="14"/>
  <c r="AE190" i="14"/>
  <c r="AD190" i="14"/>
  <c r="AC190" i="14"/>
  <c r="AB190" i="14"/>
  <c r="AA190" i="14"/>
  <c r="Z190" i="14"/>
  <c r="Y190" i="14"/>
  <c r="X190" i="14"/>
  <c r="W190" i="14"/>
  <c r="V190" i="14"/>
  <c r="U190" i="14"/>
  <c r="T190" i="14"/>
  <c r="S190" i="14"/>
  <c r="R190" i="14"/>
  <c r="Q190" i="14"/>
  <c r="P190" i="14"/>
  <c r="O190" i="14"/>
  <c r="N190" i="14"/>
  <c r="M190" i="14"/>
  <c r="L190" i="14"/>
  <c r="K190" i="14"/>
  <c r="J190" i="14"/>
  <c r="I190" i="14"/>
  <c r="H190" i="14"/>
  <c r="G190" i="14"/>
  <c r="F190" i="14"/>
  <c r="E190" i="14"/>
  <c r="D190" i="14"/>
  <c r="C190" i="14"/>
  <c r="B190" i="14"/>
  <c r="A190" i="14"/>
  <c r="AU189" i="14"/>
  <c r="AT189" i="14"/>
  <c r="AQ189" i="14"/>
  <c r="AP189" i="14"/>
  <c r="AO189" i="14"/>
  <c r="AN189" i="14"/>
  <c r="AL189" i="14"/>
  <c r="AJ189" i="14"/>
  <c r="AI189" i="14"/>
  <c r="AH189" i="14"/>
  <c r="AG189" i="14"/>
  <c r="AF189" i="14"/>
  <c r="AE189" i="14"/>
  <c r="AD189" i="14"/>
  <c r="AC189" i="14"/>
  <c r="AB189" i="14"/>
  <c r="AA189" i="14"/>
  <c r="Z189" i="14"/>
  <c r="Y189" i="14"/>
  <c r="X189" i="14"/>
  <c r="W189" i="14"/>
  <c r="V189" i="14"/>
  <c r="U189" i="14"/>
  <c r="T189" i="14"/>
  <c r="S189" i="14"/>
  <c r="R189" i="14"/>
  <c r="Q189" i="14"/>
  <c r="P189" i="14"/>
  <c r="O189" i="14"/>
  <c r="N189" i="14"/>
  <c r="M189" i="14"/>
  <c r="L189" i="14"/>
  <c r="K189" i="14"/>
  <c r="J189" i="14"/>
  <c r="I189" i="14"/>
  <c r="H189" i="14"/>
  <c r="G189" i="14"/>
  <c r="F189" i="14"/>
  <c r="E189" i="14"/>
  <c r="D189" i="14"/>
  <c r="C189" i="14"/>
  <c r="B189" i="14"/>
  <c r="A189" i="14"/>
  <c r="AU188" i="14"/>
  <c r="AT188" i="14"/>
  <c r="AQ188" i="14"/>
  <c r="AP188" i="14"/>
  <c r="AO188" i="14"/>
  <c r="AN188" i="14"/>
  <c r="AL188" i="14"/>
  <c r="AJ188" i="14"/>
  <c r="AI188" i="14"/>
  <c r="AH188" i="14"/>
  <c r="AG188" i="14"/>
  <c r="AF188" i="14"/>
  <c r="AE188" i="14"/>
  <c r="AD188" i="14"/>
  <c r="AC188" i="14"/>
  <c r="AB188" i="14"/>
  <c r="AA188" i="14"/>
  <c r="Z188" i="14"/>
  <c r="Y188" i="14"/>
  <c r="X188" i="14"/>
  <c r="W188" i="14"/>
  <c r="V188" i="14"/>
  <c r="U188" i="14"/>
  <c r="T188" i="14"/>
  <c r="S188" i="14"/>
  <c r="R188" i="14"/>
  <c r="Q188" i="14"/>
  <c r="P188" i="14"/>
  <c r="O188" i="14"/>
  <c r="N188" i="14"/>
  <c r="M188" i="14"/>
  <c r="L188" i="14"/>
  <c r="K188" i="14"/>
  <c r="J188" i="14"/>
  <c r="I188" i="14"/>
  <c r="H188" i="14"/>
  <c r="G188" i="14"/>
  <c r="F188" i="14"/>
  <c r="E188" i="14"/>
  <c r="D188" i="14"/>
  <c r="C188" i="14"/>
  <c r="B188" i="14"/>
  <c r="A188" i="14"/>
  <c r="AU187" i="14"/>
  <c r="AT187" i="14"/>
  <c r="AQ187" i="14"/>
  <c r="AP187" i="14"/>
  <c r="AO187" i="14"/>
  <c r="AN187" i="14"/>
  <c r="AL187" i="14"/>
  <c r="AJ187" i="14"/>
  <c r="AI187" i="14"/>
  <c r="AH187" i="14"/>
  <c r="AG187" i="14"/>
  <c r="AF187" i="14"/>
  <c r="AE187" i="14"/>
  <c r="AD187" i="14"/>
  <c r="AC187" i="14"/>
  <c r="AB187" i="14"/>
  <c r="AA187" i="14"/>
  <c r="Z187" i="14"/>
  <c r="Y187" i="14"/>
  <c r="X187" i="14"/>
  <c r="W187" i="14"/>
  <c r="V187" i="14"/>
  <c r="U187" i="14"/>
  <c r="T187" i="14"/>
  <c r="S187" i="14"/>
  <c r="R187" i="14"/>
  <c r="Q187" i="14"/>
  <c r="P187" i="14"/>
  <c r="O187" i="14"/>
  <c r="N187" i="14"/>
  <c r="M187" i="14"/>
  <c r="L187" i="14"/>
  <c r="K187" i="14"/>
  <c r="J187" i="14"/>
  <c r="I187" i="14"/>
  <c r="H187" i="14"/>
  <c r="G187" i="14"/>
  <c r="F187" i="14"/>
  <c r="E187" i="14"/>
  <c r="D187" i="14"/>
  <c r="C187" i="14"/>
  <c r="B187" i="14"/>
  <c r="A187" i="14"/>
  <c r="AU186" i="14"/>
  <c r="AT186" i="14"/>
  <c r="AQ186" i="14"/>
  <c r="AP186" i="14"/>
  <c r="AO186" i="14"/>
  <c r="AN186" i="14"/>
  <c r="AL186" i="14"/>
  <c r="AJ186" i="14"/>
  <c r="AI186" i="14"/>
  <c r="AH186" i="14"/>
  <c r="AG186" i="14"/>
  <c r="AF186" i="14"/>
  <c r="AE186" i="14"/>
  <c r="AD186" i="14"/>
  <c r="AC186" i="14"/>
  <c r="AB186" i="14"/>
  <c r="AA186" i="14"/>
  <c r="Z186" i="14"/>
  <c r="Y186" i="14"/>
  <c r="X186" i="14"/>
  <c r="W186" i="14"/>
  <c r="V186" i="14"/>
  <c r="U186" i="14"/>
  <c r="T186" i="14"/>
  <c r="S186" i="14"/>
  <c r="R186" i="14"/>
  <c r="Q186" i="14"/>
  <c r="P186" i="14"/>
  <c r="O186" i="14"/>
  <c r="N186" i="14"/>
  <c r="M186" i="14"/>
  <c r="L186" i="14"/>
  <c r="K186" i="14"/>
  <c r="J186" i="14"/>
  <c r="I186" i="14"/>
  <c r="H186" i="14"/>
  <c r="G186" i="14"/>
  <c r="F186" i="14"/>
  <c r="E186" i="14"/>
  <c r="D186" i="14"/>
  <c r="C186" i="14"/>
  <c r="B186" i="14"/>
  <c r="A186" i="14"/>
  <c r="AU185" i="14"/>
  <c r="AT185" i="14"/>
  <c r="AQ185" i="14"/>
  <c r="AP185" i="14"/>
  <c r="AO185" i="14"/>
  <c r="AN185" i="14"/>
  <c r="AL185" i="14"/>
  <c r="AJ185" i="14"/>
  <c r="AI185" i="14"/>
  <c r="AH185" i="14"/>
  <c r="AG185" i="14"/>
  <c r="AF185" i="14"/>
  <c r="AE185" i="14"/>
  <c r="AD185" i="14"/>
  <c r="AC185" i="14"/>
  <c r="AB185" i="14"/>
  <c r="AA185" i="14"/>
  <c r="Z185" i="14"/>
  <c r="Y185" i="14"/>
  <c r="X185" i="14"/>
  <c r="W185" i="14"/>
  <c r="V185" i="14"/>
  <c r="U185" i="14"/>
  <c r="T185" i="14"/>
  <c r="S185" i="14"/>
  <c r="R185" i="14"/>
  <c r="Q185" i="14"/>
  <c r="P185" i="14"/>
  <c r="O185" i="14"/>
  <c r="N185" i="14"/>
  <c r="M185" i="14"/>
  <c r="L185" i="14"/>
  <c r="K185" i="14"/>
  <c r="J185" i="14"/>
  <c r="I185" i="14"/>
  <c r="H185" i="14"/>
  <c r="G185" i="14"/>
  <c r="F185" i="14"/>
  <c r="E185" i="14"/>
  <c r="D185" i="14"/>
  <c r="C185" i="14"/>
  <c r="B185" i="14"/>
  <c r="A185" i="14"/>
  <c r="AU184" i="14"/>
  <c r="AT184" i="14"/>
  <c r="AQ184" i="14"/>
  <c r="AP184" i="14"/>
  <c r="AO184" i="14"/>
  <c r="AN184" i="14"/>
  <c r="AL184" i="14"/>
  <c r="AJ184" i="14"/>
  <c r="AI184" i="14"/>
  <c r="AH184" i="14"/>
  <c r="AG184" i="14"/>
  <c r="AF184" i="14"/>
  <c r="AE184" i="14"/>
  <c r="AD184" i="14"/>
  <c r="AC184" i="14"/>
  <c r="AB184" i="14"/>
  <c r="AA184" i="14"/>
  <c r="Z184" i="14"/>
  <c r="Y184" i="14"/>
  <c r="X184" i="14"/>
  <c r="W184" i="14"/>
  <c r="V184" i="14"/>
  <c r="U184" i="14"/>
  <c r="T184" i="14"/>
  <c r="S184" i="14"/>
  <c r="R184" i="14"/>
  <c r="Q184" i="14"/>
  <c r="P184" i="14"/>
  <c r="O184" i="14"/>
  <c r="N184" i="14"/>
  <c r="M184" i="14"/>
  <c r="L184" i="14"/>
  <c r="K184" i="14"/>
  <c r="J184" i="14"/>
  <c r="I184" i="14"/>
  <c r="H184" i="14"/>
  <c r="G184" i="14"/>
  <c r="F184" i="14"/>
  <c r="E184" i="14"/>
  <c r="D184" i="14"/>
  <c r="C184" i="14"/>
  <c r="B184" i="14"/>
  <c r="A184" i="14"/>
  <c r="AU183" i="14"/>
  <c r="AT183" i="14"/>
  <c r="AQ183" i="14"/>
  <c r="AP183" i="14"/>
  <c r="AO183" i="14"/>
  <c r="AN183" i="14"/>
  <c r="AL183" i="14"/>
  <c r="AJ183" i="14"/>
  <c r="AI183" i="14"/>
  <c r="AH183" i="14"/>
  <c r="AG183" i="14"/>
  <c r="AF183" i="14"/>
  <c r="AE183" i="14"/>
  <c r="AD183" i="14"/>
  <c r="AC183" i="14"/>
  <c r="AB183" i="14"/>
  <c r="AA183" i="14"/>
  <c r="Z183" i="14"/>
  <c r="Y183" i="14"/>
  <c r="X183" i="14"/>
  <c r="W183" i="14"/>
  <c r="V183" i="14"/>
  <c r="U183" i="14"/>
  <c r="T183" i="14"/>
  <c r="S183" i="14"/>
  <c r="R183" i="14"/>
  <c r="Q183" i="14"/>
  <c r="P183" i="14"/>
  <c r="O183" i="14"/>
  <c r="N183" i="14"/>
  <c r="M183" i="14"/>
  <c r="L183" i="14"/>
  <c r="K183" i="14"/>
  <c r="J183" i="14"/>
  <c r="I183" i="14"/>
  <c r="H183" i="14"/>
  <c r="G183" i="14"/>
  <c r="F183" i="14"/>
  <c r="E183" i="14"/>
  <c r="D183" i="14"/>
  <c r="C183" i="14"/>
  <c r="B183" i="14"/>
  <c r="A183" i="14"/>
  <c r="AU182" i="14"/>
  <c r="AT182" i="14"/>
  <c r="AQ182" i="14"/>
  <c r="AP182" i="14"/>
  <c r="AO182" i="14"/>
  <c r="AN182" i="14"/>
  <c r="AL182" i="14"/>
  <c r="AJ182" i="14"/>
  <c r="AI182" i="14"/>
  <c r="AH182" i="14"/>
  <c r="AG182" i="14"/>
  <c r="AF182" i="14"/>
  <c r="AE182" i="14"/>
  <c r="AD182" i="14"/>
  <c r="AC182" i="14"/>
  <c r="AB182" i="14"/>
  <c r="AA182" i="14"/>
  <c r="Z182" i="14"/>
  <c r="Y182" i="14"/>
  <c r="X182" i="14"/>
  <c r="W182" i="14"/>
  <c r="V182" i="14"/>
  <c r="U182" i="14"/>
  <c r="T182" i="14"/>
  <c r="S182" i="14"/>
  <c r="R182" i="14"/>
  <c r="Q182" i="14"/>
  <c r="P182" i="14"/>
  <c r="O182" i="14"/>
  <c r="N182" i="14"/>
  <c r="M182" i="14"/>
  <c r="L182" i="14"/>
  <c r="K182" i="14"/>
  <c r="J182" i="14"/>
  <c r="I182" i="14"/>
  <c r="H182" i="14"/>
  <c r="G182" i="14"/>
  <c r="F182" i="14"/>
  <c r="E182" i="14"/>
  <c r="D182" i="14"/>
  <c r="C182" i="14"/>
  <c r="B182" i="14"/>
  <c r="A182" i="14"/>
  <c r="AU181" i="14"/>
  <c r="AT181" i="14"/>
  <c r="AQ181" i="14"/>
  <c r="AP181" i="14"/>
  <c r="AO181" i="14"/>
  <c r="AN181" i="14"/>
  <c r="AL181" i="14"/>
  <c r="AJ181" i="14"/>
  <c r="AI181" i="14"/>
  <c r="AH181" i="14"/>
  <c r="AG181" i="14"/>
  <c r="AF181" i="14"/>
  <c r="AE181" i="14"/>
  <c r="AD181" i="14"/>
  <c r="AC181" i="14"/>
  <c r="AB181" i="14"/>
  <c r="AA181" i="14"/>
  <c r="Z181" i="14"/>
  <c r="Y181" i="14"/>
  <c r="X181" i="14"/>
  <c r="W181" i="14"/>
  <c r="V181" i="14"/>
  <c r="U181" i="14"/>
  <c r="T181" i="14"/>
  <c r="S181" i="14"/>
  <c r="R181" i="14"/>
  <c r="Q181" i="14"/>
  <c r="P181" i="14"/>
  <c r="O181" i="14"/>
  <c r="N181" i="14"/>
  <c r="M181" i="14"/>
  <c r="L181" i="14"/>
  <c r="K181" i="14"/>
  <c r="J181" i="14"/>
  <c r="I181" i="14"/>
  <c r="H181" i="14"/>
  <c r="G181" i="14"/>
  <c r="F181" i="14"/>
  <c r="E181" i="14"/>
  <c r="D181" i="14"/>
  <c r="C181" i="14"/>
  <c r="B181" i="14"/>
  <c r="A181" i="14"/>
  <c r="AU180" i="14"/>
  <c r="AT180" i="14"/>
  <c r="AQ180" i="14"/>
  <c r="AP180" i="14"/>
  <c r="AO180" i="14"/>
  <c r="AN180" i="14"/>
  <c r="AL180" i="14"/>
  <c r="AJ180" i="14"/>
  <c r="AI180" i="14"/>
  <c r="AH180" i="14"/>
  <c r="AG180" i="14"/>
  <c r="AF180" i="14"/>
  <c r="AE180" i="14"/>
  <c r="AD180" i="14"/>
  <c r="AC180" i="14"/>
  <c r="AB180" i="14"/>
  <c r="AA180" i="14"/>
  <c r="Z180" i="14"/>
  <c r="Y180" i="14"/>
  <c r="X180" i="14"/>
  <c r="W180" i="14"/>
  <c r="V180" i="14"/>
  <c r="U180" i="14"/>
  <c r="T180" i="14"/>
  <c r="S180" i="14"/>
  <c r="R180" i="14"/>
  <c r="Q180" i="14"/>
  <c r="P180" i="14"/>
  <c r="O180" i="14"/>
  <c r="N180" i="14"/>
  <c r="M180" i="14"/>
  <c r="L180" i="14"/>
  <c r="K180" i="14"/>
  <c r="J180" i="14"/>
  <c r="I180" i="14"/>
  <c r="H180" i="14"/>
  <c r="G180" i="14"/>
  <c r="F180" i="14"/>
  <c r="E180" i="14"/>
  <c r="D180" i="14"/>
  <c r="C180" i="14"/>
  <c r="B180" i="14"/>
  <c r="A180" i="14"/>
  <c r="AU179" i="14"/>
  <c r="AT179" i="14"/>
  <c r="AQ179" i="14"/>
  <c r="AP179" i="14"/>
  <c r="AO179" i="14"/>
  <c r="AN179" i="14"/>
  <c r="AL179" i="14"/>
  <c r="AJ179" i="14"/>
  <c r="AI179" i="14"/>
  <c r="AH179" i="14"/>
  <c r="AG179" i="14"/>
  <c r="AF179" i="14"/>
  <c r="AE179" i="14"/>
  <c r="AD179" i="14"/>
  <c r="AC179" i="14"/>
  <c r="AB179" i="14"/>
  <c r="AA179" i="14"/>
  <c r="Z179" i="14"/>
  <c r="Y179" i="14"/>
  <c r="X179" i="14"/>
  <c r="W179" i="14"/>
  <c r="V179" i="14"/>
  <c r="U179" i="14"/>
  <c r="T179" i="14"/>
  <c r="S179" i="14"/>
  <c r="R179" i="14"/>
  <c r="Q179" i="14"/>
  <c r="P179" i="14"/>
  <c r="O179" i="14"/>
  <c r="N179" i="14"/>
  <c r="M179" i="14"/>
  <c r="L179" i="14"/>
  <c r="K179" i="14"/>
  <c r="J179" i="14"/>
  <c r="I179" i="14"/>
  <c r="H179" i="14"/>
  <c r="G179" i="14"/>
  <c r="F179" i="14"/>
  <c r="E179" i="14"/>
  <c r="D179" i="14"/>
  <c r="C179" i="14"/>
  <c r="B179" i="14"/>
  <c r="A179" i="14"/>
  <c r="AU178" i="14"/>
  <c r="AT178" i="14"/>
  <c r="AQ178" i="14"/>
  <c r="AP178" i="14"/>
  <c r="AO178" i="14"/>
  <c r="AN178" i="14"/>
  <c r="AL178" i="14"/>
  <c r="AJ178" i="14"/>
  <c r="AI178" i="14"/>
  <c r="AH178" i="14"/>
  <c r="AG178" i="14"/>
  <c r="AF178" i="14"/>
  <c r="AE178" i="14"/>
  <c r="AD178" i="14"/>
  <c r="AC178" i="14"/>
  <c r="AB178" i="14"/>
  <c r="AA178" i="14"/>
  <c r="Z178" i="14"/>
  <c r="Y178" i="14"/>
  <c r="X178" i="14"/>
  <c r="W178" i="14"/>
  <c r="V178" i="14"/>
  <c r="U178" i="14"/>
  <c r="T178" i="14"/>
  <c r="S178" i="14"/>
  <c r="R178" i="14"/>
  <c r="Q178" i="14"/>
  <c r="P178" i="14"/>
  <c r="O178" i="14"/>
  <c r="N178" i="14"/>
  <c r="M178" i="14"/>
  <c r="L178" i="14"/>
  <c r="K178" i="14"/>
  <c r="J178" i="14"/>
  <c r="I178" i="14"/>
  <c r="H178" i="14"/>
  <c r="G178" i="14"/>
  <c r="F178" i="14"/>
  <c r="E178" i="14"/>
  <c r="D178" i="14"/>
  <c r="C178" i="14"/>
  <c r="B178" i="14"/>
  <c r="A178" i="14"/>
  <c r="AU177" i="14"/>
  <c r="AT177" i="14"/>
  <c r="AQ177" i="14"/>
  <c r="AP177" i="14"/>
  <c r="AO177" i="14"/>
  <c r="AN177" i="14"/>
  <c r="AL177" i="14"/>
  <c r="AJ177" i="14"/>
  <c r="AI177" i="14"/>
  <c r="AH177" i="14"/>
  <c r="AG177" i="14"/>
  <c r="AF177" i="14"/>
  <c r="AE177" i="14"/>
  <c r="AD177" i="14"/>
  <c r="AC177" i="14"/>
  <c r="AB177" i="14"/>
  <c r="AA177" i="14"/>
  <c r="Z177" i="14"/>
  <c r="Y177" i="14"/>
  <c r="X177" i="14"/>
  <c r="W177" i="14"/>
  <c r="V177" i="14"/>
  <c r="U177" i="14"/>
  <c r="T177" i="14"/>
  <c r="S177" i="14"/>
  <c r="R177" i="14"/>
  <c r="Q177" i="14"/>
  <c r="P177" i="14"/>
  <c r="O177" i="14"/>
  <c r="N177" i="14"/>
  <c r="M177" i="14"/>
  <c r="L177" i="14"/>
  <c r="K177" i="14"/>
  <c r="J177" i="14"/>
  <c r="I177" i="14"/>
  <c r="H177" i="14"/>
  <c r="G177" i="14"/>
  <c r="F177" i="14"/>
  <c r="E177" i="14"/>
  <c r="D177" i="14"/>
  <c r="C177" i="14"/>
  <c r="B177" i="14"/>
  <c r="A177" i="14"/>
  <c r="AU176" i="14"/>
  <c r="AT176" i="14"/>
  <c r="AQ176" i="14"/>
  <c r="AP176" i="14"/>
  <c r="AO176" i="14"/>
  <c r="AN176" i="14"/>
  <c r="AL176" i="14"/>
  <c r="AJ176" i="14"/>
  <c r="AI176" i="14"/>
  <c r="AH176" i="14"/>
  <c r="AG176" i="14"/>
  <c r="AF176" i="14"/>
  <c r="AE176" i="14"/>
  <c r="AD176" i="14"/>
  <c r="AC176" i="14"/>
  <c r="AB176" i="14"/>
  <c r="AA176" i="14"/>
  <c r="Z176" i="14"/>
  <c r="Y176" i="14"/>
  <c r="X176" i="14"/>
  <c r="W176" i="14"/>
  <c r="V176" i="14"/>
  <c r="U176" i="14"/>
  <c r="T176" i="14"/>
  <c r="S176" i="14"/>
  <c r="R176" i="14"/>
  <c r="Q176" i="14"/>
  <c r="P176" i="14"/>
  <c r="O176" i="14"/>
  <c r="N176" i="14"/>
  <c r="M176" i="14"/>
  <c r="L176" i="14"/>
  <c r="K176" i="14"/>
  <c r="J176" i="14"/>
  <c r="I176" i="14"/>
  <c r="H176" i="14"/>
  <c r="G176" i="14"/>
  <c r="F176" i="14"/>
  <c r="E176" i="14"/>
  <c r="D176" i="14"/>
  <c r="C176" i="14"/>
  <c r="B176" i="14"/>
  <c r="A176" i="14"/>
  <c r="AU175" i="14"/>
  <c r="AT175" i="14"/>
  <c r="AQ175" i="14"/>
  <c r="AP175" i="14"/>
  <c r="AO175" i="14"/>
  <c r="AN175" i="14"/>
  <c r="AL175" i="14"/>
  <c r="AJ175" i="14"/>
  <c r="AI175" i="14"/>
  <c r="AH175" i="14"/>
  <c r="AG175" i="14"/>
  <c r="AF175" i="14"/>
  <c r="AE175" i="14"/>
  <c r="AD175" i="14"/>
  <c r="AC175" i="14"/>
  <c r="AB175" i="14"/>
  <c r="AA175" i="14"/>
  <c r="Z175" i="14"/>
  <c r="Y175" i="14"/>
  <c r="X175" i="14"/>
  <c r="W175" i="14"/>
  <c r="V175" i="14"/>
  <c r="U175" i="14"/>
  <c r="T175" i="14"/>
  <c r="S175" i="14"/>
  <c r="R175" i="14"/>
  <c r="Q175" i="14"/>
  <c r="P175" i="14"/>
  <c r="O175" i="14"/>
  <c r="N175" i="14"/>
  <c r="M175" i="14"/>
  <c r="L175" i="14"/>
  <c r="K175" i="14"/>
  <c r="J175" i="14"/>
  <c r="I175" i="14"/>
  <c r="H175" i="14"/>
  <c r="G175" i="14"/>
  <c r="F175" i="14"/>
  <c r="E175" i="14"/>
  <c r="D175" i="14"/>
  <c r="C175" i="14"/>
  <c r="B175" i="14"/>
  <c r="A175" i="14"/>
  <c r="AU174" i="14"/>
  <c r="AT174" i="14"/>
  <c r="AQ174" i="14"/>
  <c r="AP174" i="14"/>
  <c r="AO174" i="14"/>
  <c r="AN174" i="14"/>
  <c r="AL174" i="14"/>
  <c r="AJ174" i="14"/>
  <c r="AI174" i="14"/>
  <c r="AH174" i="14"/>
  <c r="AG174" i="14"/>
  <c r="AF174" i="14"/>
  <c r="AE174" i="14"/>
  <c r="AD174" i="14"/>
  <c r="AC174" i="14"/>
  <c r="AB174" i="14"/>
  <c r="AA174" i="14"/>
  <c r="Z174" i="14"/>
  <c r="Y174" i="14"/>
  <c r="X174" i="14"/>
  <c r="W174" i="14"/>
  <c r="V174" i="14"/>
  <c r="U174" i="14"/>
  <c r="T174" i="14"/>
  <c r="S174" i="14"/>
  <c r="R174" i="14"/>
  <c r="Q174" i="14"/>
  <c r="P174" i="14"/>
  <c r="O174" i="14"/>
  <c r="N174" i="14"/>
  <c r="M174" i="14"/>
  <c r="L174" i="14"/>
  <c r="K174" i="14"/>
  <c r="J174" i="14"/>
  <c r="I174" i="14"/>
  <c r="H174" i="14"/>
  <c r="G174" i="14"/>
  <c r="F174" i="14"/>
  <c r="E174" i="14"/>
  <c r="D174" i="14"/>
  <c r="C174" i="14"/>
  <c r="B174" i="14"/>
  <c r="A174" i="14"/>
  <c r="AU173" i="14"/>
  <c r="AT173" i="14"/>
  <c r="AQ173" i="14"/>
  <c r="AP173" i="14"/>
  <c r="AO173" i="14"/>
  <c r="AN173" i="14"/>
  <c r="AL173" i="14"/>
  <c r="AJ173" i="14"/>
  <c r="AI173" i="14"/>
  <c r="AH173" i="14"/>
  <c r="AG173" i="14"/>
  <c r="AF173" i="14"/>
  <c r="AE173" i="14"/>
  <c r="AD173" i="14"/>
  <c r="AC173" i="14"/>
  <c r="AB173" i="14"/>
  <c r="AA173" i="14"/>
  <c r="Z173" i="14"/>
  <c r="Y173" i="14"/>
  <c r="X173" i="14"/>
  <c r="W173" i="14"/>
  <c r="V173" i="14"/>
  <c r="U173" i="14"/>
  <c r="T173" i="14"/>
  <c r="S173" i="14"/>
  <c r="R173" i="14"/>
  <c r="Q173" i="14"/>
  <c r="P173" i="14"/>
  <c r="O173" i="14"/>
  <c r="N173" i="14"/>
  <c r="M173" i="14"/>
  <c r="L173" i="14"/>
  <c r="K173" i="14"/>
  <c r="J173" i="14"/>
  <c r="I173" i="14"/>
  <c r="H173" i="14"/>
  <c r="G173" i="14"/>
  <c r="F173" i="14"/>
  <c r="E173" i="14"/>
  <c r="D173" i="14"/>
  <c r="C173" i="14"/>
  <c r="B173" i="14"/>
  <c r="A173" i="14"/>
  <c r="AU172" i="14"/>
  <c r="AT172" i="14"/>
  <c r="AQ172" i="14"/>
  <c r="AP172" i="14"/>
  <c r="AO172" i="14"/>
  <c r="AN172" i="14"/>
  <c r="AL172" i="14"/>
  <c r="AJ172" i="14"/>
  <c r="AI172" i="14"/>
  <c r="AH172" i="14"/>
  <c r="AG172" i="14"/>
  <c r="AF172" i="14"/>
  <c r="AE172" i="14"/>
  <c r="AD172" i="14"/>
  <c r="AC172" i="14"/>
  <c r="AB172" i="14"/>
  <c r="AA172" i="14"/>
  <c r="Z172" i="14"/>
  <c r="Y172" i="14"/>
  <c r="X172" i="14"/>
  <c r="W172" i="14"/>
  <c r="V172" i="14"/>
  <c r="U172" i="14"/>
  <c r="T172" i="14"/>
  <c r="S172" i="14"/>
  <c r="R172" i="14"/>
  <c r="Q172" i="14"/>
  <c r="P172" i="14"/>
  <c r="O172" i="14"/>
  <c r="N172" i="14"/>
  <c r="M172" i="14"/>
  <c r="L172" i="14"/>
  <c r="K172" i="14"/>
  <c r="J172" i="14"/>
  <c r="I172" i="14"/>
  <c r="H172" i="14"/>
  <c r="G172" i="14"/>
  <c r="F172" i="14"/>
  <c r="E172" i="14"/>
  <c r="D172" i="14"/>
  <c r="C172" i="14"/>
  <c r="B172" i="14"/>
  <c r="A172" i="14"/>
  <c r="AU171" i="14"/>
  <c r="AT171" i="14"/>
  <c r="AQ171" i="14"/>
  <c r="AP171" i="14"/>
  <c r="AO171" i="14"/>
  <c r="AN171" i="14"/>
  <c r="AL171" i="14"/>
  <c r="AJ171" i="14"/>
  <c r="AI171" i="14"/>
  <c r="AH171" i="14"/>
  <c r="AG171" i="14"/>
  <c r="AF171" i="14"/>
  <c r="AE171" i="14"/>
  <c r="AD171" i="14"/>
  <c r="AC171" i="14"/>
  <c r="AB171" i="14"/>
  <c r="AA171" i="14"/>
  <c r="Z171" i="14"/>
  <c r="Y171" i="14"/>
  <c r="X171" i="14"/>
  <c r="W171" i="14"/>
  <c r="V171" i="14"/>
  <c r="U171" i="14"/>
  <c r="T171" i="14"/>
  <c r="S171" i="14"/>
  <c r="R171" i="14"/>
  <c r="Q171" i="14"/>
  <c r="P171" i="14"/>
  <c r="O171" i="14"/>
  <c r="N171" i="14"/>
  <c r="M171" i="14"/>
  <c r="L171" i="14"/>
  <c r="K171" i="14"/>
  <c r="J171" i="14"/>
  <c r="I171" i="14"/>
  <c r="H171" i="14"/>
  <c r="G171" i="14"/>
  <c r="F171" i="14"/>
  <c r="E171" i="14"/>
  <c r="D171" i="14"/>
  <c r="C171" i="14"/>
  <c r="B171" i="14"/>
  <c r="A171" i="14"/>
  <c r="AU170" i="14"/>
  <c r="AT170" i="14"/>
  <c r="AQ170" i="14"/>
  <c r="AP170" i="14"/>
  <c r="AO170" i="14"/>
  <c r="AN170" i="14"/>
  <c r="AL170" i="14"/>
  <c r="AJ170" i="14"/>
  <c r="AI170" i="14"/>
  <c r="AH170" i="14"/>
  <c r="AG170" i="14"/>
  <c r="AF170" i="14"/>
  <c r="AE170" i="14"/>
  <c r="AD170" i="14"/>
  <c r="AC170" i="14"/>
  <c r="AB170" i="14"/>
  <c r="AA170" i="14"/>
  <c r="Z170" i="14"/>
  <c r="Y170" i="14"/>
  <c r="X170" i="14"/>
  <c r="W170" i="14"/>
  <c r="V170" i="14"/>
  <c r="U170" i="14"/>
  <c r="T170" i="14"/>
  <c r="S170" i="14"/>
  <c r="R170" i="14"/>
  <c r="Q170" i="14"/>
  <c r="P170" i="14"/>
  <c r="O170" i="14"/>
  <c r="N170" i="14"/>
  <c r="M170" i="14"/>
  <c r="L170" i="14"/>
  <c r="K170" i="14"/>
  <c r="J170" i="14"/>
  <c r="I170" i="14"/>
  <c r="H170" i="14"/>
  <c r="G170" i="14"/>
  <c r="F170" i="14"/>
  <c r="E170" i="14"/>
  <c r="D170" i="14"/>
  <c r="C170" i="14"/>
  <c r="B170" i="14"/>
  <c r="A170" i="14"/>
  <c r="AU169" i="14"/>
  <c r="AT169" i="14"/>
  <c r="AQ169" i="14"/>
  <c r="AP169" i="14"/>
  <c r="AO169" i="14"/>
  <c r="AN169" i="14"/>
  <c r="AL169" i="14"/>
  <c r="AJ169" i="14"/>
  <c r="AI169" i="14"/>
  <c r="AH169" i="14"/>
  <c r="AG169" i="14"/>
  <c r="AF169" i="14"/>
  <c r="AE169" i="14"/>
  <c r="AD169" i="14"/>
  <c r="AC169" i="14"/>
  <c r="AB169" i="14"/>
  <c r="AA169" i="14"/>
  <c r="Z169" i="14"/>
  <c r="Y169" i="14"/>
  <c r="X169" i="14"/>
  <c r="W169" i="14"/>
  <c r="V169" i="14"/>
  <c r="U169" i="14"/>
  <c r="T169" i="14"/>
  <c r="S169" i="14"/>
  <c r="R169" i="14"/>
  <c r="Q169" i="14"/>
  <c r="P169" i="14"/>
  <c r="O169" i="14"/>
  <c r="N169" i="14"/>
  <c r="M169" i="14"/>
  <c r="L169" i="14"/>
  <c r="K169" i="14"/>
  <c r="J169" i="14"/>
  <c r="I169" i="14"/>
  <c r="H169" i="14"/>
  <c r="G169" i="14"/>
  <c r="F169" i="14"/>
  <c r="E169" i="14"/>
  <c r="D169" i="14"/>
  <c r="C169" i="14"/>
  <c r="B169" i="14"/>
  <c r="A169" i="14"/>
  <c r="AU168" i="14"/>
  <c r="AT168" i="14"/>
  <c r="AQ168" i="14"/>
  <c r="AP168" i="14"/>
  <c r="AO168" i="14"/>
  <c r="AN168" i="14"/>
  <c r="AL168" i="14"/>
  <c r="AJ168" i="14"/>
  <c r="AI168" i="14"/>
  <c r="AH168" i="14"/>
  <c r="AG168" i="14"/>
  <c r="AF168" i="14"/>
  <c r="AE168" i="14"/>
  <c r="AD168" i="14"/>
  <c r="AC168" i="14"/>
  <c r="AB168" i="14"/>
  <c r="AA168" i="14"/>
  <c r="Z168" i="14"/>
  <c r="Y168" i="14"/>
  <c r="X168" i="14"/>
  <c r="W168" i="14"/>
  <c r="V168" i="14"/>
  <c r="U168" i="14"/>
  <c r="T168" i="14"/>
  <c r="S168" i="14"/>
  <c r="R168" i="14"/>
  <c r="Q168" i="14"/>
  <c r="P168" i="14"/>
  <c r="O168" i="14"/>
  <c r="N168" i="14"/>
  <c r="M168" i="14"/>
  <c r="L168" i="14"/>
  <c r="K168" i="14"/>
  <c r="J168" i="14"/>
  <c r="I168" i="14"/>
  <c r="H168" i="14"/>
  <c r="G168" i="14"/>
  <c r="F168" i="14"/>
  <c r="E168" i="14"/>
  <c r="D168" i="14"/>
  <c r="C168" i="14"/>
  <c r="B168" i="14"/>
  <c r="A168" i="14"/>
  <c r="AU167" i="14"/>
  <c r="AT167" i="14"/>
  <c r="AQ167" i="14"/>
  <c r="AP167" i="14"/>
  <c r="AO167" i="14"/>
  <c r="AN167" i="14"/>
  <c r="AL167" i="14"/>
  <c r="AJ167" i="14"/>
  <c r="AI167" i="14"/>
  <c r="AH167" i="14"/>
  <c r="AG167" i="14"/>
  <c r="AF167" i="14"/>
  <c r="AE167" i="14"/>
  <c r="AD167" i="14"/>
  <c r="AC167" i="14"/>
  <c r="AB167" i="14"/>
  <c r="AA167" i="14"/>
  <c r="Z167" i="14"/>
  <c r="Y167" i="14"/>
  <c r="X167" i="14"/>
  <c r="W167" i="14"/>
  <c r="V167" i="14"/>
  <c r="U167" i="14"/>
  <c r="T167" i="14"/>
  <c r="S167" i="14"/>
  <c r="R167" i="14"/>
  <c r="Q167" i="14"/>
  <c r="P167" i="14"/>
  <c r="O167" i="14"/>
  <c r="N167" i="14"/>
  <c r="M167" i="14"/>
  <c r="L167" i="14"/>
  <c r="K167" i="14"/>
  <c r="J167" i="14"/>
  <c r="I167" i="14"/>
  <c r="H167" i="14"/>
  <c r="G167" i="14"/>
  <c r="F167" i="14"/>
  <c r="E167" i="14"/>
  <c r="D167" i="14"/>
  <c r="C167" i="14"/>
  <c r="B167" i="14"/>
  <c r="A167" i="14"/>
  <c r="AU166" i="14"/>
  <c r="AT166" i="14"/>
  <c r="AQ166" i="14"/>
  <c r="AP166" i="14"/>
  <c r="AO166" i="14"/>
  <c r="AN166" i="14"/>
  <c r="AL166" i="14"/>
  <c r="AJ166" i="14"/>
  <c r="AI166" i="14"/>
  <c r="AH166" i="14"/>
  <c r="AG166" i="14"/>
  <c r="AF166" i="14"/>
  <c r="AE166" i="14"/>
  <c r="AD166" i="14"/>
  <c r="AC166" i="14"/>
  <c r="AB166" i="14"/>
  <c r="AA166" i="14"/>
  <c r="Z166" i="14"/>
  <c r="Y166" i="14"/>
  <c r="X166" i="14"/>
  <c r="W166" i="14"/>
  <c r="V166" i="14"/>
  <c r="U166" i="14"/>
  <c r="T166" i="14"/>
  <c r="S166" i="14"/>
  <c r="R166" i="14"/>
  <c r="Q166" i="14"/>
  <c r="P166" i="14"/>
  <c r="O166" i="14"/>
  <c r="N166" i="14"/>
  <c r="M166" i="14"/>
  <c r="L166" i="14"/>
  <c r="K166" i="14"/>
  <c r="J166" i="14"/>
  <c r="I166" i="14"/>
  <c r="H166" i="14"/>
  <c r="G166" i="14"/>
  <c r="F166" i="14"/>
  <c r="E166" i="14"/>
  <c r="D166" i="14"/>
  <c r="C166" i="14"/>
  <c r="B166" i="14"/>
  <c r="A166" i="14"/>
  <c r="AU165" i="14"/>
  <c r="AT165" i="14"/>
  <c r="AQ165" i="14"/>
  <c r="AP165" i="14"/>
  <c r="AO165" i="14"/>
  <c r="AN165" i="14"/>
  <c r="AL165" i="14"/>
  <c r="AJ165" i="14"/>
  <c r="AI165" i="14"/>
  <c r="AH165" i="14"/>
  <c r="AG165" i="14"/>
  <c r="AF165" i="14"/>
  <c r="AE165" i="14"/>
  <c r="AD165" i="14"/>
  <c r="AC165" i="14"/>
  <c r="AB165" i="14"/>
  <c r="AA165" i="14"/>
  <c r="Z165" i="14"/>
  <c r="Y165" i="14"/>
  <c r="X165" i="14"/>
  <c r="W165" i="14"/>
  <c r="V165" i="14"/>
  <c r="U165" i="14"/>
  <c r="T165" i="14"/>
  <c r="S165" i="14"/>
  <c r="R165" i="14"/>
  <c r="Q165" i="14"/>
  <c r="P165" i="14"/>
  <c r="O165" i="14"/>
  <c r="N165" i="14"/>
  <c r="M165" i="14"/>
  <c r="L165" i="14"/>
  <c r="K165" i="14"/>
  <c r="J165" i="14"/>
  <c r="I165" i="14"/>
  <c r="H165" i="14"/>
  <c r="G165" i="14"/>
  <c r="F165" i="14"/>
  <c r="E165" i="14"/>
  <c r="D165" i="14"/>
  <c r="C165" i="14"/>
  <c r="B165" i="14"/>
  <c r="A165" i="14"/>
  <c r="AU164" i="14"/>
  <c r="AT164" i="14"/>
  <c r="AQ164" i="14"/>
  <c r="AP164" i="14"/>
  <c r="AO164" i="14"/>
  <c r="AN164" i="14"/>
  <c r="AL164" i="14"/>
  <c r="AJ164" i="14"/>
  <c r="AI164" i="14"/>
  <c r="AH164" i="14"/>
  <c r="AG164" i="14"/>
  <c r="AF164" i="14"/>
  <c r="AE164" i="14"/>
  <c r="AD164" i="14"/>
  <c r="AC164" i="14"/>
  <c r="AB164" i="14"/>
  <c r="AA164" i="14"/>
  <c r="Z164" i="14"/>
  <c r="Y164" i="14"/>
  <c r="X164" i="14"/>
  <c r="W164" i="14"/>
  <c r="V164" i="14"/>
  <c r="U164" i="14"/>
  <c r="T164" i="14"/>
  <c r="S164" i="14"/>
  <c r="R164" i="14"/>
  <c r="Q164" i="14"/>
  <c r="P164" i="14"/>
  <c r="O164" i="14"/>
  <c r="N164" i="14"/>
  <c r="M164" i="14"/>
  <c r="L164" i="14"/>
  <c r="K164" i="14"/>
  <c r="J164" i="14"/>
  <c r="I164" i="14"/>
  <c r="H164" i="14"/>
  <c r="G164" i="14"/>
  <c r="F164" i="14"/>
  <c r="E164" i="14"/>
  <c r="D164" i="14"/>
  <c r="C164" i="14"/>
  <c r="B164" i="14"/>
  <c r="A164" i="14"/>
  <c r="AU163" i="14"/>
  <c r="AT163" i="14"/>
  <c r="AQ163" i="14"/>
  <c r="AP163" i="14"/>
  <c r="AO163" i="14"/>
  <c r="AN163" i="14"/>
  <c r="AL163" i="14"/>
  <c r="AJ163" i="14"/>
  <c r="AI163" i="14"/>
  <c r="AH163" i="14"/>
  <c r="AG163" i="14"/>
  <c r="AF163" i="14"/>
  <c r="AE163" i="14"/>
  <c r="AD163" i="14"/>
  <c r="AC163" i="14"/>
  <c r="AB163" i="14"/>
  <c r="AA163" i="14"/>
  <c r="Z163" i="14"/>
  <c r="Y163" i="14"/>
  <c r="X163" i="14"/>
  <c r="W163" i="14"/>
  <c r="V163" i="14"/>
  <c r="U163" i="14"/>
  <c r="T163" i="14"/>
  <c r="S163" i="14"/>
  <c r="R163" i="14"/>
  <c r="Q163" i="14"/>
  <c r="P163" i="14"/>
  <c r="O163" i="14"/>
  <c r="N163" i="14"/>
  <c r="M163" i="14"/>
  <c r="L163" i="14"/>
  <c r="K163" i="14"/>
  <c r="J163" i="14"/>
  <c r="I163" i="14"/>
  <c r="H163" i="14"/>
  <c r="G163" i="14"/>
  <c r="F163" i="14"/>
  <c r="E163" i="14"/>
  <c r="D163" i="14"/>
  <c r="C163" i="14"/>
  <c r="B163" i="14"/>
  <c r="A163" i="14"/>
  <c r="AU162" i="14"/>
  <c r="AT162" i="14"/>
  <c r="AQ162" i="14"/>
  <c r="AP162" i="14"/>
  <c r="AO162" i="14"/>
  <c r="AN162" i="14"/>
  <c r="AL162" i="14"/>
  <c r="AJ162" i="14"/>
  <c r="AI162" i="14"/>
  <c r="AH162" i="14"/>
  <c r="AG162" i="14"/>
  <c r="AF162" i="14"/>
  <c r="AE162" i="14"/>
  <c r="AD162" i="14"/>
  <c r="AC162" i="14"/>
  <c r="AB162" i="14"/>
  <c r="AA162" i="14"/>
  <c r="Z162" i="14"/>
  <c r="Y162" i="14"/>
  <c r="X162" i="14"/>
  <c r="W162" i="14"/>
  <c r="V162" i="14"/>
  <c r="U162" i="14"/>
  <c r="T162" i="14"/>
  <c r="S162" i="14"/>
  <c r="R162" i="14"/>
  <c r="Q162" i="14"/>
  <c r="P162" i="14"/>
  <c r="O162" i="14"/>
  <c r="N162" i="14"/>
  <c r="M162" i="14"/>
  <c r="L162" i="14"/>
  <c r="K162" i="14"/>
  <c r="J162" i="14"/>
  <c r="I162" i="14"/>
  <c r="H162" i="14"/>
  <c r="G162" i="14"/>
  <c r="F162" i="14"/>
  <c r="E162" i="14"/>
  <c r="D162" i="14"/>
  <c r="C162" i="14"/>
  <c r="B162" i="14"/>
  <c r="A162" i="14"/>
  <c r="AU161" i="14"/>
  <c r="AT161" i="14"/>
  <c r="AQ161" i="14"/>
  <c r="AP161" i="14"/>
  <c r="AO161" i="14"/>
  <c r="AN161" i="14"/>
  <c r="AL161" i="14"/>
  <c r="AJ161" i="14"/>
  <c r="AI161" i="14"/>
  <c r="AH161" i="14"/>
  <c r="AG161" i="14"/>
  <c r="AF161" i="14"/>
  <c r="AE161" i="14"/>
  <c r="AD161" i="14"/>
  <c r="AC161" i="14"/>
  <c r="AB161" i="14"/>
  <c r="AA161" i="14"/>
  <c r="Z161" i="14"/>
  <c r="Y161" i="14"/>
  <c r="X161" i="14"/>
  <c r="W161" i="14"/>
  <c r="V161" i="14"/>
  <c r="U161" i="14"/>
  <c r="T161" i="14"/>
  <c r="S161" i="14"/>
  <c r="R161" i="14"/>
  <c r="Q161" i="14"/>
  <c r="P161" i="14"/>
  <c r="O161" i="14"/>
  <c r="N161" i="14"/>
  <c r="M161" i="14"/>
  <c r="L161" i="14"/>
  <c r="K161" i="14"/>
  <c r="J161" i="14"/>
  <c r="I161" i="14"/>
  <c r="H161" i="14"/>
  <c r="G161" i="14"/>
  <c r="F161" i="14"/>
  <c r="E161" i="14"/>
  <c r="D161" i="14"/>
  <c r="C161" i="14"/>
  <c r="B161" i="14"/>
  <c r="A161" i="14"/>
  <c r="AU160" i="14"/>
  <c r="AT160" i="14"/>
  <c r="AQ160" i="14"/>
  <c r="AP160" i="14"/>
  <c r="AO160" i="14"/>
  <c r="AN160" i="14"/>
  <c r="AL160" i="14"/>
  <c r="AJ160" i="14"/>
  <c r="AI160" i="14"/>
  <c r="AH160" i="14"/>
  <c r="AG160" i="14"/>
  <c r="AF160" i="14"/>
  <c r="AE160" i="14"/>
  <c r="AD160" i="14"/>
  <c r="AC160" i="14"/>
  <c r="AB160" i="14"/>
  <c r="AA160" i="14"/>
  <c r="Z160" i="14"/>
  <c r="Y160" i="14"/>
  <c r="X160" i="14"/>
  <c r="W160" i="14"/>
  <c r="V160" i="14"/>
  <c r="U160" i="14"/>
  <c r="T160" i="14"/>
  <c r="S160" i="14"/>
  <c r="R160" i="14"/>
  <c r="Q160" i="14"/>
  <c r="P160" i="14"/>
  <c r="O160" i="14"/>
  <c r="N160" i="14"/>
  <c r="M160" i="14"/>
  <c r="L160" i="14"/>
  <c r="K160" i="14"/>
  <c r="J160" i="14"/>
  <c r="I160" i="14"/>
  <c r="H160" i="14"/>
  <c r="G160" i="14"/>
  <c r="F160" i="14"/>
  <c r="E160" i="14"/>
  <c r="D160" i="14"/>
  <c r="C160" i="14"/>
  <c r="B160" i="14"/>
  <c r="A160" i="14"/>
  <c r="AU159" i="14"/>
  <c r="AT159" i="14"/>
  <c r="AQ159" i="14"/>
  <c r="AP159" i="14"/>
  <c r="AO159" i="14"/>
  <c r="AN159" i="14"/>
  <c r="AL159" i="14"/>
  <c r="AJ159" i="14"/>
  <c r="AI159" i="14"/>
  <c r="AH159" i="14"/>
  <c r="AG159" i="14"/>
  <c r="AF159" i="14"/>
  <c r="AE159" i="14"/>
  <c r="AD159" i="14"/>
  <c r="AC159" i="14"/>
  <c r="AB159" i="14"/>
  <c r="AA159" i="14"/>
  <c r="Z159" i="14"/>
  <c r="Y159" i="14"/>
  <c r="X159" i="14"/>
  <c r="W159" i="14"/>
  <c r="V159" i="14"/>
  <c r="U159" i="14"/>
  <c r="T159" i="14"/>
  <c r="S159" i="14"/>
  <c r="R159" i="14"/>
  <c r="Q159" i="14"/>
  <c r="P159" i="14"/>
  <c r="O159" i="14"/>
  <c r="N159" i="14"/>
  <c r="M159" i="14"/>
  <c r="L159" i="14"/>
  <c r="K159" i="14"/>
  <c r="J159" i="14"/>
  <c r="I159" i="14"/>
  <c r="H159" i="14"/>
  <c r="G159" i="14"/>
  <c r="F159" i="14"/>
  <c r="E159" i="14"/>
  <c r="D159" i="14"/>
  <c r="C159" i="14"/>
  <c r="B159" i="14"/>
  <c r="A159" i="14"/>
  <c r="AU158" i="14"/>
  <c r="AT158" i="14"/>
  <c r="AQ158" i="14"/>
  <c r="AP158" i="14"/>
  <c r="AO158" i="14"/>
  <c r="AN158" i="14"/>
  <c r="AL158" i="14"/>
  <c r="AJ158" i="14"/>
  <c r="AI158" i="14"/>
  <c r="AH158" i="14"/>
  <c r="AG158" i="14"/>
  <c r="AF158" i="14"/>
  <c r="AE158" i="14"/>
  <c r="AD158" i="14"/>
  <c r="AC158" i="14"/>
  <c r="AB158" i="14"/>
  <c r="AA158" i="14"/>
  <c r="Z158" i="14"/>
  <c r="Y158" i="14"/>
  <c r="X158" i="14"/>
  <c r="W158" i="14"/>
  <c r="V158" i="14"/>
  <c r="U158" i="14"/>
  <c r="T158" i="14"/>
  <c r="S158" i="14"/>
  <c r="R158" i="14"/>
  <c r="Q158" i="14"/>
  <c r="P158" i="14"/>
  <c r="O158" i="14"/>
  <c r="N158" i="14"/>
  <c r="M158" i="14"/>
  <c r="L158" i="14"/>
  <c r="K158" i="14"/>
  <c r="J158" i="14"/>
  <c r="I158" i="14"/>
  <c r="H158" i="14"/>
  <c r="G158" i="14"/>
  <c r="F158" i="14"/>
  <c r="E158" i="14"/>
  <c r="D158" i="14"/>
  <c r="C158" i="14"/>
  <c r="B158" i="14"/>
  <c r="A158" i="14"/>
  <c r="AU157" i="14"/>
  <c r="AT157" i="14"/>
  <c r="AQ157" i="14"/>
  <c r="AP157" i="14"/>
  <c r="AO157" i="14"/>
  <c r="AN157" i="14"/>
  <c r="AL157" i="14"/>
  <c r="AJ157" i="14"/>
  <c r="AI157" i="14"/>
  <c r="AH157" i="14"/>
  <c r="AG157" i="14"/>
  <c r="AF157" i="14"/>
  <c r="AE157" i="14"/>
  <c r="AD157" i="14"/>
  <c r="AC157" i="14"/>
  <c r="AB157" i="14"/>
  <c r="AA157" i="14"/>
  <c r="Z157" i="14"/>
  <c r="Y157" i="14"/>
  <c r="X157" i="14"/>
  <c r="W157" i="14"/>
  <c r="V157" i="14"/>
  <c r="U157" i="14"/>
  <c r="T157" i="14"/>
  <c r="S157" i="14"/>
  <c r="R157" i="14"/>
  <c r="Q157" i="14"/>
  <c r="P157" i="14"/>
  <c r="O157" i="14"/>
  <c r="N157" i="14"/>
  <c r="M157" i="14"/>
  <c r="L157" i="14"/>
  <c r="K157" i="14"/>
  <c r="J157" i="14"/>
  <c r="I157" i="14"/>
  <c r="H157" i="14"/>
  <c r="G157" i="14"/>
  <c r="F157" i="14"/>
  <c r="E157" i="14"/>
  <c r="D157" i="14"/>
  <c r="C157" i="14"/>
  <c r="B157" i="14"/>
  <c r="A157" i="14"/>
  <c r="AU156" i="14"/>
  <c r="AT156" i="14"/>
  <c r="AQ156" i="14"/>
  <c r="AP156" i="14"/>
  <c r="AO156" i="14"/>
  <c r="AN156" i="14"/>
  <c r="AL156" i="14"/>
  <c r="AJ156" i="14"/>
  <c r="AI156" i="14"/>
  <c r="AH156" i="14"/>
  <c r="AG156" i="14"/>
  <c r="AF156" i="14"/>
  <c r="AE156" i="14"/>
  <c r="AD156" i="14"/>
  <c r="AC156" i="14"/>
  <c r="AB156" i="14"/>
  <c r="AA156" i="14"/>
  <c r="Z156" i="14"/>
  <c r="Y156" i="14"/>
  <c r="X156" i="14"/>
  <c r="W156" i="14"/>
  <c r="V156" i="14"/>
  <c r="U156" i="14"/>
  <c r="T156" i="14"/>
  <c r="S156" i="14"/>
  <c r="R156" i="14"/>
  <c r="Q156" i="14"/>
  <c r="P156" i="14"/>
  <c r="O156" i="14"/>
  <c r="N156" i="14"/>
  <c r="M156" i="14"/>
  <c r="L156" i="14"/>
  <c r="K156" i="14"/>
  <c r="J156" i="14"/>
  <c r="I156" i="14"/>
  <c r="H156" i="14"/>
  <c r="G156" i="14"/>
  <c r="F156" i="14"/>
  <c r="E156" i="14"/>
  <c r="D156" i="14"/>
  <c r="C156" i="14"/>
  <c r="B156" i="14"/>
  <c r="A156" i="14"/>
  <c r="AU155" i="14"/>
  <c r="AT155" i="14"/>
  <c r="AQ155" i="14"/>
  <c r="AP155" i="14"/>
  <c r="AO155" i="14"/>
  <c r="AN155" i="14"/>
  <c r="AL155" i="14"/>
  <c r="AJ155" i="14"/>
  <c r="AI155" i="14"/>
  <c r="AH155" i="14"/>
  <c r="AG155" i="14"/>
  <c r="AF155" i="14"/>
  <c r="AE155" i="14"/>
  <c r="AD155" i="14"/>
  <c r="AC155" i="14"/>
  <c r="AB155" i="14"/>
  <c r="AA155" i="14"/>
  <c r="Z155" i="14"/>
  <c r="Y155" i="14"/>
  <c r="X155" i="14"/>
  <c r="W155" i="14"/>
  <c r="V155" i="14"/>
  <c r="U155" i="14"/>
  <c r="T155" i="14"/>
  <c r="S155" i="14"/>
  <c r="R155" i="14"/>
  <c r="Q155" i="14"/>
  <c r="P155" i="14"/>
  <c r="O155" i="14"/>
  <c r="N155" i="14"/>
  <c r="M155" i="14"/>
  <c r="L155" i="14"/>
  <c r="K155" i="14"/>
  <c r="J155" i="14"/>
  <c r="I155" i="14"/>
  <c r="H155" i="14"/>
  <c r="G155" i="14"/>
  <c r="F155" i="14"/>
  <c r="E155" i="14"/>
  <c r="D155" i="14"/>
  <c r="C155" i="14"/>
  <c r="B155" i="14"/>
  <c r="A155" i="14"/>
  <c r="AU154" i="14"/>
  <c r="AT154" i="14"/>
  <c r="AQ154" i="14"/>
  <c r="AP154" i="14"/>
  <c r="AO154" i="14"/>
  <c r="AN154" i="14"/>
  <c r="AL154" i="14"/>
  <c r="AJ154" i="14"/>
  <c r="AI154" i="14"/>
  <c r="AH154" i="14"/>
  <c r="AG154" i="14"/>
  <c r="AF154" i="14"/>
  <c r="AE154" i="14"/>
  <c r="AD154" i="14"/>
  <c r="AC154" i="14"/>
  <c r="AB154" i="14"/>
  <c r="AA154" i="14"/>
  <c r="Z154" i="14"/>
  <c r="Y154" i="14"/>
  <c r="X154" i="14"/>
  <c r="W154" i="14"/>
  <c r="V154" i="14"/>
  <c r="U154" i="14"/>
  <c r="T154" i="14"/>
  <c r="S154" i="14"/>
  <c r="R154" i="14"/>
  <c r="Q154" i="14"/>
  <c r="P154" i="14"/>
  <c r="O154" i="14"/>
  <c r="N154" i="14"/>
  <c r="M154" i="14"/>
  <c r="L154" i="14"/>
  <c r="K154" i="14"/>
  <c r="J154" i="14"/>
  <c r="I154" i="14"/>
  <c r="H154" i="14"/>
  <c r="G154" i="14"/>
  <c r="F154" i="14"/>
  <c r="E154" i="14"/>
  <c r="D154" i="14"/>
  <c r="C154" i="14"/>
  <c r="B154" i="14"/>
  <c r="A154" i="14"/>
  <c r="AU153" i="14"/>
  <c r="AT153" i="14"/>
  <c r="AQ153" i="14"/>
  <c r="AP153" i="14"/>
  <c r="AO153" i="14"/>
  <c r="AN153" i="14"/>
  <c r="AL153" i="14"/>
  <c r="AJ153" i="14"/>
  <c r="AI153" i="14"/>
  <c r="AH153" i="14"/>
  <c r="AG153" i="14"/>
  <c r="AF153" i="14"/>
  <c r="AE153" i="14"/>
  <c r="AD153" i="14"/>
  <c r="AC153" i="14"/>
  <c r="AB153" i="14"/>
  <c r="AA153" i="14"/>
  <c r="Z153" i="14"/>
  <c r="Y153" i="14"/>
  <c r="X153" i="14"/>
  <c r="W153" i="14"/>
  <c r="V153" i="14"/>
  <c r="U153" i="14"/>
  <c r="T153" i="14"/>
  <c r="S153" i="14"/>
  <c r="R153" i="14"/>
  <c r="Q153" i="14"/>
  <c r="P153" i="14"/>
  <c r="O153" i="14"/>
  <c r="N153" i="14"/>
  <c r="M153" i="14"/>
  <c r="L153" i="14"/>
  <c r="K153" i="14"/>
  <c r="J153" i="14"/>
  <c r="I153" i="14"/>
  <c r="H153" i="14"/>
  <c r="G153" i="14"/>
  <c r="F153" i="14"/>
  <c r="E153" i="14"/>
  <c r="D153" i="14"/>
  <c r="C153" i="14"/>
  <c r="B153" i="14"/>
  <c r="A153" i="14"/>
  <c r="AU152" i="14"/>
  <c r="AT152" i="14"/>
  <c r="AQ152" i="14"/>
  <c r="AP152" i="14"/>
  <c r="AO152" i="14"/>
  <c r="AN152" i="14"/>
  <c r="AL152" i="14"/>
  <c r="AJ152" i="14"/>
  <c r="AI152" i="14"/>
  <c r="AH152" i="14"/>
  <c r="AG152" i="14"/>
  <c r="AF152" i="14"/>
  <c r="AE152" i="14"/>
  <c r="AD152" i="14"/>
  <c r="AC152" i="14"/>
  <c r="AB152" i="14"/>
  <c r="AA152" i="14"/>
  <c r="Z152" i="14"/>
  <c r="Y152" i="14"/>
  <c r="X152" i="14"/>
  <c r="W152" i="14"/>
  <c r="V152" i="14"/>
  <c r="U152" i="14"/>
  <c r="T152" i="14"/>
  <c r="S152" i="14"/>
  <c r="R152" i="14"/>
  <c r="Q152" i="14"/>
  <c r="P152" i="14"/>
  <c r="O152" i="14"/>
  <c r="N152" i="14"/>
  <c r="M152" i="14"/>
  <c r="L152" i="14"/>
  <c r="K152" i="14"/>
  <c r="J152" i="14"/>
  <c r="I152" i="14"/>
  <c r="H152" i="14"/>
  <c r="G152" i="14"/>
  <c r="F152" i="14"/>
  <c r="E152" i="14"/>
  <c r="D152" i="14"/>
  <c r="C152" i="14"/>
  <c r="B152" i="14"/>
  <c r="A152" i="14"/>
  <c r="AU151" i="14"/>
  <c r="AT151" i="14"/>
  <c r="AQ151" i="14"/>
  <c r="AP151" i="14"/>
  <c r="AO151" i="14"/>
  <c r="AN151" i="14"/>
  <c r="AL151" i="14"/>
  <c r="AJ151" i="14"/>
  <c r="AI151" i="14"/>
  <c r="AH151" i="14"/>
  <c r="AG151" i="14"/>
  <c r="AF151" i="14"/>
  <c r="AE151" i="14"/>
  <c r="AD151" i="14"/>
  <c r="AC151" i="14"/>
  <c r="AB151" i="14"/>
  <c r="AA151" i="14"/>
  <c r="Z151" i="14"/>
  <c r="Y151" i="14"/>
  <c r="X151" i="14"/>
  <c r="W151" i="14"/>
  <c r="V151" i="14"/>
  <c r="U151" i="14"/>
  <c r="T151" i="14"/>
  <c r="S151" i="14"/>
  <c r="R151" i="14"/>
  <c r="Q151" i="14"/>
  <c r="P151" i="14"/>
  <c r="O151" i="14"/>
  <c r="N151" i="14"/>
  <c r="M151" i="14"/>
  <c r="L151" i="14"/>
  <c r="K151" i="14"/>
  <c r="J151" i="14"/>
  <c r="I151" i="14"/>
  <c r="H151" i="14"/>
  <c r="G151" i="14"/>
  <c r="F151" i="14"/>
  <c r="E151" i="14"/>
  <c r="D151" i="14"/>
  <c r="C151" i="14"/>
  <c r="B151" i="14"/>
  <c r="A151" i="14"/>
  <c r="AU150" i="14"/>
  <c r="AT150" i="14"/>
  <c r="AQ150" i="14"/>
  <c r="AP150" i="14"/>
  <c r="AO150" i="14"/>
  <c r="AN150" i="14"/>
  <c r="AL150" i="14"/>
  <c r="AJ150" i="14"/>
  <c r="AI150" i="14"/>
  <c r="AH150" i="14"/>
  <c r="AG150" i="14"/>
  <c r="AF150" i="14"/>
  <c r="AE150" i="14"/>
  <c r="AD150" i="14"/>
  <c r="AC150" i="14"/>
  <c r="AB150" i="14"/>
  <c r="AA150" i="14"/>
  <c r="Z150" i="14"/>
  <c r="Y150" i="14"/>
  <c r="X150" i="14"/>
  <c r="W150" i="14"/>
  <c r="V150" i="14"/>
  <c r="U150" i="14"/>
  <c r="T150" i="14"/>
  <c r="S150" i="14"/>
  <c r="R150" i="14"/>
  <c r="Q150" i="14"/>
  <c r="P150" i="14"/>
  <c r="O150" i="14"/>
  <c r="N150" i="14"/>
  <c r="M150" i="14"/>
  <c r="L150" i="14"/>
  <c r="K150" i="14"/>
  <c r="J150" i="14"/>
  <c r="I150" i="14"/>
  <c r="H150" i="14"/>
  <c r="G150" i="14"/>
  <c r="F150" i="14"/>
  <c r="E150" i="14"/>
  <c r="D150" i="14"/>
  <c r="C150" i="14"/>
  <c r="B150" i="14"/>
  <c r="A150" i="14"/>
  <c r="AU149" i="14"/>
  <c r="AT149" i="14"/>
  <c r="AQ149" i="14"/>
  <c r="AP149" i="14"/>
  <c r="AO149" i="14"/>
  <c r="AN149" i="14"/>
  <c r="AL149" i="14"/>
  <c r="AJ149" i="14"/>
  <c r="AI149" i="14"/>
  <c r="AH149" i="14"/>
  <c r="AG149" i="14"/>
  <c r="AF149" i="14"/>
  <c r="AE149" i="14"/>
  <c r="AD149" i="14"/>
  <c r="AC149" i="14"/>
  <c r="AB149" i="14"/>
  <c r="AA149" i="14"/>
  <c r="Z149" i="14"/>
  <c r="Y149" i="14"/>
  <c r="X149" i="14"/>
  <c r="W149" i="14"/>
  <c r="V149" i="14"/>
  <c r="U149" i="14"/>
  <c r="T149" i="14"/>
  <c r="S149" i="14"/>
  <c r="R149" i="14"/>
  <c r="Q149" i="14"/>
  <c r="P149" i="14"/>
  <c r="O149" i="14"/>
  <c r="N149" i="14"/>
  <c r="M149" i="14"/>
  <c r="L149" i="14"/>
  <c r="K149" i="14"/>
  <c r="J149" i="14"/>
  <c r="I149" i="14"/>
  <c r="H149" i="14"/>
  <c r="G149" i="14"/>
  <c r="F149" i="14"/>
  <c r="E149" i="14"/>
  <c r="D149" i="14"/>
  <c r="C149" i="14"/>
  <c r="B149" i="14"/>
  <c r="A149" i="14"/>
  <c r="AU148" i="14"/>
  <c r="AT148" i="14"/>
  <c r="AQ148" i="14"/>
  <c r="AP148" i="14"/>
  <c r="AO148" i="14"/>
  <c r="AN148" i="14"/>
  <c r="AL148" i="14"/>
  <c r="AJ148" i="14"/>
  <c r="AI148" i="14"/>
  <c r="AH148" i="14"/>
  <c r="AG148" i="14"/>
  <c r="AF148" i="14"/>
  <c r="AE148" i="14"/>
  <c r="AD148" i="14"/>
  <c r="AC148" i="14"/>
  <c r="AB148" i="14"/>
  <c r="AA148" i="14"/>
  <c r="Z148" i="14"/>
  <c r="Y148" i="14"/>
  <c r="X148" i="14"/>
  <c r="W148" i="14"/>
  <c r="V148" i="14"/>
  <c r="U148" i="14"/>
  <c r="T148" i="14"/>
  <c r="S148" i="14"/>
  <c r="R148" i="14"/>
  <c r="Q148" i="14"/>
  <c r="P148" i="14"/>
  <c r="O148" i="14"/>
  <c r="N148" i="14"/>
  <c r="M148" i="14"/>
  <c r="L148" i="14"/>
  <c r="K148" i="14"/>
  <c r="J148" i="14"/>
  <c r="I148" i="14"/>
  <c r="H148" i="14"/>
  <c r="G148" i="14"/>
  <c r="F148" i="14"/>
  <c r="E148" i="14"/>
  <c r="D148" i="14"/>
  <c r="C148" i="14"/>
  <c r="B148" i="14"/>
  <c r="A148" i="14"/>
  <c r="AU147" i="14"/>
  <c r="AT147" i="14"/>
  <c r="AQ147" i="14"/>
  <c r="AP147" i="14"/>
  <c r="AO147" i="14"/>
  <c r="AN147" i="14"/>
  <c r="AL147" i="14"/>
  <c r="AJ147" i="14"/>
  <c r="AI147" i="14"/>
  <c r="AH147" i="14"/>
  <c r="AG147" i="14"/>
  <c r="AF147" i="14"/>
  <c r="AE147" i="14"/>
  <c r="AD147" i="14"/>
  <c r="AC147" i="14"/>
  <c r="AB147" i="14"/>
  <c r="AA147" i="14"/>
  <c r="Z147" i="14"/>
  <c r="Y147" i="14"/>
  <c r="X147" i="14"/>
  <c r="W147" i="14"/>
  <c r="V147" i="14"/>
  <c r="U147" i="14"/>
  <c r="T147" i="14"/>
  <c r="S147" i="14"/>
  <c r="R147" i="14"/>
  <c r="Q147" i="14"/>
  <c r="P147" i="14"/>
  <c r="O147" i="14"/>
  <c r="N147" i="14"/>
  <c r="M147" i="14"/>
  <c r="L147" i="14"/>
  <c r="K147" i="14"/>
  <c r="J147" i="14"/>
  <c r="I147" i="14"/>
  <c r="H147" i="14"/>
  <c r="G147" i="14"/>
  <c r="F147" i="14"/>
  <c r="E147" i="14"/>
  <c r="D147" i="14"/>
  <c r="C147" i="14"/>
  <c r="B147" i="14"/>
  <c r="A147" i="14"/>
  <c r="AU146" i="14"/>
  <c r="AT146" i="14"/>
  <c r="AQ146" i="14"/>
  <c r="AP146" i="14"/>
  <c r="AO146" i="14"/>
  <c r="AN146" i="14"/>
  <c r="AL146" i="14"/>
  <c r="AJ146" i="14"/>
  <c r="AI146" i="14"/>
  <c r="AH146" i="14"/>
  <c r="AG146" i="14"/>
  <c r="AF146" i="14"/>
  <c r="AE146" i="14"/>
  <c r="AD146" i="14"/>
  <c r="AC146" i="14"/>
  <c r="AB146" i="14"/>
  <c r="AA146" i="14"/>
  <c r="Z146" i="14"/>
  <c r="Y146" i="14"/>
  <c r="X146" i="14"/>
  <c r="W146" i="14"/>
  <c r="V146" i="14"/>
  <c r="U146" i="14"/>
  <c r="T146" i="14"/>
  <c r="S146" i="14"/>
  <c r="R146" i="14"/>
  <c r="Q146" i="14"/>
  <c r="P146" i="14"/>
  <c r="O146" i="14"/>
  <c r="N146" i="14"/>
  <c r="M146" i="14"/>
  <c r="L146" i="14"/>
  <c r="K146" i="14"/>
  <c r="J146" i="14"/>
  <c r="I146" i="14"/>
  <c r="H146" i="14"/>
  <c r="G146" i="14"/>
  <c r="F146" i="14"/>
  <c r="E146" i="14"/>
  <c r="D146" i="14"/>
  <c r="C146" i="14"/>
  <c r="B146" i="14"/>
  <c r="A146" i="14"/>
  <c r="AU145" i="14"/>
  <c r="AT145" i="14"/>
  <c r="AQ145" i="14"/>
  <c r="AP145" i="14"/>
  <c r="AO145" i="14"/>
  <c r="AN145" i="14"/>
  <c r="AL145" i="14"/>
  <c r="AJ145" i="14"/>
  <c r="AI145" i="14"/>
  <c r="AH145" i="14"/>
  <c r="AG145" i="14"/>
  <c r="AF145" i="14"/>
  <c r="AE145" i="14"/>
  <c r="AD145" i="14"/>
  <c r="AC145" i="14"/>
  <c r="AB145" i="14"/>
  <c r="AA145" i="14"/>
  <c r="Z145" i="14"/>
  <c r="Y145" i="14"/>
  <c r="X145" i="14"/>
  <c r="W145" i="14"/>
  <c r="V145" i="14"/>
  <c r="U145" i="14"/>
  <c r="T145" i="14"/>
  <c r="S145" i="14"/>
  <c r="R145" i="14"/>
  <c r="Q145" i="14"/>
  <c r="P145" i="14"/>
  <c r="O145" i="14"/>
  <c r="N145" i="14"/>
  <c r="M145" i="14"/>
  <c r="L145" i="14"/>
  <c r="K145" i="14"/>
  <c r="J145" i="14"/>
  <c r="I145" i="14"/>
  <c r="H145" i="14"/>
  <c r="G145" i="14"/>
  <c r="F145" i="14"/>
  <c r="E145" i="14"/>
  <c r="D145" i="14"/>
  <c r="C145" i="14"/>
  <c r="B145" i="14"/>
  <c r="A145" i="14"/>
  <c r="AU144" i="14"/>
  <c r="AT144" i="14"/>
  <c r="AQ144" i="14"/>
  <c r="AP144" i="14"/>
  <c r="AO144" i="14"/>
  <c r="AN144" i="14"/>
  <c r="AL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A144" i="14"/>
  <c r="AU143" i="14"/>
  <c r="AT143" i="14"/>
  <c r="AQ143" i="14"/>
  <c r="AP143" i="14"/>
  <c r="AO143" i="14"/>
  <c r="AN143" i="14"/>
  <c r="AL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A143" i="14"/>
  <c r="AU142" i="14"/>
  <c r="AT142" i="14"/>
  <c r="AQ142" i="14"/>
  <c r="AP142" i="14"/>
  <c r="AO142" i="14"/>
  <c r="AN142" i="14"/>
  <c r="AL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A142" i="14"/>
  <c r="AU141" i="14"/>
  <c r="AT141" i="14"/>
  <c r="AQ141" i="14"/>
  <c r="AP141" i="14"/>
  <c r="AO141" i="14"/>
  <c r="AN141" i="14"/>
  <c r="AL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A141" i="14"/>
  <c r="AU140" i="14"/>
  <c r="AT140" i="14"/>
  <c r="AQ140" i="14"/>
  <c r="AP140" i="14"/>
  <c r="AO140" i="14"/>
  <c r="AN140" i="14"/>
  <c r="AL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A140" i="14"/>
  <c r="AU139" i="14"/>
  <c r="AT139" i="14"/>
  <c r="AQ139" i="14"/>
  <c r="AP139" i="14"/>
  <c r="AO139" i="14"/>
  <c r="AN139" i="14"/>
  <c r="AL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A139" i="14"/>
  <c r="AU138" i="14"/>
  <c r="AT138" i="14"/>
  <c r="AQ138" i="14"/>
  <c r="AP138" i="14"/>
  <c r="AO138" i="14"/>
  <c r="AN138" i="14"/>
  <c r="AL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A138" i="14"/>
  <c r="AU137" i="14"/>
  <c r="AT137" i="14"/>
  <c r="AQ137" i="14"/>
  <c r="AP137" i="14"/>
  <c r="AO137" i="14"/>
  <c r="AN137" i="14"/>
  <c r="AL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A137" i="14"/>
  <c r="AU136" i="14"/>
  <c r="AT136" i="14"/>
  <c r="AQ136" i="14"/>
  <c r="AP136" i="14"/>
  <c r="AO136" i="14"/>
  <c r="AN136" i="14"/>
  <c r="AL136" i="14"/>
  <c r="AJ136" i="14"/>
  <c r="AI136" i="14"/>
  <c r="AH136" i="14"/>
  <c r="AG136" i="14"/>
  <c r="AF136" i="14"/>
  <c r="AE136" i="14"/>
  <c r="AD136" i="14"/>
  <c r="AC136" i="14"/>
  <c r="AB136" i="14"/>
  <c r="AA136" i="14"/>
  <c r="Z136" i="14"/>
  <c r="Y136" i="14"/>
  <c r="X136" i="14"/>
  <c r="W136" i="14"/>
  <c r="V136" i="14"/>
  <c r="U136" i="14"/>
  <c r="T136" i="14"/>
  <c r="S136" i="14"/>
  <c r="R136" i="14"/>
  <c r="Q136" i="14"/>
  <c r="P136" i="14"/>
  <c r="O136" i="14"/>
  <c r="N136" i="14"/>
  <c r="M136" i="14"/>
  <c r="L136" i="14"/>
  <c r="K136" i="14"/>
  <c r="J136" i="14"/>
  <c r="I136" i="14"/>
  <c r="H136" i="14"/>
  <c r="G136" i="14"/>
  <c r="F136" i="14"/>
  <c r="E136" i="14"/>
  <c r="D136" i="14"/>
  <c r="C136" i="14"/>
  <c r="B136" i="14"/>
  <c r="A136" i="14"/>
  <c r="AU135" i="14"/>
  <c r="AT135" i="14"/>
  <c r="AQ135" i="14"/>
  <c r="AP135" i="14"/>
  <c r="AO135" i="14"/>
  <c r="AN135" i="14"/>
  <c r="AL135" i="14"/>
  <c r="AJ135" i="14"/>
  <c r="AI135" i="14"/>
  <c r="AH135" i="14"/>
  <c r="AG135" i="14"/>
  <c r="AF135" i="14"/>
  <c r="AE135" i="14"/>
  <c r="AD135" i="14"/>
  <c r="AC135" i="14"/>
  <c r="AB135" i="14"/>
  <c r="AA135" i="14"/>
  <c r="Z135" i="14"/>
  <c r="Y135" i="14"/>
  <c r="X135" i="14"/>
  <c r="W135" i="14"/>
  <c r="V135" i="14"/>
  <c r="U135" i="14"/>
  <c r="T135" i="14"/>
  <c r="S135" i="14"/>
  <c r="R135" i="14"/>
  <c r="Q135" i="14"/>
  <c r="P135" i="14"/>
  <c r="O135" i="14"/>
  <c r="N135" i="14"/>
  <c r="M135" i="14"/>
  <c r="L135" i="14"/>
  <c r="K135" i="14"/>
  <c r="J135" i="14"/>
  <c r="I135" i="14"/>
  <c r="H135" i="14"/>
  <c r="G135" i="14"/>
  <c r="F135" i="14"/>
  <c r="E135" i="14"/>
  <c r="D135" i="14"/>
  <c r="C135" i="14"/>
  <c r="B135" i="14"/>
  <c r="A135" i="14"/>
  <c r="AU134" i="14"/>
  <c r="AT134" i="14"/>
  <c r="AQ134" i="14"/>
  <c r="AP134" i="14"/>
  <c r="AO134" i="14"/>
  <c r="AN134" i="14"/>
  <c r="AL134" i="14"/>
  <c r="AJ134" i="14"/>
  <c r="AI134" i="14"/>
  <c r="AH134" i="14"/>
  <c r="AG134" i="14"/>
  <c r="AF134" i="14"/>
  <c r="AE134" i="14"/>
  <c r="AD134" i="14"/>
  <c r="AC134" i="14"/>
  <c r="AB134" i="14"/>
  <c r="AA134" i="14"/>
  <c r="Z134" i="14"/>
  <c r="Y134" i="14"/>
  <c r="X134" i="14"/>
  <c r="W134" i="14"/>
  <c r="V134" i="14"/>
  <c r="U134" i="14"/>
  <c r="T134" i="14"/>
  <c r="S134" i="14"/>
  <c r="R134" i="14"/>
  <c r="Q134" i="14"/>
  <c r="P134" i="14"/>
  <c r="O134" i="14"/>
  <c r="N134" i="14"/>
  <c r="M134" i="14"/>
  <c r="L134" i="14"/>
  <c r="K134" i="14"/>
  <c r="J134" i="14"/>
  <c r="I134" i="14"/>
  <c r="H134" i="14"/>
  <c r="G134" i="14"/>
  <c r="F134" i="14"/>
  <c r="E134" i="14"/>
  <c r="D134" i="14"/>
  <c r="C134" i="14"/>
  <c r="B134" i="14"/>
  <c r="A134" i="14"/>
  <c r="AU133" i="14"/>
  <c r="AT133" i="14"/>
  <c r="AQ133" i="14"/>
  <c r="AP133" i="14"/>
  <c r="AO133" i="14"/>
  <c r="AN133" i="14"/>
  <c r="AL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A133" i="14"/>
  <c r="AU132" i="14"/>
  <c r="AT132" i="14"/>
  <c r="AQ132" i="14"/>
  <c r="AP132" i="14"/>
  <c r="AO132" i="14"/>
  <c r="AN132" i="14"/>
  <c r="AL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A132" i="14"/>
  <c r="AU131" i="14"/>
  <c r="AT131" i="14"/>
  <c r="AQ131" i="14"/>
  <c r="AP131" i="14"/>
  <c r="AO131" i="14"/>
  <c r="AN131" i="14"/>
  <c r="AL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A131" i="14"/>
  <c r="AU130" i="14"/>
  <c r="AT130" i="14"/>
  <c r="AQ130" i="14"/>
  <c r="AP130" i="14"/>
  <c r="AO130" i="14"/>
  <c r="AN130" i="14"/>
  <c r="AL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A130" i="14"/>
  <c r="AU129" i="14"/>
  <c r="AT129" i="14"/>
  <c r="AQ129" i="14"/>
  <c r="AP129" i="14"/>
  <c r="AO129" i="14"/>
  <c r="AN129" i="14"/>
  <c r="AL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A129" i="14"/>
  <c r="AU128" i="14"/>
  <c r="AT128" i="14"/>
  <c r="AQ128" i="14"/>
  <c r="AP128" i="14"/>
  <c r="AO128" i="14"/>
  <c r="AN128" i="14"/>
  <c r="AL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A128" i="14"/>
  <c r="AU127" i="14"/>
  <c r="AT127" i="14"/>
  <c r="AQ127" i="14"/>
  <c r="AP127" i="14"/>
  <c r="AO127" i="14"/>
  <c r="AN127" i="14"/>
  <c r="AL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A127" i="14"/>
  <c r="AU126" i="14"/>
  <c r="AT126" i="14"/>
  <c r="AQ126" i="14"/>
  <c r="AP126" i="14"/>
  <c r="AO126" i="14"/>
  <c r="AN126" i="14"/>
  <c r="AL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A126" i="14"/>
  <c r="AU125" i="14"/>
  <c r="AT125" i="14"/>
  <c r="AQ125" i="14"/>
  <c r="AP125" i="14"/>
  <c r="AO125" i="14"/>
  <c r="AN125" i="14"/>
  <c r="AL125" i="14"/>
  <c r="AJ125" i="14"/>
  <c r="AI125" i="14"/>
  <c r="AH125" i="14"/>
  <c r="AG125" i="14"/>
  <c r="AF125" i="14"/>
  <c r="AE125" i="14"/>
  <c r="AD125" i="14"/>
  <c r="AC125" i="14"/>
  <c r="AB125" i="14"/>
  <c r="AA125" i="14"/>
  <c r="Z125" i="14"/>
  <c r="Y125" i="14"/>
  <c r="X125" i="14"/>
  <c r="W125" i="14"/>
  <c r="V125" i="14"/>
  <c r="U125" i="14"/>
  <c r="T125" i="14"/>
  <c r="S125" i="14"/>
  <c r="R125" i="14"/>
  <c r="Q125" i="14"/>
  <c r="P125" i="14"/>
  <c r="O125" i="14"/>
  <c r="N125" i="14"/>
  <c r="M125" i="14"/>
  <c r="L125" i="14"/>
  <c r="K125" i="14"/>
  <c r="J125" i="14"/>
  <c r="I125" i="14"/>
  <c r="H125" i="14"/>
  <c r="G125" i="14"/>
  <c r="F125" i="14"/>
  <c r="E125" i="14"/>
  <c r="D125" i="14"/>
  <c r="C125" i="14"/>
  <c r="B125" i="14"/>
  <c r="A125" i="14"/>
  <c r="AU124" i="14"/>
  <c r="AT124" i="14"/>
  <c r="AQ124" i="14"/>
  <c r="AP124" i="14"/>
  <c r="AO124" i="14"/>
  <c r="AN124" i="14"/>
  <c r="AL124" i="14"/>
  <c r="AJ124" i="14"/>
  <c r="AI124" i="14"/>
  <c r="AH124" i="14"/>
  <c r="AG124" i="14"/>
  <c r="AF124" i="14"/>
  <c r="AE124" i="14"/>
  <c r="AD124" i="14"/>
  <c r="AC124" i="14"/>
  <c r="AB124" i="14"/>
  <c r="AA124" i="14"/>
  <c r="Z124" i="14"/>
  <c r="Y124" i="14"/>
  <c r="X124" i="14"/>
  <c r="W124" i="14"/>
  <c r="V124" i="14"/>
  <c r="U124" i="14"/>
  <c r="T124" i="14"/>
  <c r="S124" i="14"/>
  <c r="R124" i="14"/>
  <c r="Q124" i="14"/>
  <c r="P124" i="14"/>
  <c r="O124" i="14"/>
  <c r="N124" i="14"/>
  <c r="M124" i="14"/>
  <c r="L124" i="14"/>
  <c r="K124" i="14"/>
  <c r="J124" i="14"/>
  <c r="I124" i="14"/>
  <c r="H124" i="14"/>
  <c r="G124" i="14"/>
  <c r="F124" i="14"/>
  <c r="E124" i="14"/>
  <c r="D124" i="14"/>
  <c r="C124" i="14"/>
  <c r="B124" i="14"/>
  <c r="A124" i="14"/>
  <c r="AU123" i="14"/>
  <c r="AT123" i="14"/>
  <c r="AQ123" i="14"/>
  <c r="AP123" i="14"/>
  <c r="AO123" i="14"/>
  <c r="AN123" i="14"/>
  <c r="AL123" i="14"/>
  <c r="AJ123" i="14"/>
  <c r="AI123" i="14"/>
  <c r="AH123" i="14"/>
  <c r="AG123" i="14"/>
  <c r="AF123" i="14"/>
  <c r="AE123" i="14"/>
  <c r="AD123" i="14"/>
  <c r="AC123" i="14"/>
  <c r="AB123" i="14"/>
  <c r="AA123" i="14"/>
  <c r="Z123" i="14"/>
  <c r="Y123" i="14"/>
  <c r="X123" i="14"/>
  <c r="W123" i="14"/>
  <c r="V123" i="14"/>
  <c r="U123" i="14"/>
  <c r="T123" i="14"/>
  <c r="S123" i="14"/>
  <c r="R123" i="14"/>
  <c r="Q123" i="14"/>
  <c r="P123" i="14"/>
  <c r="O123" i="14"/>
  <c r="N123" i="14"/>
  <c r="M123" i="14"/>
  <c r="L123" i="14"/>
  <c r="K123" i="14"/>
  <c r="J123" i="14"/>
  <c r="I123" i="14"/>
  <c r="H123" i="14"/>
  <c r="G123" i="14"/>
  <c r="F123" i="14"/>
  <c r="E123" i="14"/>
  <c r="D123" i="14"/>
  <c r="C123" i="14"/>
  <c r="B123" i="14"/>
  <c r="A123" i="14"/>
  <c r="AU122" i="14"/>
  <c r="AT122" i="14"/>
  <c r="AQ122" i="14"/>
  <c r="AP122" i="14"/>
  <c r="AO122" i="14"/>
  <c r="AN122" i="14"/>
  <c r="AL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A122" i="14"/>
  <c r="AU121" i="14"/>
  <c r="AT121" i="14"/>
  <c r="AQ121" i="14"/>
  <c r="AP121" i="14"/>
  <c r="AO121" i="14"/>
  <c r="AN121" i="14"/>
  <c r="AL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A121" i="14"/>
  <c r="AU120" i="14"/>
  <c r="AT120" i="14"/>
  <c r="AQ120" i="14"/>
  <c r="AP120" i="14"/>
  <c r="AO120" i="14"/>
  <c r="AN120" i="14"/>
  <c r="AL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A120" i="14"/>
  <c r="AU119" i="14"/>
  <c r="AT119" i="14"/>
  <c r="AQ119" i="14"/>
  <c r="AP119" i="14"/>
  <c r="AO119" i="14"/>
  <c r="AN119" i="14"/>
  <c r="AL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A119" i="14"/>
  <c r="AU118" i="14"/>
  <c r="AT118" i="14"/>
  <c r="AQ118" i="14"/>
  <c r="AP118" i="14"/>
  <c r="AO118" i="14"/>
  <c r="AN118" i="14"/>
  <c r="AL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A118" i="14"/>
  <c r="AU117" i="14"/>
  <c r="AT117" i="14"/>
  <c r="AQ117" i="14"/>
  <c r="AP117" i="14"/>
  <c r="AO117" i="14"/>
  <c r="AN117" i="14"/>
  <c r="AL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A117" i="14"/>
  <c r="AU116" i="14"/>
  <c r="AT116" i="14"/>
  <c r="AQ116" i="14"/>
  <c r="AP116" i="14"/>
  <c r="AO116" i="14"/>
  <c r="AN116" i="14"/>
  <c r="AL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A116" i="14"/>
  <c r="AU115" i="14"/>
  <c r="AT115" i="14"/>
  <c r="AQ115" i="14"/>
  <c r="AP115" i="14"/>
  <c r="AO115" i="14"/>
  <c r="AN115" i="14"/>
  <c r="AL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A115" i="14"/>
  <c r="AU114" i="14"/>
  <c r="AT114" i="14"/>
  <c r="AQ114" i="14"/>
  <c r="AP114" i="14"/>
  <c r="AO114" i="14"/>
  <c r="AN114" i="14"/>
  <c r="AL114" i="14"/>
  <c r="AJ114" i="14"/>
  <c r="AI114" i="14"/>
  <c r="AH114" i="14"/>
  <c r="AG114" i="14"/>
  <c r="AF114" i="14"/>
  <c r="AE114" i="14"/>
  <c r="AD114" i="14"/>
  <c r="AC114" i="14"/>
  <c r="AB114" i="14"/>
  <c r="AA114" i="14"/>
  <c r="Z114" i="14"/>
  <c r="Y114" i="14"/>
  <c r="X114" i="14"/>
  <c r="W114" i="14"/>
  <c r="V114" i="14"/>
  <c r="U114" i="14"/>
  <c r="T114" i="14"/>
  <c r="S114" i="14"/>
  <c r="R114" i="14"/>
  <c r="Q114" i="14"/>
  <c r="P114" i="14"/>
  <c r="O114" i="14"/>
  <c r="N114" i="14"/>
  <c r="M114" i="14"/>
  <c r="L114" i="14"/>
  <c r="K114" i="14"/>
  <c r="J114" i="14"/>
  <c r="I114" i="14"/>
  <c r="H114" i="14"/>
  <c r="G114" i="14"/>
  <c r="F114" i="14"/>
  <c r="E114" i="14"/>
  <c r="D114" i="14"/>
  <c r="C114" i="14"/>
  <c r="B114" i="14"/>
  <c r="A114" i="14"/>
  <c r="AU113" i="14"/>
  <c r="AT113" i="14"/>
  <c r="AQ113" i="14"/>
  <c r="AP113" i="14"/>
  <c r="AO113" i="14"/>
  <c r="AN113" i="14"/>
  <c r="AL113" i="14"/>
  <c r="AJ113" i="14"/>
  <c r="AI113" i="14"/>
  <c r="AH113" i="14"/>
  <c r="AG113" i="14"/>
  <c r="AF113" i="14"/>
  <c r="AE113" i="14"/>
  <c r="AD113" i="14"/>
  <c r="AC113" i="14"/>
  <c r="AB113" i="14"/>
  <c r="AA113" i="14"/>
  <c r="Z113" i="14"/>
  <c r="Y113" i="14"/>
  <c r="X113" i="14"/>
  <c r="W113" i="14"/>
  <c r="V113" i="14"/>
  <c r="U113" i="14"/>
  <c r="T113" i="14"/>
  <c r="S113" i="14"/>
  <c r="R113" i="14"/>
  <c r="Q113" i="14"/>
  <c r="P113" i="14"/>
  <c r="O113" i="14"/>
  <c r="N113" i="14"/>
  <c r="M113" i="14"/>
  <c r="L113" i="14"/>
  <c r="K113" i="14"/>
  <c r="J113" i="14"/>
  <c r="I113" i="14"/>
  <c r="H113" i="14"/>
  <c r="G113" i="14"/>
  <c r="F113" i="14"/>
  <c r="E113" i="14"/>
  <c r="D113" i="14"/>
  <c r="C113" i="14"/>
  <c r="B113" i="14"/>
  <c r="A113" i="14"/>
  <c r="AU112" i="14"/>
  <c r="AT112" i="14"/>
  <c r="AQ112" i="14"/>
  <c r="AP112" i="14"/>
  <c r="AO112" i="14"/>
  <c r="AN112" i="14"/>
  <c r="AL112" i="14"/>
  <c r="AJ112" i="14"/>
  <c r="AI112" i="14"/>
  <c r="AH112" i="14"/>
  <c r="AG112" i="14"/>
  <c r="AF112" i="14"/>
  <c r="AE112" i="14"/>
  <c r="AD112" i="14"/>
  <c r="AC112" i="14"/>
  <c r="AB112" i="14"/>
  <c r="AA112" i="14"/>
  <c r="Z112" i="14"/>
  <c r="Y112" i="14"/>
  <c r="X112" i="14"/>
  <c r="W112" i="14"/>
  <c r="V112" i="14"/>
  <c r="U112" i="14"/>
  <c r="T112" i="14"/>
  <c r="S112" i="14"/>
  <c r="R112" i="14"/>
  <c r="Q112" i="14"/>
  <c r="P112" i="14"/>
  <c r="O112" i="14"/>
  <c r="N112" i="14"/>
  <c r="M112" i="14"/>
  <c r="L112" i="14"/>
  <c r="K112" i="14"/>
  <c r="J112" i="14"/>
  <c r="I112" i="14"/>
  <c r="H112" i="14"/>
  <c r="G112" i="14"/>
  <c r="F112" i="14"/>
  <c r="E112" i="14"/>
  <c r="D112" i="14"/>
  <c r="C112" i="14"/>
  <c r="B112" i="14"/>
  <c r="A112" i="14"/>
  <c r="AU111" i="14"/>
  <c r="AT111" i="14"/>
  <c r="AQ111" i="14"/>
  <c r="AP111" i="14"/>
  <c r="AO111" i="14"/>
  <c r="AN111" i="14"/>
  <c r="AL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A111" i="14"/>
  <c r="AU110" i="14"/>
  <c r="AT110" i="14"/>
  <c r="AQ110" i="14"/>
  <c r="AP110" i="14"/>
  <c r="AO110" i="14"/>
  <c r="AN110" i="14"/>
  <c r="AL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A110" i="14"/>
  <c r="AU109" i="14"/>
  <c r="AT109" i="14"/>
  <c r="AQ109" i="14"/>
  <c r="AP109" i="14"/>
  <c r="AO109" i="14"/>
  <c r="AN109" i="14"/>
  <c r="AL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A109" i="14"/>
  <c r="AU108" i="14"/>
  <c r="AT108" i="14"/>
  <c r="AQ108" i="14"/>
  <c r="AP108" i="14"/>
  <c r="AO108" i="14"/>
  <c r="AN108" i="14"/>
  <c r="AL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A108" i="14"/>
  <c r="AU107" i="14"/>
  <c r="AT107" i="14"/>
  <c r="AQ107" i="14"/>
  <c r="AP107" i="14"/>
  <c r="AO107" i="14"/>
  <c r="AN107" i="14"/>
  <c r="AL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A107" i="14"/>
  <c r="AU106" i="14"/>
  <c r="AT106" i="14"/>
  <c r="AQ106" i="14"/>
  <c r="AP106" i="14"/>
  <c r="AO106" i="14"/>
  <c r="AN106" i="14"/>
  <c r="AL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A106" i="14"/>
  <c r="AU105" i="14"/>
  <c r="AT105" i="14"/>
  <c r="AQ105" i="14"/>
  <c r="AP105" i="14"/>
  <c r="AO105" i="14"/>
  <c r="AN105" i="14"/>
  <c r="AL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A105" i="14"/>
  <c r="AU104" i="14"/>
  <c r="AT104" i="14"/>
  <c r="AQ104" i="14"/>
  <c r="AP104" i="14"/>
  <c r="AO104" i="14"/>
  <c r="AN104" i="14"/>
  <c r="AL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A104" i="14"/>
  <c r="AU103" i="14"/>
  <c r="AT103" i="14"/>
  <c r="AQ103" i="14"/>
  <c r="AP103" i="14"/>
  <c r="AO103" i="14"/>
  <c r="AN103" i="14"/>
  <c r="AL103" i="14"/>
  <c r="AJ103" i="14"/>
  <c r="AI103" i="14"/>
  <c r="AH103" i="14"/>
  <c r="AG103" i="14"/>
  <c r="AF103" i="14"/>
  <c r="AE103" i="14"/>
  <c r="AD103" i="14"/>
  <c r="AC103" i="14"/>
  <c r="AB103" i="14"/>
  <c r="AA103" i="14"/>
  <c r="Z103" i="14"/>
  <c r="Y103" i="14"/>
  <c r="X103" i="14"/>
  <c r="W103" i="14"/>
  <c r="V103" i="14"/>
  <c r="U103" i="14"/>
  <c r="T103" i="14"/>
  <c r="S103" i="14"/>
  <c r="R103" i="14"/>
  <c r="Q103" i="14"/>
  <c r="P103" i="14"/>
  <c r="O103" i="14"/>
  <c r="N103" i="14"/>
  <c r="M103" i="14"/>
  <c r="L103" i="14"/>
  <c r="K103" i="14"/>
  <c r="J103" i="14"/>
  <c r="I103" i="14"/>
  <c r="H103" i="14"/>
  <c r="G103" i="14"/>
  <c r="F103" i="14"/>
  <c r="E103" i="14"/>
  <c r="D103" i="14"/>
  <c r="C103" i="14"/>
  <c r="B103" i="14"/>
  <c r="A103" i="14"/>
  <c r="AU102" i="14"/>
  <c r="AT102" i="14"/>
  <c r="AQ102" i="14"/>
  <c r="AP102" i="14"/>
  <c r="AO102" i="14"/>
  <c r="AN102" i="14"/>
  <c r="AL102" i="14"/>
  <c r="AJ102" i="14"/>
  <c r="AI102" i="14"/>
  <c r="AH102" i="14"/>
  <c r="AG102" i="14"/>
  <c r="AF102" i="14"/>
  <c r="AE102" i="14"/>
  <c r="AD102" i="14"/>
  <c r="AC102" i="14"/>
  <c r="AB102" i="14"/>
  <c r="AA102" i="14"/>
  <c r="Z102" i="14"/>
  <c r="Y102" i="14"/>
  <c r="X102" i="14"/>
  <c r="W102" i="14"/>
  <c r="V102" i="14"/>
  <c r="U102" i="14"/>
  <c r="T102" i="14"/>
  <c r="S102" i="14"/>
  <c r="R102" i="14"/>
  <c r="Q102" i="14"/>
  <c r="P102" i="14"/>
  <c r="O102" i="14"/>
  <c r="N102" i="14"/>
  <c r="M102" i="14"/>
  <c r="L102" i="14"/>
  <c r="K102" i="14"/>
  <c r="J102" i="14"/>
  <c r="I102" i="14"/>
  <c r="H102" i="14"/>
  <c r="G102" i="14"/>
  <c r="F102" i="14"/>
  <c r="E102" i="14"/>
  <c r="D102" i="14"/>
  <c r="C102" i="14"/>
  <c r="B102" i="14"/>
  <c r="A102" i="14"/>
  <c r="AU101" i="14"/>
  <c r="AT101" i="14"/>
  <c r="AQ101" i="14"/>
  <c r="AP101" i="14"/>
  <c r="AO101" i="14"/>
  <c r="AN101" i="14"/>
  <c r="AL101" i="14"/>
  <c r="AJ101" i="14"/>
  <c r="AI101" i="14"/>
  <c r="AH101" i="14"/>
  <c r="AG101" i="14"/>
  <c r="AF101" i="14"/>
  <c r="AE101" i="14"/>
  <c r="AD101" i="14"/>
  <c r="AC101" i="14"/>
  <c r="AB101" i="14"/>
  <c r="AA101" i="14"/>
  <c r="Z101" i="14"/>
  <c r="Y101" i="14"/>
  <c r="X101" i="14"/>
  <c r="W101" i="14"/>
  <c r="V101" i="14"/>
  <c r="U101" i="14"/>
  <c r="T101" i="14"/>
  <c r="S101" i="14"/>
  <c r="R101" i="14"/>
  <c r="Q101" i="14"/>
  <c r="P101" i="14"/>
  <c r="O101" i="14"/>
  <c r="N101" i="14"/>
  <c r="M101" i="14"/>
  <c r="L101" i="14"/>
  <c r="K101" i="14"/>
  <c r="J101" i="14"/>
  <c r="I101" i="14"/>
  <c r="H101" i="14"/>
  <c r="G101" i="14"/>
  <c r="F101" i="14"/>
  <c r="E101" i="14"/>
  <c r="D101" i="14"/>
  <c r="C101" i="14"/>
  <c r="B101" i="14"/>
  <c r="A101" i="14"/>
  <c r="AU100" i="14"/>
  <c r="AT100" i="14"/>
  <c r="AQ100" i="14"/>
  <c r="AP100" i="14"/>
  <c r="AO100" i="14"/>
  <c r="AN100" i="14"/>
  <c r="AL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A100" i="14"/>
  <c r="AU99" i="14"/>
  <c r="AT99" i="14"/>
  <c r="AQ99" i="14"/>
  <c r="AP99" i="14"/>
  <c r="AO99" i="14"/>
  <c r="AN99" i="14"/>
  <c r="AL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A99" i="14"/>
  <c r="AU98" i="14"/>
  <c r="AT98" i="14"/>
  <c r="AQ98" i="14"/>
  <c r="AP98" i="14"/>
  <c r="AO98" i="14"/>
  <c r="AN98" i="14"/>
  <c r="AL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A98" i="14"/>
  <c r="AU97" i="14"/>
  <c r="AT97" i="14"/>
  <c r="AQ97" i="14"/>
  <c r="AP97" i="14"/>
  <c r="AO97" i="14"/>
  <c r="AN97" i="14"/>
  <c r="AL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A97" i="14"/>
  <c r="AU96" i="14"/>
  <c r="AT96" i="14"/>
  <c r="AQ96" i="14"/>
  <c r="AP96" i="14"/>
  <c r="AO96" i="14"/>
  <c r="AN96" i="14"/>
  <c r="AL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A96" i="14"/>
  <c r="AU95" i="14"/>
  <c r="AT95" i="14"/>
  <c r="AQ95" i="14"/>
  <c r="AP95" i="14"/>
  <c r="AO95" i="14"/>
  <c r="AN95" i="14"/>
  <c r="AL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A95" i="14"/>
  <c r="AU94" i="14"/>
  <c r="AT94" i="14"/>
  <c r="AQ94" i="14"/>
  <c r="AP94" i="14"/>
  <c r="AO94" i="14"/>
  <c r="AN94" i="14"/>
  <c r="AL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A94" i="14"/>
  <c r="AU93" i="14"/>
  <c r="AT93" i="14"/>
  <c r="AQ93" i="14"/>
  <c r="AP93" i="14"/>
  <c r="AO93" i="14"/>
  <c r="AN93" i="14"/>
  <c r="AL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A93" i="14"/>
  <c r="AU92" i="14"/>
  <c r="AT92" i="14"/>
  <c r="AQ92" i="14"/>
  <c r="AP92" i="14"/>
  <c r="AO92" i="14"/>
  <c r="AN92" i="14"/>
  <c r="AL92" i="14"/>
  <c r="AJ92" i="14"/>
  <c r="AI92" i="14"/>
  <c r="AH92" i="14"/>
  <c r="AG92" i="14"/>
  <c r="AF92" i="14"/>
  <c r="AE92" i="14"/>
  <c r="AD92" i="14"/>
  <c r="AC92" i="14"/>
  <c r="AB92" i="14"/>
  <c r="AA92" i="14"/>
  <c r="Z92" i="14"/>
  <c r="Y92" i="14"/>
  <c r="X92" i="14"/>
  <c r="W92" i="14"/>
  <c r="V92" i="14"/>
  <c r="U92" i="14"/>
  <c r="T92" i="14"/>
  <c r="S92" i="14"/>
  <c r="R92" i="14"/>
  <c r="Q92" i="14"/>
  <c r="P92" i="14"/>
  <c r="O92" i="14"/>
  <c r="N92" i="14"/>
  <c r="M92" i="14"/>
  <c r="L92" i="14"/>
  <c r="K92" i="14"/>
  <c r="J92" i="14"/>
  <c r="I92" i="14"/>
  <c r="H92" i="14"/>
  <c r="G92" i="14"/>
  <c r="F92" i="14"/>
  <c r="E92" i="14"/>
  <c r="D92" i="14"/>
  <c r="C92" i="14"/>
  <c r="B92" i="14"/>
  <c r="A92" i="14"/>
  <c r="AU91" i="14"/>
  <c r="AT91" i="14"/>
  <c r="AQ91" i="14"/>
  <c r="AP91" i="14"/>
  <c r="AO91" i="14"/>
  <c r="AN91" i="14"/>
  <c r="AL91" i="14"/>
  <c r="AJ91" i="14"/>
  <c r="AI91" i="14"/>
  <c r="AH91" i="14"/>
  <c r="AG91" i="14"/>
  <c r="AF91" i="14"/>
  <c r="AE91" i="14"/>
  <c r="AD91" i="14"/>
  <c r="AC91" i="14"/>
  <c r="AB91" i="14"/>
  <c r="AA91" i="14"/>
  <c r="Z91" i="14"/>
  <c r="Y91" i="14"/>
  <c r="X91" i="14"/>
  <c r="W91" i="14"/>
  <c r="V91" i="14"/>
  <c r="U91" i="14"/>
  <c r="T91" i="14"/>
  <c r="S91" i="14"/>
  <c r="R91" i="14"/>
  <c r="Q91" i="14"/>
  <c r="P91" i="14"/>
  <c r="O91" i="14"/>
  <c r="N91" i="14"/>
  <c r="M91" i="14"/>
  <c r="L91" i="14"/>
  <c r="K91" i="14"/>
  <c r="J91" i="14"/>
  <c r="I91" i="14"/>
  <c r="H91" i="14"/>
  <c r="G91" i="14"/>
  <c r="F91" i="14"/>
  <c r="E91" i="14"/>
  <c r="D91" i="14"/>
  <c r="C91" i="14"/>
  <c r="B91" i="14"/>
  <c r="A91" i="14"/>
  <c r="AU90" i="14"/>
  <c r="AT90" i="14"/>
  <c r="AQ90" i="14"/>
  <c r="AP90" i="14"/>
  <c r="AO90" i="14"/>
  <c r="AN90" i="14"/>
  <c r="AL90" i="14"/>
  <c r="AJ90" i="14"/>
  <c r="AI90" i="14"/>
  <c r="AH90" i="14"/>
  <c r="AG90" i="14"/>
  <c r="AF90" i="14"/>
  <c r="AE90" i="14"/>
  <c r="AD90" i="14"/>
  <c r="AC90" i="14"/>
  <c r="AB90" i="14"/>
  <c r="AA90" i="14"/>
  <c r="Z90" i="14"/>
  <c r="Y90" i="14"/>
  <c r="X90" i="14"/>
  <c r="W90" i="14"/>
  <c r="V90" i="14"/>
  <c r="U90" i="14"/>
  <c r="T90" i="14"/>
  <c r="S90" i="14"/>
  <c r="R90" i="14"/>
  <c r="Q90" i="14"/>
  <c r="P90" i="14"/>
  <c r="O90" i="14"/>
  <c r="N90" i="14"/>
  <c r="M90" i="14"/>
  <c r="L90" i="14"/>
  <c r="K90" i="14"/>
  <c r="J90" i="14"/>
  <c r="I90" i="14"/>
  <c r="H90" i="14"/>
  <c r="G90" i="14"/>
  <c r="F90" i="14"/>
  <c r="E90" i="14"/>
  <c r="D90" i="14"/>
  <c r="C90" i="14"/>
  <c r="B90" i="14"/>
  <c r="A90" i="14"/>
  <c r="AU89" i="14"/>
  <c r="AT89" i="14"/>
  <c r="AQ89" i="14"/>
  <c r="AP89" i="14"/>
  <c r="AO89" i="14"/>
  <c r="AN89" i="14"/>
  <c r="AL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A89" i="14"/>
  <c r="AU88" i="14"/>
  <c r="AT88" i="14"/>
  <c r="AQ88" i="14"/>
  <c r="AP88" i="14"/>
  <c r="AO88" i="14"/>
  <c r="AN88" i="14"/>
  <c r="AL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A88" i="14"/>
  <c r="AU87" i="14"/>
  <c r="AT87" i="14"/>
  <c r="AQ87" i="14"/>
  <c r="AP87" i="14"/>
  <c r="AO87" i="14"/>
  <c r="AN87" i="14"/>
  <c r="AL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A87" i="14"/>
  <c r="AU86" i="14"/>
  <c r="AT86" i="14"/>
  <c r="AQ86" i="14"/>
  <c r="AP86" i="14"/>
  <c r="AO86" i="14"/>
  <c r="AN86" i="14"/>
  <c r="AL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A86" i="14"/>
  <c r="AU85" i="14"/>
  <c r="AT85" i="14"/>
  <c r="AQ85" i="14"/>
  <c r="AP85" i="14"/>
  <c r="AO85" i="14"/>
  <c r="AN85" i="14"/>
  <c r="AL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A85" i="14"/>
  <c r="AU84" i="14"/>
  <c r="AT84" i="14"/>
  <c r="AQ84" i="14"/>
  <c r="AP84" i="14"/>
  <c r="AO84" i="14"/>
  <c r="AN84" i="14"/>
  <c r="AL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A84" i="14"/>
  <c r="AU83" i="14"/>
  <c r="AT83" i="14"/>
  <c r="AQ83" i="14"/>
  <c r="AP83" i="14"/>
  <c r="AO83" i="14"/>
  <c r="AN83" i="14"/>
  <c r="AL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A83" i="14"/>
  <c r="AU82" i="14"/>
  <c r="AT82" i="14"/>
  <c r="AQ82" i="14"/>
  <c r="AP82" i="14"/>
  <c r="AO82" i="14"/>
  <c r="AN82" i="14"/>
  <c r="AL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A82" i="14"/>
  <c r="AU81" i="14"/>
  <c r="AT81" i="14"/>
  <c r="AQ81" i="14"/>
  <c r="AP81" i="14"/>
  <c r="AO81" i="14"/>
  <c r="AN81" i="14"/>
  <c r="AL81" i="14"/>
  <c r="AJ81" i="14"/>
  <c r="AI81" i="14"/>
  <c r="AH81" i="14"/>
  <c r="AG81" i="14"/>
  <c r="AF81" i="14"/>
  <c r="AE81" i="14"/>
  <c r="AD81" i="14"/>
  <c r="AC81" i="14"/>
  <c r="AB81" i="14"/>
  <c r="AA81" i="14"/>
  <c r="Z81" i="14"/>
  <c r="Y81" i="14"/>
  <c r="X81" i="14"/>
  <c r="W81" i="14"/>
  <c r="V81" i="14"/>
  <c r="U81" i="14"/>
  <c r="T81" i="14"/>
  <c r="S81" i="14"/>
  <c r="R81" i="14"/>
  <c r="Q81" i="14"/>
  <c r="P81" i="14"/>
  <c r="O81" i="14"/>
  <c r="N81" i="14"/>
  <c r="M81" i="14"/>
  <c r="L81" i="14"/>
  <c r="K81" i="14"/>
  <c r="J81" i="14"/>
  <c r="I81" i="14"/>
  <c r="H81" i="14"/>
  <c r="G81" i="14"/>
  <c r="F81" i="14"/>
  <c r="E81" i="14"/>
  <c r="D81" i="14"/>
  <c r="C81" i="14"/>
  <c r="B81" i="14"/>
  <c r="A81" i="14"/>
  <c r="AU80" i="14"/>
  <c r="AT80" i="14"/>
  <c r="AQ80" i="14"/>
  <c r="AP80" i="14"/>
  <c r="AO80" i="14"/>
  <c r="AN80" i="14"/>
  <c r="AL80" i="14"/>
  <c r="AJ80" i="14"/>
  <c r="AI80" i="14"/>
  <c r="AH80" i="14"/>
  <c r="AG80" i="14"/>
  <c r="AF80" i="14"/>
  <c r="AE80" i="14"/>
  <c r="AD80" i="14"/>
  <c r="AC80" i="14"/>
  <c r="AB80" i="14"/>
  <c r="AA80" i="14"/>
  <c r="Z80" i="14"/>
  <c r="Y80" i="14"/>
  <c r="X80" i="14"/>
  <c r="W80" i="14"/>
  <c r="V80" i="14"/>
  <c r="U80" i="14"/>
  <c r="T80" i="14"/>
  <c r="S80" i="14"/>
  <c r="R80" i="14"/>
  <c r="Q80" i="14"/>
  <c r="P80" i="14"/>
  <c r="O80" i="14"/>
  <c r="N80" i="14"/>
  <c r="M80" i="14"/>
  <c r="L80" i="14"/>
  <c r="K80" i="14"/>
  <c r="J80" i="14"/>
  <c r="I80" i="14"/>
  <c r="H80" i="14"/>
  <c r="G80" i="14"/>
  <c r="F80" i="14"/>
  <c r="E80" i="14"/>
  <c r="D80" i="14"/>
  <c r="C80" i="14"/>
  <c r="B80" i="14"/>
  <c r="A80" i="14"/>
  <c r="AU79" i="14"/>
  <c r="AT79" i="14"/>
  <c r="AQ79" i="14"/>
  <c r="AP79" i="14"/>
  <c r="AO79" i="14"/>
  <c r="AN79" i="14"/>
  <c r="AL79" i="14"/>
  <c r="AJ79" i="14"/>
  <c r="AI79" i="14"/>
  <c r="AH79" i="14"/>
  <c r="AG79" i="14"/>
  <c r="AF79" i="14"/>
  <c r="AE79" i="14"/>
  <c r="AD79" i="14"/>
  <c r="AC79" i="14"/>
  <c r="AB79" i="14"/>
  <c r="AA79" i="14"/>
  <c r="Z79" i="14"/>
  <c r="Y79" i="14"/>
  <c r="X79" i="14"/>
  <c r="W79" i="14"/>
  <c r="V79" i="14"/>
  <c r="U79" i="14"/>
  <c r="T79" i="14"/>
  <c r="S79" i="14"/>
  <c r="R79" i="14"/>
  <c r="Q79" i="14"/>
  <c r="P79" i="14"/>
  <c r="O79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B79" i="14"/>
  <c r="A79" i="14"/>
  <c r="AU78" i="14"/>
  <c r="AT78" i="14"/>
  <c r="AQ78" i="14"/>
  <c r="AP78" i="14"/>
  <c r="AO78" i="14"/>
  <c r="AN78" i="14"/>
  <c r="AL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A78" i="14"/>
  <c r="AU77" i="14"/>
  <c r="AT77" i="14"/>
  <c r="AQ77" i="14"/>
  <c r="AP77" i="14"/>
  <c r="AO77" i="14"/>
  <c r="AN77" i="14"/>
  <c r="AL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A77" i="14"/>
  <c r="AU76" i="14"/>
  <c r="AT76" i="14"/>
  <c r="AQ76" i="14"/>
  <c r="AP76" i="14"/>
  <c r="AO76" i="14"/>
  <c r="AN76" i="14"/>
  <c r="AL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A76" i="14"/>
  <c r="AU75" i="14"/>
  <c r="AT75" i="14"/>
  <c r="AQ75" i="14"/>
  <c r="AP75" i="14"/>
  <c r="AO75" i="14"/>
  <c r="AN75" i="14"/>
  <c r="AL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A75" i="14"/>
  <c r="AU74" i="14"/>
  <c r="AT74" i="14"/>
  <c r="AQ74" i="14"/>
  <c r="AP74" i="14"/>
  <c r="AO74" i="14"/>
  <c r="AN74" i="14"/>
  <c r="AL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A74" i="14"/>
  <c r="AU73" i="14"/>
  <c r="AT73" i="14"/>
  <c r="AQ73" i="14"/>
  <c r="AP73" i="14"/>
  <c r="AO73" i="14"/>
  <c r="AN73" i="14"/>
  <c r="AL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A73" i="14"/>
  <c r="AU72" i="14"/>
  <c r="AT72" i="14"/>
  <c r="AQ72" i="14"/>
  <c r="AP72" i="14"/>
  <c r="AO72" i="14"/>
  <c r="AN72" i="14"/>
  <c r="AL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A72" i="14"/>
  <c r="AU71" i="14"/>
  <c r="AT71" i="14"/>
  <c r="AQ71" i="14"/>
  <c r="AP71" i="14"/>
  <c r="AO71" i="14"/>
  <c r="AN71" i="14"/>
  <c r="AL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A71" i="14"/>
  <c r="AU70" i="14"/>
  <c r="AT70" i="14"/>
  <c r="AQ70" i="14"/>
  <c r="AP70" i="14"/>
  <c r="AO70" i="14"/>
  <c r="AN70" i="14"/>
  <c r="AL70" i="14"/>
  <c r="AJ70" i="14"/>
  <c r="AI70" i="14"/>
  <c r="AH70" i="14"/>
  <c r="AG70" i="14"/>
  <c r="AF70" i="14"/>
  <c r="AE70" i="14"/>
  <c r="AD70" i="14"/>
  <c r="AC70" i="14"/>
  <c r="AB70" i="14"/>
  <c r="AA70" i="14"/>
  <c r="Z70" i="14"/>
  <c r="Y70" i="14"/>
  <c r="X70" i="14"/>
  <c r="W70" i="14"/>
  <c r="V70" i="14"/>
  <c r="U70" i="14"/>
  <c r="T70" i="14"/>
  <c r="S70" i="14"/>
  <c r="R70" i="14"/>
  <c r="Q70" i="14"/>
  <c r="P70" i="14"/>
  <c r="O70" i="14"/>
  <c r="N70" i="14"/>
  <c r="M70" i="14"/>
  <c r="L70" i="14"/>
  <c r="K70" i="14"/>
  <c r="J70" i="14"/>
  <c r="I70" i="14"/>
  <c r="H70" i="14"/>
  <c r="G70" i="14"/>
  <c r="F70" i="14"/>
  <c r="E70" i="14"/>
  <c r="D70" i="14"/>
  <c r="C70" i="14"/>
  <c r="B70" i="14"/>
  <c r="A70" i="14"/>
  <c r="AU69" i="14"/>
  <c r="AT69" i="14"/>
  <c r="AQ69" i="14"/>
  <c r="AP69" i="14"/>
  <c r="AO69" i="14"/>
  <c r="AN69" i="14"/>
  <c r="AL69" i="14"/>
  <c r="AJ69" i="14"/>
  <c r="AI69" i="14"/>
  <c r="AH69" i="14"/>
  <c r="AG69" i="14"/>
  <c r="AF69" i="14"/>
  <c r="AE69" i="14"/>
  <c r="AD69" i="14"/>
  <c r="AC69" i="14"/>
  <c r="AB69" i="14"/>
  <c r="AA69" i="14"/>
  <c r="Z69" i="14"/>
  <c r="Y69" i="14"/>
  <c r="X69" i="14"/>
  <c r="W69" i="14"/>
  <c r="V69" i="14"/>
  <c r="U69" i="14"/>
  <c r="T69" i="14"/>
  <c r="S69" i="14"/>
  <c r="R69" i="14"/>
  <c r="Q69" i="14"/>
  <c r="P69" i="14"/>
  <c r="O69" i="14"/>
  <c r="N69" i="14"/>
  <c r="M69" i="14"/>
  <c r="L69" i="14"/>
  <c r="K69" i="14"/>
  <c r="J69" i="14"/>
  <c r="I69" i="14"/>
  <c r="H69" i="14"/>
  <c r="G69" i="14"/>
  <c r="F69" i="14"/>
  <c r="E69" i="14"/>
  <c r="D69" i="14"/>
  <c r="C69" i="14"/>
  <c r="B69" i="14"/>
  <c r="A69" i="14"/>
  <c r="AU68" i="14"/>
  <c r="AT68" i="14"/>
  <c r="AQ68" i="14"/>
  <c r="AP68" i="14"/>
  <c r="AO68" i="14"/>
  <c r="AN68" i="14"/>
  <c r="AL68" i="14"/>
  <c r="AJ68" i="14"/>
  <c r="AI68" i="14"/>
  <c r="AH68" i="14"/>
  <c r="AG68" i="14"/>
  <c r="AF68" i="14"/>
  <c r="AE68" i="14"/>
  <c r="AD68" i="14"/>
  <c r="AC68" i="14"/>
  <c r="AB68" i="14"/>
  <c r="AA68" i="14"/>
  <c r="Z68" i="14"/>
  <c r="Y68" i="14"/>
  <c r="X68" i="14"/>
  <c r="W68" i="14"/>
  <c r="V68" i="14"/>
  <c r="U68" i="14"/>
  <c r="T68" i="14"/>
  <c r="S68" i="14"/>
  <c r="R68" i="14"/>
  <c r="Q68" i="14"/>
  <c r="P68" i="14"/>
  <c r="O68" i="14"/>
  <c r="N68" i="14"/>
  <c r="M68" i="14"/>
  <c r="L68" i="14"/>
  <c r="K68" i="14"/>
  <c r="J68" i="14"/>
  <c r="I68" i="14"/>
  <c r="H68" i="14"/>
  <c r="G68" i="14"/>
  <c r="F68" i="14"/>
  <c r="E68" i="14"/>
  <c r="D68" i="14"/>
  <c r="C68" i="14"/>
  <c r="B68" i="14"/>
  <c r="A68" i="14"/>
  <c r="AU67" i="14"/>
  <c r="AT67" i="14"/>
  <c r="AQ67" i="14"/>
  <c r="AP67" i="14"/>
  <c r="AO67" i="14"/>
  <c r="AN67" i="14"/>
  <c r="AL67" i="14"/>
  <c r="AJ67" i="14"/>
  <c r="AI67" i="14"/>
  <c r="AH67" i="14"/>
  <c r="AG67" i="14"/>
  <c r="AF67" i="14"/>
  <c r="AE67" i="14"/>
  <c r="AD67" i="14"/>
  <c r="AC67" i="14"/>
  <c r="AB67" i="14"/>
  <c r="AA67" i="14"/>
  <c r="Z67" i="14"/>
  <c r="Y67" i="14"/>
  <c r="X67" i="14"/>
  <c r="W67" i="14"/>
  <c r="V67" i="14"/>
  <c r="U67" i="14"/>
  <c r="T67" i="14"/>
  <c r="S67" i="14"/>
  <c r="R67" i="14"/>
  <c r="Q67" i="14"/>
  <c r="P67" i="14"/>
  <c r="O67" i="14"/>
  <c r="N67" i="14"/>
  <c r="M67" i="14"/>
  <c r="L67" i="14"/>
  <c r="K67" i="14"/>
  <c r="J67" i="14"/>
  <c r="I67" i="14"/>
  <c r="H67" i="14"/>
  <c r="G67" i="14"/>
  <c r="F67" i="14"/>
  <c r="E67" i="14"/>
  <c r="D67" i="14"/>
  <c r="C67" i="14"/>
  <c r="B67" i="14"/>
  <c r="A67" i="14"/>
  <c r="AU66" i="14"/>
  <c r="AT66" i="14"/>
  <c r="AQ66" i="14"/>
  <c r="AP66" i="14"/>
  <c r="AO66" i="14"/>
  <c r="AN66" i="14"/>
  <c r="AL66" i="14"/>
  <c r="AJ66" i="14"/>
  <c r="AI66" i="14"/>
  <c r="AH66" i="14"/>
  <c r="AG66" i="14"/>
  <c r="AF66" i="14"/>
  <c r="AE66" i="14"/>
  <c r="AD66" i="14"/>
  <c r="AC66" i="14"/>
  <c r="AB66" i="14"/>
  <c r="AA66" i="14"/>
  <c r="Z66" i="14"/>
  <c r="Y66" i="14"/>
  <c r="X66" i="14"/>
  <c r="W66" i="14"/>
  <c r="V66" i="14"/>
  <c r="U66" i="14"/>
  <c r="T66" i="14"/>
  <c r="S66" i="14"/>
  <c r="R66" i="14"/>
  <c r="Q66" i="14"/>
  <c r="P66" i="14"/>
  <c r="O66" i="14"/>
  <c r="N66" i="14"/>
  <c r="M66" i="14"/>
  <c r="L66" i="14"/>
  <c r="K66" i="14"/>
  <c r="J66" i="14"/>
  <c r="I66" i="14"/>
  <c r="H66" i="14"/>
  <c r="G66" i="14"/>
  <c r="F66" i="14"/>
  <c r="E66" i="14"/>
  <c r="D66" i="14"/>
  <c r="C66" i="14"/>
  <c r="B66" i="14"/>
  <c r="A66" i="14"/>
  <c r="AU65" i="14"/>
  <c r="AT65" i="14"/>
  <c r="AQ65" i="14"/>
  <c r="AP65" i="14"/>
  <c r="AO65" i="14"/>
  <c r="AN65" i="14"/>
  <c r="AL65" i="14"/>
  <c r="AJ65" i="14"/>
  <c r="AI65" i="14"/>
  <c r="AH65" i="14"/>
  <c r="AG65" i="14"/>
  <c r="AF65" i="14"/>
  <c r="AE65" i="14"/>
  <c r="AD65" i="14"/>
  <c r="AC65" i="14"/>
  <c r="AB65" i="14"/>
  <c r="AA65" i="14"/>
  <c r="Z65" i="14"/>
  <c r="Y65" i="14"/>
  <c r="X65" i="14"/>
  <c r="W65" i="14"/>
  <c r="V65" i="14"/>
  <c r="U65" i="14"/>
  <c r="T65" i="14"/>
  <c r="S65" i="14"/>
  <c r="R65" i="14"/>
  <c r="Q65" i="14"/>
  <c r="P65" i="14"/>
  <c r="O65" i="14"/>
  <c r="N65" i="14"/>
  <c r="M65" i="14"/>
  <c r="L65" i="14"/>
  <c r="K65" i="14"/>
  <c r="J65" i="14"/>
  <c r="I65" i="14"/>
  <c r="H65" i="14"/>
  <c r="G65" i="14"/>
  <c r="F65" i="14"/>
  <c r="E65" i="14"/>
  <c r="D65" i="14"/>
  <c r="C65" i="14"/>
  <c r="B65" i="14"/>
  <c r="A65" i="14"/>
  <c r="AU64" i="14"/>
  <c r="AT64" i="14"/>
  <c r="AQ64" i="14"/>
  <c r="AP64" i="14"/>
  <c r="AO64" i="14"/>
  <c r="AN64" i="14"/>
  <c r="AL64" i="14"/>
  <c r="AJ64" i="14"/>
  <c r="AI64" i="14"/>
  <c r="AH64" i="14"/>
  <c r="AG64" i="14"/>
  <c r="AF64" i="14"/>
  <c r="AE64" i="14"/>
  <c r="AD64" i="14"/>
  <c r="AC64" i="14"/>
  <c r="AB64" i="14"/>
  <c r="AA64" i="14"/>
  <c r="Z64" i="14"/>
  <c r="Y64" i="14"/>
  <c r="X64" i="14"/>
  <c r="W64" i="14"/>
  <c r="V64" i="14"/>
  <c r="U64" i="14"/>
  <c r="T64" i="14"/>
  <c r="S64" i="14"/>
  <c r="R64" i="14"/>
  <c r="Q64" i="14"/>
  <c r="P64" i="14"/>
  <c r="O64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B64" i="14"/>
  <c r="A64" i="14"/>
  <c r="AU63" i="14"/>
  <c r="AT63" i="14"/>
  <c r="AQ63" i="14"/>
  <c r="AP63" i="14"/>
  <c r="AO63" i="14"/>
  <c r="AN63" i="14"/>
  <c r="AL63" i="14"/>
  <c r="AJ63" i="14"/>
  <c r="AI63" i="14"/>
  <c r="AH63" i="14"/>
  <c r="AG63" i="14"/>
  <c r="AF63" i="14"/>
  <c r="AE63" i="14"/>
  <c r="AD63" i="14"/>
  <c r="AC63" i="14"/>
  <c r="AB63" i="14"/>
  <c r="AA63" i="14"/>
  <c r="Z63" i="14"/>
  <c r="Y63" i="14"/>
  <c r="X63" i="14"/>
  <c r="W63" i="14"/>
  <c r="V63" i="14"/>
  <c r="U63" i="14"/>
  <c r="T63" i="14"/>
  <c r="S63" i="14"/>
  <c r="R63" i="14"/>
  <c r="Q63" i="14"/>
  <c r="P63" i="14"/>
  <c r="O63" i="14"/>
  <c r="N63" i="14"/>
  <c r="M63" i="14"/>
  <c r="L63" i="14"/>
  <c r="K63" i="14"/>
  <c r="J63" i="14"/>
  <c r="I63" i="14"/>
  <c r="H63" i="14"/>
  <c r="G63" i="14"/>
  <c r="F63" i="14"/>
  <c r="E63" i="14"/>
  <c r="D63" i="14"/>
  <c r="C63" i="14"/>
  <c r="B63" i="14"/>
  <c r="A63" i="14"/>
  <c r="AU62" i="14"/>
  <c r="AT62" i="14"/>
  <c r="AQ62" i="14"/>
  <c r="AP62" i="14"/>
  <c r="AO62" i="14"/>
  <c r="AN62" i="14"/>
  <c r="AL62" i="14"/>
  <c r="AJ62" i="14"/>
  <c r="AI62" i="14"/>
  <c r="AH62" i="14"/>
  <c r="AG62" i="14"/>
  <c r="AF62" i="14"/>
  <c r="AE62" i="14"/>
  <c r="AD62" i="14"/>
  <c r="AC62" i="14"/>
  <c r="AB62" i="14"/>
  <c r="AA62" i="14"/>
  <c r="Z62" i="14"/>
  <c r="Y62" i="14"/>
  <c r="X62" i="14"/>
  <c r="W62" i="14"/>
  <c r="V62" i="14"/>
  <c r="U62" i="14"/>
  <c r="T62" i="14"/>
  <c r="S62" i="14"/>
  <c r="R62" i="14"/>
  <c r="Q62" i="14"/>
  <c r="P62" i="14"/>
  <c r="O62" i="14"/>
  <c r="N62" i="14"/>
  <c r="M62" i="14"/>
  <c r="L62" i="14"/>
  <c r="K62" i="14"/>
  <c r="J62" i="14"/>
  <c r="I62" i="14"/>
  <c r="H62" i="14"/>
  <c r="G62" i="14"/>
  <c r="F62" i="14"/>
  <c r="E62" i="14"/>
  <c r="D62" i="14"/>
  <c r="C62" i="14"/>
  <c r="B62" i="14"/>
  <c r="A62" i="14"/>
  <c r="AU61" i="14"/>
  <c r="AT61" i="14"/>
  <c r="AQ61" i="14"/>
  <c r="AP61" i="14"/>
  <c r="AO61" i="14"/>
  <c r="AN61" i="14"/>
  <c r="AL61" i="14"/>
  <c r="AJ61" i="14"/>
  <c r="AI61" i="14"/>
  <c r="AH61" i="14"/>
  <c r="AG61" i="14"/>
  <c r="AF61" i="14"/>
  <c r="AE61" i="14"/>
  <c r="AD61" i="14"/>
  <c r="AC61" i="14"/>
  <c r="AB61" i="14"/>
  <c r="AA61" i="14"/>
  <c r="Z61" i="14"/>
  <c r="Y61" i="14"/>
  <c r="X61" i="14"/>
  <c r="W61" i="14"/>
  <c r="V61" i="14"/>
  <c r="U61" i="14"/>
  <c r="T61" i="14"/>
  <c r="S61" i="14"/>
  <c r="R61" i="14"/>
  <c r="Q61" i="14"/>
  <c r="P61" i="14"/>
  <c r="O61" i="14"/>
  <c r="N61" i="14"/>
  <c r="M61" i="14"/>
  <c r="L61" i="14"/>
  <c r="K61" i="14"/>
  <c r="J61" i="14"/>
  <c r="I61" i="14"/>
  <c r="H61" i="14"/>
  <c r="G61" i="14"/>
  <c r="F61" i="14"/>
  <c r="E61" i="14"/>
  <c r="D61" i="14"/>
  <c r="C61" i="14"/>
  <c r="B61" i="14"/>
  <c r="A61" i="14"/>
  <c r="AU60" i="14"/>
  <c r="AT60" i="14"/>
  <c r="AQ60" i="14"/>
  <c r="AP60" i="14"/>
  <c r="AO60" i="14"/>
  <c r="AN60" i="14"/>
  <c r="AL60" i="14"/>
  <c r="AJ60" i="14"/>
  <c r="AI60" i="14"/>
  <c r="AH60" i="14"/>
  <c r="AG60" i="14"/>
  <c r="AF60" i="14"/>
  <c r="AE60" i="14"/>
  <c r="AD60" i="14"/>
  <c r="AC60" i="14"/>
  <c r="AB60" i="14"/>
  <c r="AA60" i="14"/>
  <c r="Z60" i="14"/>
  <c r="Y60" i="14"/>
  <c r="X60" i="14"/>
  <c r="W60" i="14"/>
  <c r="V60" i="14"/>
  <c r="U60" i="14"/>
  <c r="T60" i="14"/>
  <c r="S60" i="14"/>
  <c r="R60" i="14"/>
  <c r="Q60" i="14"/>
  <c r="P60" i="14"/>
  <c r="O60" i="14"/>
  <c r="N60" i="14"/>
  <c r="M60" i="14"/>
  <c r="L60" i="14"/>
  <c r="K60" i="14"/>
  <c r="J60" i="14"/>
  <c r="I60" i="14"/>
  <c r="H60" i="14"/>
  <c r="G60" i="14"/>
  <c r="F60" i="14"/>
  <c r="E60" i="14"/>
  <c r="D60" i="14"/>
  <c r="C60" i="14"/>
  <c r="B60" i="14"/>
  <c r="A60" i="14"/>
  <c r="AU59" i="14"/>
  <c r="AT59" i="14"/>
  <c r="AQ59" i="14"/>
  <c r="AP59" i="14"/>
  <c r="AO59" i="14"/>
  <c r="AN59" i="14"/>
  <c r="AL59" i="14"/>
  <c r="AJ59" i="14"/>
  <c r="AI59" i="14"/>
  <c r="AH59" i="14"/>
  <c r="AG59" i="14"/>
  <c r="AF59" i="14"/>
  <c r="AE59" i="14"/>
  <c r="AD59" i="14"/>
  <c r="AC59" i="14"/>
  <c r="AB59" i="14"/>
  <c r="AA59" i="14"/>
  <c r="Z59" i="14"/>
  <c r="Y59" i="14"/>
  <c r="X59" i="14"/>
  <c r="W59" i="14"/>
  <c r="V59" i="14"/>
  <c r="U59" i="14"/>
  <c r="T59" i="14"/>
  <c r="S59" i="14"/>
  <c r="R59" i="14"/>
  <c r="Q59" i="14"/>
  <c r="P59" i="14"/>
  <c r="O59" i="14"/>
  <c r="N59" i="14"/>
  <c r="M59" i="14"/>
  <c r="L59" i="14"/>
  <c r="K59" i="14"/>
  <c r="J59" i="14"/>
  <c r="I59" i="14"/>
  <c r="H59" i="14"/>
  <c r="G59" i="14"/>
  <c r="F59" i="14"/>
  <c r="E59" i="14"/>
  <c r="D59" i="14"/>
  <c r="C59" i="14"/>
  <c r="B59" i="14"/>
  <c r="A59" i="14"/>
  <c r="AU58" i="14"/>
  <c r="AT58" i="14"/>
  <c r="AQ58" i="14"/>
  <c r="AP58" i="14"/>
  <c r="AO58" i="14"/>
  <c r="AN58" i="14"/>
  <c r="AL58" i="14"/>
  <c r="AJ58" i="14"/>
  <c r="AI58" i="14"/>
  <c r="AH58" i="14"/>
  <c r="AG58" i="14"/>
  <c r="AF58" i="14"/>
  <c r="AE58" i="14"/>
  <c r="AD58" i="14"/>
  <c r="AC58" i="14"/>
  <c r="AB58" i="14"/>
  <c r="AA58" i="14"/>
  <c r="Z58" i="14"/>
  <c r="Y58" i="14"/>
  <c r="X58" i="14"/>
  <c r="W58" i="14"/>
  <c r="V58" i="14"/>
  <c r="U58" i="14"/>
  <c r="T58" i="14"/>
  <c r="S58" i="14"/>
  <c r="R58" i="14"/>
  <c r="Q58" i="14"/>
  <c r="P58" i="14"/>
  <c r="O58" i="14"/>
  <c r="N58" i="14"/>
  <c r="M58" i="14"/>
  <c r="L58" i="14"/>
  <c r="K58" i="14"/>
  <c r="J58" i="14"/>
  <c r="I58" i="14"/>
  <c r="H58" i="14"/>
  <c r="G58" i="14"/>
  <c r="F58" i="14"/>
  <c r="E58" i="14"/>
  <c r="D58" i="14"/>
  <c r="C58" i="14"/>
  <c r="B58" i="14"/>
  <c r="A58" i="14"/>
  <c r="AU57" i="14"/>
  <c r="AT57" i="14"/>
  <c r="AQ57" i="14"/>
  <c r="AP57" i="14"/>
  <c r="AO57" i="14"/>
  <c r="AN57" i="14"/>
  <c r="AL57" i="14"/>
  <c r="AJ57" i="14"/>
  <c r="AI57" i="14"/>
  <c r="AH57" i="14"/>
  <c r="AG57" i="14"/>
  <c r="AF57" i="14"/>
  <c r="AE57" i="14"/>
  <c r="AD57" i="14"/>
  <c r="AC57" i="14"/>
  <c r="AB57" i="14"/>
  <c r="AA57" i="14"/>
  <c r="Z57" i="14"/>
  <c r="Y57" i="14"/>
  <c r="X57" i="14"/>
  <c r="W57" i="14"/>
  <c r="V57" i="14"/>
  <c r="U57" i="14"/>
  <c r="T57" i="14"/>
  <c r="S57" i="14"/>
  <c r="R57" i="14"/>
  <c r="Q57" i="14"/>
  <c r="P57" i="14"/>
  <c r="O57" i="14"/>
  <c r="N57" i="14"/>
  <c r="M57" i="14"/>
  <c r="L57" i="14"/>
  <c r="K57" i="14"/>
  <c r="J57" i="14"/>
  <c r="I57" i="14"/>
  <c r="H57" i="14"/>
  <c r="G57" i="14"/>
  <c r="F57" i="14"/>
  <c r="E57" i="14"/>
  <c r="D57" i="14"/>
  <c r="C57" i="14"/>
  <c r="B57" i="14"/>
  <c r="A57" i="14"/>
  <c r="AU56" i="14"/>
  <c r="AT56" i="14"/>
  <c r="AQ56" i="14"/>
  <c r="AP56" i="14"/>
  <c r="AO56" i="14"/>
  <c r="AN56" i="14"/>
  <c r="AL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A56" i="14"/>
  <c r="AU55" i="14"/>
  <c r="AT55" i="14"/>
  <c r="AQ55" i="14"/>
  <c r="AP55" i="14"/>
  <c r="AO55" i="14"/>
  <c r="AN55" i="14"/>
  <c r="AL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A55" i="14"/>
  <c r="AU54" i="14"/>
  <c r="AT54" i="14"/>
  <c r="AQ54" i="14"/>
  <c r="AP54" i="14"/>
  <c r="AO54" i="14"/>
  <c r="AN54" i="14"/>
  <c r="AL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A54" i="14"/>
  <c r="AU53" i="14"/>
  <c r="AT53" i="14"/>
  <c r="AQ53" i="14"/>
  <c r="AP53" i="14"/>
  <c r="AO53" i="14"/>
  <c r="AN53" i="14"/>
  <c r="AL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A53" i="14"/>
  <c r="AU52" i="14"/>
  <c r="AT52" i="14"/>
  <c r="AQ52" i="14"/>
  <c r="AP52" i="14"/>
  <c r="AO52" i="14"/>
  <c r="AN52" i="14"/>
  <c r="AL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A52" i="14"/>
  <c r="AU51" i="14"/>
  <c r="AT51" i="14"/>
  <c r="AQ51" i="14"/>
  <c r="AP51" i="14"/>
  <c r="AO51" i="14"/>
  <c r="AN51" i="14"/>
  <c r="AL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A51" i="14"/>
  <c r="AU50" i="14"/>
  <c r="AT50" i="14"/>
  <c r="AQ50" i="14"/>
  <c r="AP50" i="14"/>
  <c r="AO50" i="14"/>
  <c r="AN50" i="14"/>
  <c r="AL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A50" i="14"/>
  <c r="AU49" i="14"/>
  <c r="AT49" i="14"/>
  <c r="AQ49" i="14"/>
  <c r="AP49" i="14"/>
  <c r="AO49" i="14"/>
  <c r="AN49" i="14"/>
  <c r="AL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A49" i="14"/>
  <c r="AU48" i="14"/>
  <c r="AT48" i="14"/>
  <c r="AQ48" i="14"/>
  <c r="AP48" i="14"/>
  <c r="AO48" i="14"/>
  <c r="AN48" i="14"/>
  <c r="AL48" i="14"/>
  <c r="AJ48" i="14"/>
  <c r="AI48" i="14"/>
  <c r="AH48" i="14"/>
  <c r="AG48" i="14"/>
  <c r="AF48" i="14"/>
  <c r="AE48" i="14"/>
  <c r="AD48" i="14"/>
  <c r="AC48" i="14"/>
  <c r="AB48" i="14"/>
  <c r="AA48" i="14"/>
  <c r="Z48" i="14"/>
  <c r="Y48" i="14"/>
  <c r="X48" i="14"/>
  <c r="W48" i="14"/>
  <c r="V48" i="14"/>
  <c r="U48" i="14"/>
  <c r="T48" i="14"/>
  <c r="S48" i="14"/>
  <c r="R48" i="14"/>
  <c r="Q48" i="14"/>
  <c r="P48" i="14"/>
  <c r="O48" i="14"/>
  <c r="N48" i="14"/>
  <c r="M48" i="14"/>
  <c r="L48" i="14"/>
  <c r="K48" i="14"/>
  <c r="J48" i="14"/>
  <c r="I48" i="14"/>
  <c r="H48" i="14"/>
  <c r="G48" i="14"/>
  <c r="F48" i="14"/>
  <c r="E48" i="14"/>
  <c r="D48" i="14"/>
  <c r="C48" i="14"/>
  <c r="B48" i="14"/>
  <c r="A48" i="14"/>
  <c r="AU47" i="14"/>
  <c r="AT47" i="14"/>
  <c r="AQ47" i="14"/>
  <c r="AP47" i="14"/>
  <c r="AO47" i="14"/>
  <c r="AN47" i="14"/>
  <c r="AL47" i="14"/>
  <c r="AJ47" i="14"/>
  <c r="AI47" i="14"/>
  <c r="AH47" i="14"/>
  <c r="AG47" i="14"/>
  <c r="AF47" i="14"/>
  <c r="AE47" i="14"/>
  <c r="AD47" i="14"/>
  <c r="AC47" i="14"/>
  <c r="AB47" i="14"/>
  <c r="AA47" i="14"/>
  <c r="Z47" i="14"/>
  <c r="Y47" i="14"/>
  <c r="X47" i="14"/>
  <c r="W47" i="14"/>
  <c r="V47" i="14"/>
  <c r="U47" i="14"/>
  <c r="T47" i="14"/>
  <c r="S47" i="14"/>
  <c r="R47" i="14"/>
  <c r="Q47" i="14"/>
  <c r="P47" i="14"/>
  <c r="O47" i="14"/>
  <c r="N47" i="14"/>
  <c r="M47" i="14"/>
  <c r="L47" i="14"/>
  <c r="K47" i="14"/>
  <c r="J47" i="14"/>
  <c r="I47" i="14"/>
  <c r="H47" i="14"/>
  <c r="G47" i="14"/>
  <c r="F47" i="14"/>
  <c r="E47" i="14"/>
  <c r="D47" i="14"/>
  <c r="C47" i="14"/>
  <c r="B47" i="14"/>
  <c r="A47" i="14"/>
  <c r="AU46" i="14"/>
  <c r="AT46" i="14"/>
  <c r="AQ46" i="14"/>
  <c r="AP46" i="14"/>
  <c r="AO46" i="14"/>
  <c r="AN46" i="14"/>
  <c r="AL46" i="14"/>
  <c r="AJ46" i="14"/>
  <c r="AI46" i="14"/>
  <c r="AH46" i="14"/>
  <c r="AG46" i="14"/>
  <c r="AF46" i="14"/>
  <c r="AE46" i="14"/>
  <c r="AD46" i="14"/>
  <c r="AC46" i="14"/>
  <c r="AB46" i="14"/>
  <c r="AA46" i="14"/>
  <c r="Z46" i="14"/>
  <c r="Y46" i="14"/>
  <c r="X46" i="14"/>
  <c r="W46" i="14"/>
  <c r="V46" i="14"/>
  <c r="U46" i="14"/>
  <c r="T46" i="14"/>
  <c r="S46" i="14"/>
  <c r="R46" i="14"/>
  <c r="Q46" i="14"/>
  <c r="P46" i="14"/>
  <c r="O46" i="14"/>
  <c r="N46" i="14"/>
  <c r="M46" i="14"/>
  <c r="L46" i="14"/>
  <c r="K46" i="14"/>
  <c r="J46" i="14"/>
  <c r="I46" i="14"/>
  <c r="H46" i="14"/>
  <c r="G46" i="14"/>
  <c r="F46" i="14"/>
  <c r="E46" i="14"/>
  <c r="D46" i="14"/>
  <c r="C46" i="14"/>
  <c r="B46" i="14"/>
  <c r="A46" i="14"/>
  <c r="AU45" i="14"/>
  <c r="AT45" i="14"/>
  <c r="AQ45" i="14"/>
  <c r="AP45" i="14"/>
  <c r="AO45" i="14"/>
  <c r="AN45" i="14"/>
  <c r="AL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A45" i="14"/>
  <c r="AU44" i="14"/>
  <c r="AT44" i="14"/>
  <c r="AQ44" i="14"/>
  <c r="AP44" i="14"/>
  <c r="AO44" i="14"/>
  <c r="AN44" i="14"/>
  <c r="AL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A44" i="14"/>
  <c r="AU43" i="14"/>
  <c r="AT43" i="14"/>
  <c r="AQ43" i="14"/>
  <c r="AP43" i="14"/>
  <c r="AO43" i="14"/>
  <c r="AN43" i="14"/>
  <c r="AL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A43" i="14"/>
  <c r="AU42" i="14"/>
  <c r="AT42" i="14"/>
  <c r="AQ42" i="14"/>
  <c r="AP42" i="14"/>
  <c r="AO42" i="14"/>
  <c r="AN42" i="14"/>
  <c r="AL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A42" i="14"/>
  <c r="AU41" i="14"/>
  <c r="AT41" i="14"/>
  <c r="AQ41" i="14"/>
  <c r="AP41" i="14"/>
  <c r="AO41" i="14"/>
  <c r="AN41" i="14"/>
  <c r="AL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A41" i="14"/>
  <c r="AU40" i="14"/>
  <c r="AT40" i="14"/>
  <c r="AQ40" i="14"/>
  <c r="AP40" i="14"/>
  <c r="AO40" i="14"/>
  <c r="AN40" i="14"/>
  <c r="AL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A40" i="14"/>
  <c r="AU39" i="14"/>
  <c r="AT39" i="14"/>
  <c r="AQ39" i="14"/>
  <c r="AP39" i="14"/>
  <c r="AO39" i="14"/>
  <c r="AN39" i="14"/>
  <c r="AL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A39" i="14"/>
  <c r="AU38" i="14"/>
  <c r="AT38" i="14"/>
  <c r="AQ38" i="14"/>
  <c r="AP38" i="14"/>
  <c r="AO38" i="14"/>
  <c r="AN38" i="14"/>
  <c r="AL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A38" i="14"/>
  <c r="AU37" i="14"/>
  <c r="AT37" i="14"/>
  <c r="AQ37" i="14"/>
  <c r="AP37" i="14"/>
  <c r="AO37" i="14"/>
  <c r="AN37" i="14"/>
  <c r="AL37" i="14"/>
  <c r="AJ37" i="14"/>
  <c r="AI37" i="14"/>
  <c r="AH37" i="14"/>
  <c r="AG37" i="14"/>
  <c r="AF37" i="14"/>
  <c r="AE37" i="14"/>
  <c r="AD37" i="14"/>
  <c r="AC37" i="14"/>
  <c r="AB37" i="14"/>
  <c r="AA37" i="14"/>
  <c r="Z37" i="14"/>
  <c r="Y37" i="14"/>
  <c r="X37" i="14"/>
  <c r="W37" i="14"/>
  <c r="V37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G37" i="14"/>
  <c r="F37" i="14"/>
  <c r="E37" i="14"/>
  <c r="D37" i="14"/>
  <c r="C37" i="14"/>
  <c r="B37" i="14"/>
  <c r="A37" i="14"/>
  <c r="AU36" i="14"/>
  <c r="AT36" i="14"/>
  <c r="AQ36" i="14"/>
  <c r="AP36" i="14"/>
  <c r="AO36" i="14"/>
  <c r="AN36" i="14"/>
  <c r="AL36" i="14"/>
  <c r="AJ36" i="14"/>
  <c r="AI36" i="14"/>
  <c r="AH36" i="14"/>
  <c r="AG36" i="14"/>
  <c r="AF36" i="14"/>
  <c r="AE36" i="14"/>
  <c r="AD36" i="14"/>
  <c r="AC36" i="14"/>
  <c r="AB36" i="14"/>
  <c r="AA36" i="14"/>
  <c r="Z36" i="14"/>
  <c r="Y36" i="14"/>
  <c r="X36" i="14"/>
  <c r="W36" i="14"/>
  <c r="V36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G36" i="14"/>
  <c r="F36" i="14"/>
  <c r="E36" i="14"/>
  <c r="D36" i="14"/>
  <c r="C36" i="14"/>
  <c r="B36" i="14"/>
  <c r="A36" i="14"/>
  <c r="AU35" i="14"/>
  <c r="AT35" i="14"/>
  <c r="AQ35" i="14"/>
  <c r="AP35" i="14"/>
  <c r="AO35" i="14"/>
  <c r="AN35" i="14"/>
  <c r="AL35" i="14"/>
  <c r="AJ35" i="14"/>
  <c r="AI35" i="14"/>
  <c r="AH35" i="14"/>
  <c r="AG35" i="14"/>
  <c r="AF35" i="14"/>
  <c r="AE35" i="14"/>
  <c r="AD35" i="14"/>
  <c r="AC35" i="14"/>
  <c r="AB35" i="14"/>
  <c r="AA35" i="14"/>
  <c r="Z35" i="14"/>
  <c r="Y35" i="14"/>
  <c r="X35" i="14"/>
  <c r="W35" i="14"/>
  <c r="V35" i="14"/>
  <c r="U35" i="14"/>
  <c r="T35" i="14"/>
  <c r="S35" i="14"/>
  <c r="R35" i="14"/>
  <c r="Q35" i="14"/>
  <c r="P35" i="14"/>
  <c r="O35" i="14"/>
  <c r="N35" i="14"/>
  <c r="M35" i="14"/>
  <c r="L35" i="14"/>
  <c r="K35" i="14"/>
  <c r="J35" i="14"/>
  <c r="I35" i="14"/>
  <c r="H35" i="14"/>
  <c r="G35" i="14"/>
  <c r="F35" i="14"/>
  <c r="E35" i="14"/>
  <c r="D35" i="14"/>
  <c r="C35" i="14"/>
  <c r="B35" i="14"/>
  <c r="A35" i="14"/>
  <c r="AU34" i="14"/>
  <c r="AT34" i="14"/>
  <c r="AQ34" i="14"/>
  <c r="AP34" i="14"/>
  <c r="AO34" i="14"/>
  <c r="AN34" i="14"/>
  <c r="AL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A34" i="14"/>
  <c r="AU33" i="14"/>
  <c r="AT33" i="14"/>
  <c r="AQ33" i="14"/>
  <c r="AP33" i="14"/>
  <c r="AO33" i="14"/>
  <c r="AN33" i="14"/>
  <c r="AL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A33" i="14"/>
  <c r="AU32" i="14"/>
  <c r="AT32" i="14"/>
  <c r="AQ32" i="14"/>
  <c r="AP32" i="14"/>
  <c r="AO32" i="14"/>
  <c r="AN32" i="14"/>
  <c r="AL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A32" i="14"/>
  <c r="AU31" i="14"/>
  <c r="AT31" i="14"/>
  <c r="AQ31" i="14"/>
  <c r="AP31" i="14"/>
  <c r="AO31" i="14"/>
  <c r="AN31" i="14"/>
  <c r="AL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A31" i="14"/>
  <c r="AU30" i="14"/>
  <c r="AT30" i="14"/>
  <c r="AQ30" i="14"/>
  <c r="AP30" i="14"/>
  <c r="AO30" i="14"/>
  <c r="AN30" i="14"/>
  <c r="AL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A30" i="14"/>
  <c r="AU29" i="14"/>
  <c r="AT29" i="14"/>
  <c r="AQ29" i="14"/>
  <c r="AP29" i="14"/>
  <c r="AO29" i="14"/>
  <c r="AN29" i="14"/>
  <c r="AL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A29" i="14"/>
  <c r="AU28" i="14"/>
  <c r="AT28" i="14"/>
  <c r="AQ28" i="14"/>
  <c r="AP28" i="14"/>
  <c r="AO28" i="14"/>
  <c r="AN28" i="14"/>
  <c r="AL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A28" i="14"/>
  <c r="AU27" i="14"/>
  <c r="AT27" i="14"/>
  <c r="AQ27" i="14"/>
  <c r="AP27" i="14"/>
  <c r="AO27" i="14"/>
  <c r="AN27" i="14"/>
  <c r="AL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A27" i="14"/>
  <c r="AU26" i="14"/>
  <c r="AT26" i="14"/>
  <c r="AQ26" i="14"/>
  <c r="AP26" i="14"/>
  <c r="AO26" i="14"/>
  <c r="AN26" i="14"/>
  <c r="AL26" i="14"/>
  <c r="AJ26" i="14"/>
  <c r="AI26" i="14"/>
  <c r="AH26" i="14"/>
  <c r="AG26" i="14"/>
  <c r="AF26" i="14"/>
  <c r="AE26" i="14"/>
  <c r="AD26" i="14"/>
  <c r="AC26" i="14"/>
  <c r="AB26" i="14"/>
  <c r="AA26" i="14"/>
  <c r="Z26" i="14"/>
  <c r="Y26" i="14"/>
  <c r="X26" i="14"/>
  <c r="W26" i="14"/>
  <c r="V26" i="14"/>
  <c r="U26" i="14"/>
  <c r="T26" i="14"/>
  <c r="S26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B26" i="14"/>
  <c r="A26" i="14"/>
  <c r="AU25" i="14"/>
  <c r="AT25" i="14"/>
  <c r="AQ25" i="14"/>
  <c r="AP25" i="14"/>
  <c r="AO25" i="14"/>
  <c r="AN25" i="14"/>
  <c r="AL25" i="14"/>
  <c r="AJ25" i="14"/>
  <c r="AI25" i="14"/>
  <c r="AH25" i="14"/>
  <c r="AG25" i="14"/>
  <c r="AF25" i="14"/>
  <c r="AE25" i="14"/>
  <c r="AD25" i="14"/>
  <c r="AC25" i="14"/>
  <c r="AB25" i="14"/>
  <c r="AA25" i="14"/>
  <c r="Z25" i="14"/>
  <c r="Y25" i="14"/>
  <c r="X25" i="14"/>
  <c r="W25" i="14"/>
  <c r="V25" i="14"/>
  <c r="U25" i="14"/>
  <c r="T25" i="14"/>
  <c r="S25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B25" i="14"/>
  <c r="A25" i="14"/>
  <c r="AU24" i="14"/>
  <c r="AT24" i="14"/>
  <c r="AQ24" i="14"/>
  <c r="AP24" i="14"/>
  <c r="AO24" i="14"/>
  <c r="AN24" i="14"/>
  <c r="AL24" i="14"/>
  <c r="AJ24" i="14"/>
  <c r="AI24" i="14"/>
  <c r="AH24" i="14"/>
  <c r="AG24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B24" i="14"/>
  <c r="A24" i="14"/>
  <c r="AU23" i="14"/>
  <c r="AT23" i="14"/>
  <c r="AQ23" i="14"/>
  <c r="AP23" i="14"/>
  <c r="AO23" i="14"/>
  <c r="AN23" i="14"/>
  <c r="AL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A23" i="14"/>
  <c r="AU22" i="14"/>
  <c r="AT22" i="14"/>
  <c r="AQ22" i="14"/>
  <c r="AP22" i="14"/>
  <c r="AO22" i="14"/>
  <c r="AN22" i="14"/>
  <c r="AL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A22" i="14"/>
  <c r="AU21" i="14"/>
  <c r="AT21" i="14"/>
  <c r="AQ21" i="14"/>
  <c r="AP21" i="14"/>
  <c r="AO21" i="14"/>
  <c r="AN21" i="14"/>
  <c r="AL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A21" i="14"/>
  <c r="AU20" i="14"/>
  <c r="AT20" i="14"/>
  <c r="AQ20" i="14"/>
  <c r="AP20" i="14"/>
  <c r="AO20" i="14"/>
  <c r="AN20" i="14"/>
  <c r="AL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A20" i="14"/>
  <c r="AU19" i="14"/>
  <c r="AT19" i="14"/>
  <c r="AQ19" i="14"/>
  <c r="AP19" i="14"/>
  <c r="AO19" i="14"/>
  <c r="AN19" i="14"/>
  <c r="AL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A19" i="14"/>
  <c r="AU18" i="14"/>
  <c r="AT18" i="14"/>
  <c r="AQ18" i="14"/>
  <c r="AP18" i="14"/>
  <c r="AO18" i="14"/>
  <c r="AN18" i="14"/>
  <c r="AL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A18" i="14"/>
  <c r="AU17" i="14"/>
  <c r="AT17" i="14"/>
  <c r="AQ17" i="14"/>
  <c r="AP17" i="14"/>
  <c r="AO17" i="14"/>
  <c r="AN17" i="14"/>
  <c r="AL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A17" i="14"/>
  <c r="AU16" i="14"/>
  <c r="AT16" i="14"/>
  <c r="AQ16" i="14"/>
  <c r="AP16" i="14"/>
  <c r="AO16" i="14"/>
  <c r="AN16" i="14"/>
  <c r="AL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A16" i="14"/>
  <c r="AU15" i="14"/>
  <c r="AT15" i="14"/>
  <c r="AQ15" i="14"/>
  <c r="AP15" i="14"/>
  <c r="AO15" i="14"/>
  <c r="AN15" i="14"/>
  <c r="AL15" i="14"/>
  <c r="AJ15" i="14"/>
  <c r="AI15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A15" i="14"/>
  <c r="AU14" i="14"/>
  <c r="AT14" i="14"/>
  <c r="AQ14" i="14"/>
  <c r="AP14" i="14"/>
  <c r="AO14" i="14"/>
  <c r="AN14" i="14"/>
  <c r="AL14" i="14"/>
  <c r="AJ14" i="14"/>
  <c r="AI14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A14" i="14"/>
  <c r="AU13" i="14"/>
  <c r="AT13" i="14"/>
  <c r="AQ13" i="14"/>
  <c r="AP13" i="14"/>
  <c r="AO13" i="14"/>
  <c r="AN13" i="14"/>
  <c r="AL13" i="14"/>
  <c r="AJ13" i="14"/>
  <c r="AI13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A13" i="14"/>
  <c r="AU12" i="14"/>
  <c r="AT12" i="14"/>
  <c r="AQ12" i="14"/>
  <c r="AP12" i="14"/>
  <c r="AO12" i="14"/>
  <c r="AN12" i="14"/>
  <c r="AL12" i="14"/>
  <c r="AJ12" i="14"/>
  <c r="AI12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A12" i="14"/>
  <c r="AU11" i="14"/>
  <c r="AT11" i="14"/>
  <c r="AQ11" i="14"/>
  <c r="AP11" i="14"/>
  <c r="AO11" i="14"/>
  <c r="AN11" i="14"/>
  <c r="AL11" i="14"/>
  <c r="AJ11" i="14"/>
  <c r="AI11" i="14"/>
  <c r="AH11" i="14"/>
  <c r="AG11" i="14"/>
  <c r="AF11" i="14"/>
  <c r="AE11" i="14"/>
  <c r="AD11" i="14"/>
  <c r="AC11" i="14"/>
  <c r="AB11" i="14"/>
  <c r="AA11" i="14"/>
  <c r="Z11" i="14"/>
  <c r="Y11" i="14"/>
  <c r="X11" i="14"/>
  <c r="W11" i="14"/>
  <c r="V11" i="14"/>
  <c r="U11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B11" i="14"/>
  <c r="A11" i="14"/>
  <c r="AU10" i="14"/>
  <c r="AT10" i="14"/>
  <c r="AQ10" i="14"/>
  <c r="AP10" i="14"/>
  <c r="AO10" i="14"/>
  <c r="AN10" i="14"/>
  <c r="AL10" i="14"/>
  <c r="AJ10" i="14"/>
  <c r="AI10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A10" i="14"/>
  <c r="AU9" i="14"/>
  <c r="AT9" i="14"/>
  <c r="AQ9" i="14"/>
  <c r="AP9" i="14"/>
  <c r="AO9" i="14"/>
  <c r="AN9" i="14"/>
  <c r="AL9" i="14"/>
  <c r="AJ9" i="14"/>
  <c r="AI9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A9" i="14"/>
  <c r="AU8" i="14"/>
  <c r="AT8" i="14"/>
  <c r="AQ8" i="14"/>
  <c r="AP8" i="14"/>
  <c r="AO8" i="14"/>
  <c r="AN8" i="14"/>
  <c r="AL8" i="14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A8" i="14"/>
  <c r="AU7" i="14"/>
  <c r="AT7" i="14"/>
  <c r="AQ7" i="14"/>
  <c r="AP7" i="14"/>
  <c r="AO7" i="14"/>
  <c r="AN7" i="14"/>
  <c r="AL7" i="14"/>
  <c r="AJ7" i="14"/>
  <c r="AI7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A7" i="14"/>
  <c r="AU6" i="14"/>
  <c r="AT6" i="14"/>
  <c r="AQ6" i="14"/>
  <c r="AP6" i="14"/>
  <c r="AO6" i="14"/>
  <c r="AN6" i="14"/>
  <c r="AL6" i="14"/>
  <c r="AJ6" i="14"/>
  <c r="AI6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A6" i="14"/>
  <c r="AU5" i="14"/>
  <c r="AT5" i="14"/>
  <c r="AQ5" i="14"/>
  <c r="AP5" i="14"/>
  <c r="AO5" i="14"/>
  <c r="AN5" i="14"/>
  <c r="AL5" i="14"/>
  <c r="AJ5" i="14"/>
  <c r="AI5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A5" i="14"/>
  <c r="AU4" i="14"/>
  <c r="AT4" i="14"/>
  <c r="AQ4" i="14"/>
  <c r="AP4" i="14"/>
  <c r="AO4" i="14"/>
  <c r="AN4" i="14"/>
  <c r="AL4" i="14"/>
  <c r="AJ4" i="14"/>
  <c r="AI4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A4" i="14"/>
  <c r="AU3" i="14"/>
  <c r="AT3" i="14"/>
  <c r="AQ3" i="14"/>
  <c r="AP3" i="14"/>
  <c r="AO3" i="14"/>
  <c r="AN3" i="14"/>
  <c r="AL3" i="14"/>
  <c r="AJ3" i="14"/>
  <c r="AI3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B3" i="14"/>
  <c r="A3" i="14"/>
  <c r="AU2" i="14"/>
  <c r="AT2" i="14"/>
  <c r="AQ2" i="14"/>
  <c r="AP2" i="14"/>
  <c r="AO2" i="14"/>
  <c r="AN2" i="14"/>
  <c r="AL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  <c r="A2" i="14"/>
  <c r="S1" i="17"/>
  <c r="T1" i="17" s="1"/>
  <c r="V1" i="17" s="1"/>
  <c r="E1" i="17"/>
  <c r="D1" i="17"/>
  <c r="C1" i="17"/>
  <c r="B1" i="17"/>
  <c r="A1" i="17"/>
  <c r="AV1" i="15"/>
  <c r="AU1" i="15"/>
  <c r="AT1" i="15"/>
  <c r="AD1" i="15"/>
  <c r="AC1" i="15"/>
  <c r="AB1" i="15"/>
  <c r="AA1" i="15"/>
  <c r="Z1" i="15"/>
  <c r="Y1" i="15"/>
  <c r="X1" i="15"/>
  <c r="M6" i="15"/>
  <c r="AS1" i="15"/>
  <c r="AB2" i="15" l="1"/>
  <c r="N1" i="17"/>
  <c r="O1" i="17" s="1"/>
  <c r="Y2" i="15"/>
  <c r="Q1" i="17"/>
  <c r="G1" i="17"/>
  <c r="U1" i="17" s="1"/>
  <c r="K1" i="17"/>
  <c r="L1" i="17" s="1"/>
  <c r="AD2" i="15"/>
  <c r="AT2" i="15"/>
  <c r="AV2" i="15"/>
  <c r="Q18" i="15" s="1"/>
  <c r="AC2" i="15"/>
  <c r="AA2" i="15"/>
  <c r="Z2" i="15"/>
  <c r="X2" i="15"/>
  <c r="AU2" i="15"/>
  <c r="P18" i="15" s="1"/>
  <c r="AS2" i="15"/>
  <c r="AW2" i="15"/>
  <c r="E6" i="15" l="1"/>
  <c r="H1" i="17" l="1"/>
  <c r="I1" i="17" s="1"/>
  <c r="AR1" i="15"/>
  <c r="AQ1" i="15" l="1"/>
  <c r="AP1" i="15"/>
  <c r="Q1" i="19"/>
  <c r="R1" i="19"/>
  <c r="K1" i="19"/>
  <c r="L1" i="19"/>
  <c r="M1" i="19"/>
  <c r="N1" i="19"/>
  <c r="O1" i="19"/>
  <c r="P1" i="19"/>
  <c r="G1" i="19"/>
  <c r="H1" i="19"/>
  <c r="I1" i="19"/>
  <c r="J1" i="19"/>
  <c r="E1" i="19"/>
  <c r="F1" i="19" l="1"/>
  <c r="D1" i="19" l="1"/>
  <c r="F2" i="19"/>
  <c r="R2" i="19"/>
  <c r="G2" i="19"/>
  <c r="H2" i="19"/>
  <c r="K2" i="19"/>
  <c r="L2" i="19"/>
  <c r="C2" i="19"/>
  <c r="N2" i="19"/>
  <c r="A1" i="19"/>
  <c r="O2" i="19"/>
  <c r="D2" i="19"/>
  <c r="E2" i="19"/>
  <c r="Q2" i="19"/>
  <c r="B2" i="19"/>
  <c r="C1" i="19"/>
  <c r="G6" i="19" l="1"/>
  <c r="K7" i="19"/>
  <c r="E11" i="19"/>
  <c r="M9" i="19"/>
  <c r="E9" i="19"/>
  <c r="K9" i="19"/>
  <c r="C7" i="19"/>
  <c r="O7" i="19"/>
  <c r="B6" i="19"/>
  <c r="J6" i="19"/>
  <c r="E13" i="19"/>
  <c r="O9" i="19"/>
  <c r="M2" i="19"/>
  <c r="I2" i="19"/>
  <c r="P2" i="19"/>
  <c r="E6" i="19" l="1"/>
  <c r="M6" i="19"/>
  <c r="J2" i="19"/>
  <c r="O1" i="15"/>
  <c r="P1" i="15"/>
  <c r="Q1" i="15"/>
  <c r="E1" i="15"/>
  <c r="F1" i="15"/>
  <c r="G1" i="15"/>
  <c r="AL1" i="15" l="1"/>
  <c r="AN1" i="15"/>
  <c r="AM1" i="15" l="1"/>
  <c r="M1" i="15" l="1"/>
  <c r="N1" i="15"/>
  <c r="C1" i="15"/>
  <c r="AF1" i="15"/>
  <c r="J1" i="15"/>
  <c r="D1" i="15"/>
  <c r="AE1" i="15"/>
  <c r="R1" i="15"/>
  <c r="AG1" i="15"/>
  <c r="AH1" i="15"/>
  <c r="H1" i="15"/>
  <c r="W1" i="15"/>
  <c r="AK1" i="15"/>
  <c r="T1" i="15"/>
  <c r="V1" i="15"/>
  <c r="U1" i="15"/>
  <c r="AJ1" i="15"/>
  <c r="I1" i="15"/>
  <c r="L1" i="15"/>
  <c r="AI1" i="15"/>
  <c r="K1" i="15"/>
  <c r="S1" i="15" l="1"/>
  <c r="AO1" i="15" l="1"/>
  <c r="AP2" i="15" l="1"/>
  <c r="L7" i="15" s="1"/>
  <c r="AQ2" i="15"/>
  <c r="AY2" i="15" s="1"/>
  <c r="R7" i="15" s="1"/>
  <c r="AR2" i="15"/>
  <c r="M2" i="15"/>
  <c r="S2" i="15"/>
  <c r="T2" i="15"/>
  <c r="E18" i="15" s="1"/>
  <c r="U2" i="15"/>
  <c r="F18" i="15" s="1"/>
  <c r="V2" i="15"/>
  <c r="N2" i="15"/>
  <c r="C2" i="15"/>
  <c r="L2" i="15"/>
  <c r="AG2" i="15"/>
  <c r="G2" i="15"/>
  <c r="AF2" i="15"/>
  <c r="R2" i="15"/>
  <c r="AE2" i="15"/>
  <c r="Q2" i="15"/>
  <c r="AO2" i="15"/>
  <c r="O2" i="15"/>
  <c r="E15" i="15" s="1"/>
  <c r="K2" i="15"/>
  <c r="I2" i="15"/>
  <c r="H2" i="15"/>
  <c r="B2" i="15"/>
  <c r="P2" i="15"/>
  <c r="F15" i="15" s="1"/>
  <c r="D2" i="15"/>
  <c r="E21" i="15"/>
  <c r="AN2" i="15"/>
  <c r="F21" i="15"/>
  <c r="AL2" i="15"/>
  <c r="AK2" i="15"/>
  <c r="AH2" i="15"/>
  <c r="AJ2" i="15"/>
  <c r="F27" i="15" s="1"/>
  <c r="W2" i="15"/>
  <c r="AM2" i="15"/>
  <c r="J2" i="15"/>
  <c r="AI2" i="15"/>
  <c r="E27" i="15" s="1"/>
  <c r="E2" i="15"/>
  <c r="E9" i="15" s="1"/>
  <c r="F2" i="15"/>
  <c r="F9" i="15" s="1"/>
  <c r="A1" i="15"/>
  <c r="G15" i="15" l="1"/>
  <c r="O15" i="15"/>
  <c r="D18" i="15"/>
  <c r="P12" i="15"/>
  <c r="H6" i="15"/>
  <c r="C6" i="15"/>
  <c r="P6" i="15"/>
  <c r="G18" i="15"/>
  <c r="Q12" i="15"/>
  <c r="E12" i="15"/>
  <c r="O9" i="15"/>
  <c r="G24" i="15"/>
  <c r="Q21" i="15"/>
  <c r="F24" i="15"/>
  <c r="P21" i="15"/>
  <c r="G9" i="15"/>
  <c r="O12" i="15"/>
  <c r="D21" i="15"/>
  <c r="P15" i="15"/>
  <c r="D27" i="15"/>
  <c r="N18" i="15"/>
  <c r="D12" i="15"/>
  <c r="N9" i="15"/>
  <c r="G12" i="15"/>
  <c r="Q9" i="15"/>
  <c r="E7" i="15"/>
  <c r="M7" i="15"/>
  <c r="D9" i="15"/>
  <c r="N12" i="15"/>
  <c r="E24" i="15"/>
  <c r="O21" i="15"/>
  <c r="G27" i="15"/>
  <c r="O18" i="15"/>
  <c r="G21" i="15"/>
  <c r="Q15" i="15"/>
  <c r="D24" i="15"/>
  <c r="N21" i="15"/>
  <c r="F12" i="15"/>
  <c r="P9" i="15"/>
  <c r="D15" i="15"/>
  <c r="N15" i="15"/>
  <c r="G6" i="15"/>
  <c r="B6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tc={DD45C66D-BC0D-4022-9E54-9DC3DE212C9A}</author>
  </authors>
  <commentList>
    <comment ref="A1" authorId="0" shapeId="0" xr:uid="{DD45C66D-BC0D-4022-9E54-9DC3DE212C9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Forwards</t>
      </text>
    </comment>
  </commentList>
</comments>
</file>

<file path=xl/sharedStrings.xml><?xml version="1.0" encoding="utf-8"?>
<sst xmlns="http://schemas.openxmlformats.org/spreadsheetml/2006/main" count="801" uniqueCount="485">
  <si>
    <t>TOI</t>
  </si>
  <si>
    <t>GF%</t>
  </si>
  <si>
    <t>xGF%</t>
  </si>
  <si>
    <t>HDCF%</t>
  </si>
  <si>
    <t>PDO</t>
  </si>
  <si>
    <t>Defense</t>
  </si>
  <si>
    <t>Generation</t>
  </si>
  <si>
    <t>Production</t>
  </si>
  <si>
    <t>Context</t>
  </si>
  <si>
    <t>xGF</t>
  </si>
  <si>
    <t>Goals</t>
  </si>
  <si>
    <t>Assists</t>
  </si>
  <si>
    <t>First Assists</t>
  </si>
  <si>
    <t>Points</t>
  </si>
  <si>
    <t>xGA</t>
  </si>
  <si>
    <t>Rel xGF</t>
  </si>
  <si>
    <t>Rel xGA</t>
  </si>
  <si>
    <t>O-Zone Starts</t>
  </si>
  <si>
    <t>Shot Luck</t>
  </si>
  <si>
    <t>HDCF</t>
  </si>
  <si>
    <t>HDCA</t>
  </si>
  <si>
    <t>Rel HDCA</t>
  </si>
  <si>
    <t>League Rank</t>
  </si>
  <si>
    <t>Rel HDCF</t>
  </si>
  <si>
    <t>GF</t>
  </si>
  <si>
    <t>GA</t>
  </si>
  <si>
    <t>Rel GF</t>
  </si>
  <si>
    <t>Rel GA</t>
  </si>
  <si>
    <t>Workload/Minute</t>
  </si>
  <si>
    <t>Games Played</t>
  </si>
  <si>
    <t>Goals Against/Minute</t>
  </si>
  <si>
    <t>Games:</t>
  </si>
  <si>
    <t>Impact Score</t>
  </si>
  <si>
    <t>Last Update:</t>
  </si>
  <si>
    <t>@NextLevelStat</t>
  </si>
  <si>
    <t>Games</t>
  </si>
  <si>
    <t>Rank</t>
  </si>
  <si>
    <t xml:space="preserve">                      Percentile Rank / Minute</t>
  </si>
  <si>
    <t>Offense</t>
  </si>
  <si>
    <t>Impact/Minute</t>
  </si>
  <si>
    <t>Pen Drawn</t>
  </si>
  <si>
    <t>Clean Play</t>
  </si>
  <si>
    <t>Raw Data from NaturalStatTrick</t>
  </si>
  <si>
    <t xml:space="preserve">   5v5 Percentile Rank / Minute</t>
  </si>
  <si>
    <t xml:space="preserve">      5v5 Percentile Rank / Minute</t>
  </si>
  <si>
    <t>2022-23 Season</t>
  </si>
  <si>
    <t xml:space="preserve"> 2022-23 Season</t>
  </si>
  <si>
    <t>Radko Gudas</t>
  </si>
  <si>
    <t>Rel Offense</t>
  </si>
  <si>
    <t>Rel Defense</t>
  </si>
  <si>
    <t>Ilya Samsonov</t>
  </si>
  <si>
    <t>BOS</t>
  </si>
  <si>
    <t>DET</t>
  </si>
  <si>
    <t>ANA</t>
  </si>
  <si>
    <t>WPG</t>
  </si>
  <si>
    <t>CGY</t>
  </si>
  <si>
    <t>L.A</t>
  </si>
  <si>
    <t>FLA</t>
  </si>
  <si>
    <t>MTL</t>
  </si>
  <si>
    <t>OTT</t>
  </si>
  <si>
    <t>T.B</t>
  </si>
  <si>
    <t>COL</t>
  </si>
  <si>
    <t>WSH</t>
  </si>
  <si>
    <t>BUF</t>
  </si>
  <si>
    <t>SEA</t>
  </si>
  <si>
    <t>S.J</t>
  </si>
  <si>
    <t>TOR</t>
  </si>
  <si>
    <t>STL</t>
  </si>
  <si>
    <t>NYR</t>
  </si>
  <si>
    <t>NYI</t>
  </si>
  <si>
    <t>CHI</t>
  </si>
  <si>
    <t>VAN</t>
  </si>
  <si>
    <t>CAR</t>
  </si>
  <si>
    <t>ARI</t>
  </si>
  <si>
    <t>CBJ</t>
  </si>
  <si>
    <t>MIN</t>
  </si>
  <si>
    <t>VGK</t>
  </si>
  <si>
    <t>ARI, CGY</t>
  </si>
  <si>
    <t>ANA, PIT</t>
  </si>
  <si>
    <t>PIT</t>
  </si>
  <si>
    <t>NSH</t>
  </si>
  <si>
    <t>EDM</t>
  </si>
  <si>
    <t>BOS, WSH</t>
  </si>
  <si>
    <t>N.J</t>
  </si>
  <si>
    <t>DAL</t>
  </si>
  <si>
    <t>PHI</t>
  </si>
  <si>
    <t>CHI, TOR</t>
  </si>
  <si>
    <t>COL, S.J</t>
  </si>
  <si>
    <t>TOR, WSH</t>
  </si>
  <si>
    <t>NYR, STL</t>
  </si>
  <si>
    <t>Sebastian Aho</t>
  </si>
  <si>
    <t>NSH, T.B</t>
  </si>
  <si>
    <t>Aaron Ekblad</t>
  </si>
  <si>
    <t>Adam Boqvist</t>
  </si>
  <si>
    <t>Adam Fox</t>
  </si>
  <si>
    <t>Adam Larsson</t>
  </si>
  <si>
    <t>Adam Pelech</t>
  </si>
  <si>
    <t>Alec Martinez</t>
  </si>
  <si>
    <t>Alex Goligoski</t>
  </si>
  <si>
    <t>Alex Pietrangelo</t>
  </si>
  <si>
    <t>Alexander Alexeyev</t>
  </si>
  <si>
    <t>Alexander Edler</t>
  </si>
  <si>
    <t>Alexander Romanov</t>
  </si>
  <si>
    <t>Alexandre Carrier</t>
  </si>
  <si>
    <t>Andreas Englund</t>
  </si>
  <si>
    <t>CHI, COL</t>
  </si>
  <si>
    <t>Andrew Peeke</t>
  </si>
  <si>
    <t>Arber Xhekaj</t>
  </si>
  <si>
    <t>Artem Zub</t>
  </si>
  <si>
    <t>Ben Chiarot</t>
  </si>
  <si>
    <t>Ben Harpur</t>
  </si>
  <si>
    <t>Ben Hutton</t>
  </si>
  <si>
    <t>Bowen Byram</t>
  </si>
  <si>
    <t>Brad Hunt</t>
  </si>
  <si>
    <t>Braden Schneider</t>
  </si>
  <si>
    <t>Brady Skjei</t>
  </si>
  <si>
    <t>Brandon Carlo</t>
  </si>
  <si>
    <t>Brandon Montour</t>
  </si>
  <si>
    <t>Brayden McNabb</t>
  </si>
  <si>
    <t>Brendan Smith</t>
  </si>
  <si>
    <t>Brenden Dillon</t>
  </si>
  <si>
    <t>Brent Burns</t>
  </si>
  <si>
    <t>Brett Kulak</t>
  </si>
  <si>
    <t>Brett Pesce</t>
  </si>
  <si>
    <t>Brian Dumoulin</t>
  </si>
  <si>
    <t>Cal Foote</t>
  </si>
  <si>
    <t>Cale Makar</t>
  </si>
  <si>
    <t>Caleb Jones</t>
  </si>
  <si>
    <t>Calen Addison</t>
  </si>
  <si>
    <t>Calle Rosen</t>
  </si>
  <si>
    <t>Calvin de Haan</t>
  </si>
  <si>
    <t>Cam Fowler</t>
  </si>
  <si>
    <t>Cam York</t>
  </si>
  <si>
    <t>Carson Soucy</t>
  </si>
  <si>
    <t>Casey Fitzgerald</t>
  </si>
  <si>
    <t>BUF, FLA</t>
  </si>
  <si>
    <t>Chad Ruhwedel</t>
  </si>
  <si>
    <t>Charlie McAvoy</t>
  </si>
  <si>
    <t>Chris Tanev</t>
  </si>
  <si>
    <t>Chris Wideman</t>
  </si>
  <si>
    <t>Christian Wolanin</t>
  </si>
  <si>
    <t>Cody Ceci</t>
  </si>
  <si>
    <t>Colin Miller</t>
  </si>
  <si>
    <t>Colton Parayko</t>
  </si>
  <si>
    <t>Colton White</t>
  </si>
  <si>
    <t>Connor Clifton</t>
  </si>
  <si>
    <t>Connor Mackey</t>
  </si>
  <si>
    <t>Connor Murphy</t>
  </si>
  <si>
    <t>Conor Timmins</t>
  </si>
  <si>
    <t>ARI, TOR</t>
  </si>
  <si>
    <t>Damon Severson</t>
  </si>
  <si>
    <t>Daniil Miromanov</t>
  </si>
  <si>
    <t>Dante Fabbro</t>
  </si>
  <si>
    <t>Darnell Nurse</t>
  </si>
  <si>
    <t>Darren Raddysh</t>
  </si>
  <si>
    <t>David Savard</t>
  </si>
  <si>
    <t>Dennis Gilbert</t>
  </si>
  <si>
    <t>Derek Forbort</t>
  </si>
  <si>
    <t>Devon Toews</t>
  </si>
  <si>
    <t>Dmitry Kulikov</t>
  </si>
  <si>
    <t>Dmitry Orlov</t>
  </si>
  <si>
    <t>Dougie Hamilton</t>
  </si>
  <si>
    <t>Drew Doughty</t>
  </si>
  <si>
    <t>Dylan DeMelo</t>
  </si>
  <si>
    <t>Dylan Samberg</t>
  </si>
  <si>
    <t>Erik Brannstrom</t>
  </si>
  <si>
    <t>Erik Cernak</t>
  </si>
  <si>
    <t>Erik Gudbranson</t>
  </si>
  <si>
    <t>Erik Gustafsson</t>
  </si>
  <si>
    <t>Erik Johnson</t>
  </si>
  <si>
    <t>Erik Karlsson</t>
  </si>
  <si>
    <t>Esa Lindell</t>
  </si>
  <si>
    <t>Ethan Bear</t>
  </si>
  <si>
    <t>Evan Bouchard</t>
  </si>
  <si>
    <t>Filip Hronek</t>
  </si>
  <si>
    <t>DET, VAN</t>
  </si>
  <si>
    <t>Filip Roos</t>
  </si>
  <si>
    <t>Gavin Bayreuther</t>
  </si>
  <si>
    <t>Guillaume Brisebois</t>
  </si>
  <si>
    <t>Gustav Forsling</t>
  </si>
  <si>
    <t>Gustav Lindstrom</t>
  </si>
  <si>
    <t>Hampus Lindholm</t>
  </si>
  <si>
    <t>Haydn Fleury</t>
  </si>
  <si>
    <t>Henri Jokiharju</t>
  </si>
  <si>
    <t>Ian Cole</t>
  </si>
  <si>
    <t>Ian Mitchell</t>
  </si>
  <si>
    <t>Ilya Lyubushkin</t>
  </si>
  <si>
    <t>Isaak Phillips</t>
  </si>
  <si>
    <t>Ivan Provorov</t>
  </si>
  <si>
    <t>J.J. Moser</t>
  </si>
  <si>
    <t>Jaccob Slavin</t>
  </si>
  <si>
    <t>Jack Johnson</t>
  </si>
  <si>
    <t>Jacob Bernard-Docker</t>
  </si>
  <si>
    <t>Jacob Bryson</t>
  </si>
  <si>
    <t>Jacob MacDonald</t>
  </si>
  <si>
    <t>Jacob Trouba</t>
  </si>
  <si>
    <t>Jake Christiansen</t>
  </si>
  <si>
    <t>Jake McCabe</t>
  </si>
  <si>
    <t>Jake Middleton</t>
  </si>
  <si>
    <t>Jake Sanderson</t>
  </si>
  <si>
    <t>Jake Walman</t>
  </si>
  <si>
    <t>Jakob Chychrun</t>
  </si>
  <si>
    <t>ARI, OTT</t>
  </si>
  <si>
    <t>Jakub Zboril</t>
  </si>
  <si>
    <t>Jalen Chatfield</t>
  </si>
  <si>
    <t>Jamie Oleksiak</t>
  </si>
  <si>
    <t>Jan Rutta</t>
  </si>
  <si>
    <t>Jani Hakanpää</t>
  </si>
  <si>
    <t>Jared Spurgeon</t>
  </si>
  <si>
    <t>Jarred Tinordi</t>
  </si>
  <si>
    <t>Jaycob Megna</t>
  </si>
  <si>
    <t>S.J, SEA</t>
  </si>
  <si>
    <t>Jeff Petry</t>
  </si>
  <si>
    <t>Jeremy Lauzon</t>
  </si>
  <si>
    <t>Joel Edmundson</t>
  </si>
  <si>
    <t>Joel Hanley</t>
  </si>
  <si>
    <t>John Carlson</t>
  </si>
  <si>
    <t>John Klingberg</t>
  </si>
  <si>
    <t>ANA, MIN</t>
  </si>
  <si>
    <t>John Marino</t>
  </si>
  <si>
    <t>Johnathan Kovacevic</t>
  </si>
  <si>
    <t>Jon Merrill</t>
  </si>
  <si>
    <t>Jonas Brodin</t>
  </si>
  <si>
    <t>Jonas Siegenthaler</t>
  </si>
  <si>
    <t>Jordan Gross</t>
  </si>
  <si>
    <t>Jordan Harris</t>
  </si>
  <si>
    <t>Jordan Oesterle</t>
  </si>
  <si>
    <t>Josh Brown</t>
  </si>
  <si>
    <t>Josh Mahura</t>
  </si>
  <si>
    <t>Josh Manson</t>
  </si>
  <si>
    <t>Josh Morrissey</t>
  </si>
  <si>
    <t>Justin Barron</t>
  </si>
  <si>
    <t>Justin Braun</t>
  </si>
  <si>
    <t>Justin Faulk</t>
  </si>
  <si>
    <t>Justin Holl</t>
  </si>
  <si>
    <t>Justin Schultz</t>
  </si>
  <si>
    <t>Juuso Valimaki</t>
  </si>
  <si>
    <t>K'Andre Miller</t>
  </si>
  <si>
    <t>Kaiden Guhle</t>
  </si>
  <si>
    <t>Kale Clague</t>
  </si>
  <si>
    <t>Kevin Bahl</t>
  </si>
  <si>
    <t>Kevin Gravel</t>
  </si>
  <si>
    <t>Kevin Shattenkirk</t>
  </si>
  <si>
    <t>Kris Letang</t>
  </si>
  <si>
    <t>Kurtis MacDermid</t>
  </si>
  <si>
    <t>Kyle Burroughs</t>
  </si>
  <si>
    <t>Libor Hajek</t>
  </si>
  <si>
    <t>Logan Stanley</t>
  </si>
  <si>
    <t>Luke Schenn</t>
  </si>
  <si>
    <t>TOR, VAN</t>
  </si>
  <si>
    <t>MacKenzie Weegar</t>
  </si>
  <si>
    <t>Marc Staal</t>
  </si>
  <si>
    <t>Marc-Edouard Vlasic</t>
  </si>
  <si>
    <t>Marco Scandella</t>
  </si>
  <si>
    <t>Marcus Bjork</t>
  </si>
  <si>
    <t>Marcus Pettersson</t>
  </si>
  <si>
    <t>Mario Ferraro</t>
  </si>
  <si>
    <t>Mark Friedman</t>
  </si>
  <si>
    <t>Mark Giordano</t>
  </si>
  <si>
    <t>Markus Niemelainen</t>
  </si>
  <si>
    <t>Martin Fehervary</t>
  </si>
  <si>
    <t>Matt Dumba</t>
  </si>
  <si>
    <t>Matt Grzelcyk</t>
  </si>
  <si>
    <t>Matt Irwin</t>
  </si>
  <si>
    <t>Matt Roy</t>
  </si>
  <si>
    <t>Matthew Benning</t>
  </si>
  <si>
    <t>Mattias Ekholm</t>
  </si>
  <si>
    <t>EDM, NSH</t>
  </si>
  <si>
    <t>Mattias Samuelsson</t>
  </si>
  <si>
    <t>Michael Stone</t>
  </si>
  <si>
    <t>Mike Matheson</t>
  </si>
  <si>
    <t>Mikey Anderson</t>
  </si>
  <si>
    <t>Mikhail Sergachev</t>
  </si>
  <si>
    <t>Miro Heiskanen</t>
  </si>
  <si>
    <t>Morgan Rielly</t>
  </si>
  <si>
    <t>Moritz Seider</t>
  </si>
  <si>
    <t>Nate Schmidt</t>
  </si>
  <si>
    <t>Nathan Beaulieu</t>
  </si>
  <si>
    <t>Neal Pionk</t>
  </si>
  <si>
    <t>Nick Blankenburg</t>
  </si>
  <si>
    <t>Nick Cicek</t>
  </si>
  <si>
    <t>Nick Holden</t>
  </si>
  <si>
    <t>Nick Jensen</t>
  </si>
  <si>
    <t>Nick Leddy</t>
  </si>
  <si>
    <t>Nick Perbix</t>
  </si>
  <si>
    <t>Nick Seeler</t>
  </si>
  <si>
    <t>Nicolas Hague</t>
  </si>
  <si>
    <t>Nikita Zadorov</t>
  </si>
  <si>
    <t>Nikita Zaitsev</t>
  </si>
  <si>
    <t>CHI, OTT</t>
  </si>
  <si>
    <t>Niko Mikkola</t>
  </si>
  <si>
    <t>Nils Lundkvist</t>
  </si>
  <si>
    <t>Noah Dobson</t>
  </si>
  <si>
    <t>Noah Hanifin</t>
  </si>
  <si>
    <t>Oliver Ekman-Larsson</t>
  </si>
  <si>
    <t>Olli Maatta</t>
  </si>
  <si>
    <t>Owen Power</t>
  </si>
  <si>
    <t>Patrik Nemeth</t>
  </si>
  <si>
    <t>Philip Broberg</t>
  </si>
  <si>
    <t>Pierre-Olivier Joseph</t>
  </si>
  <si>
    <t>Quinn Hughes</t>
  </si>
  <si>
    <t>Radim Simek</t>
  </si>
  <si>
    <t>Rasmus Andersson</t>
  </si>
  <si>
    <t>Rasmus Dahlin</t>
  </si>
  <si>
    <t>Rasmus Ristolainen</t>
  </si>
  <si>
    <t>Rasmus Sandin</t>
  </si>
  <si>
    <t>Riley Stillman</t>
  </si>
  <si>
    <t>BUF, VAN</t>
  </si>
  <si>
    <t>Robert Bortuzzo</t>
  </si>
  <si>
    <t>Robert Hagg</t>
  </si>
  <si>
    <t>Roman Josi</t>
  </si>
  <si>
    <t>Ryan Graves</t>
  </si>
  <si>
    <t>Ryan Lindgren</t>
  </si>
  <si>
    <t>Ryan McDonagh</t>
  </si>
  <si>
    <t>Ryan Pulock</t>
  </si>
  <si>
    <t>Ryan Suter</t>
  </si>
  <si>
    <t>Samuel Bolduc</t>
  </si>
  <si>
    <t>Samuel Girard</t>
  </si>
  <si>
    <t>Scott Harrington</t>
  </si>
  <si>
    <t>ANA, S.J</t>
  </si>
  <si>
    <t>Scott Mayfield</t>
  </si>
  <si>
    <t>Sean Durzi</t>
  </si>
  <si>
    <t>Sean Walker</t>
  </si>
  <si>
    <t>Seth Jones</t>
  </si>
  <si>
    <t>Shayne Gostisbehere</t>
  </si>
  <si>
    <t>ARI, CAR</t>
  </si>
  <si>
    <t>Shea Theodore</t>
  </si>
  <si>
    <t>Simon Benoit</t>
  </si>
  <si>
    <t>Thomas Chabot</t>
  </si>
  <si>
    <t>Tim Berni</t>
  </si>
  <si>
    <t>Timothy Liljegren</t>
  </si>
  <si>
    <t>TJ Brodie</t>
  </si>
  <si>
    <t>Tony DeAngelo</t>
  </si>
  <si>
    <t>Torey Krug</t>
  </si>
  <si>
    <t>Travis Hamonic</t>
  </si>
  <si>
    <t>Travis Sanheim</t>
  </si>
  <si>
    <t>Trevor van Riemsdyk</t>
  </si>
  <si>
    <t>Troy Stecher</t>
  </si>
  <si>
    <t>Tyler Myers</t>
  </si>
  <si>
    <t>Tyler Tucker</t>
  </si>
  <si>
    <t>Tyson Barrie</t>
  </si>
  <si>
    <t>Urho Vaakanainen</t>
  </si>
  <si>
    <t>Victor Hedman</t>
  </si>
  <si>
    <t>Victor Soderstrom</t>
  </si>
  <si>
    <t>Vince Dunn</t>
  </si>
  <si>
    <t>Vincent Desharnais</t>
  </si>
  <si>
    <t>Vladislav Gavrikov</t>
  </si>
  <si>
    <t>CBJ, L.A</t>
  </si>
  <si>
    <t>Will Borgen</t>
  </si>
  <si>
    <t>Zac Jones</t>
  </si>
  <si>
    <t>Zach Bogosian</t>
  </si>
  <si>
    <t>Zach Werenski</t>
  </si>
  <si>
    <t>Zach Whitecloud</t>
  </si>
  <si>
    <t>Adin Hill</t>
  </si>
  <si>
    <t>Akira Schmid</t>
  </si>
  <si>
    <t>Alex Lyon</t>
  </si>
  <si>
    <t>Alex Nedeljkovic</t>
  </si>
  <si>
    <t>Alex Stalock</t>
  </si>
  <si>
    <t>Alexandar Georgiev</t>
  </si>
  <si>
    <t>Andrei Vasilevskiy</t>
  </si>
  <si>
    <t>Anthony Stolarz</t>
  </si>
  <si>
    <t>Anton Forsberg</t>
  </si>
  <si>
    <t>Antti Raanta</t>
  </si>
  <si>
    <t>Arvid Soderblom</t>
  </si>
  <si>
    <t>Brian Elliott</t>
  </si>
  <si>
    <t>Cal Petersen</t>
  </si>
  <si>
    <t>Cam Talbot</t>
  </si>
  <si>
    <t>Carter Hart</t>
  </si>
  <si>
    <t>Casey DeSmith</t>
  </si>
  <si>
    <t>Charlie Lindgren</t>
  </si>
  <si>
    <t>Collin Delia</t>
  </si>
  <si>
    <t>Connor Hellebuyck</t>
  </si>
  <si>
    <t>Connor Ingram</t>
  </si>
  <si>
    <t>Craig Anderson</t>
  </si>
  <si>
    <t>Dan Vladar</t>
  </si>
  <si>
    <t>Daniil Tarasov</t>
  </si>
  <si>
    <t>Darcy Kuemper</t>
  </si>
  <si>
    <t>David Rittich</t>
  </si>
  <si>
    <t>Devon Levi</t>
  </si>
  <si>
    <t>Elvis Merzlikins</t>
  </si>
  <si>
    <t>Eric Comrie</t>
  </si>
  <si>
    <t>Erik Kallgren</t>
  </si>
  <si>
    <t>Felix Sandstrom</t>
  </si>
  <si>
    <t>Filip Gustavsson</t>
  </si>
  <si>
    <t>Frederik Andersen</t>
  </si>
  <si>
    <t>Igor Shesterkin</t>
  </si>
  <si>
    <t>Ilya Sorokin</t>
  </si>
  <si>
    <t>Ivan Prosvetov</t>
  </si>
  <si>
    <t>Jack Campbell</t>
  </si>
  <si>
    <t>Jacob Markstrom</t>
  </si>
  <si>
    <t>Jake Allen</t>
  </si>
  <si>
    <t>Jake Oettinger</t>
  </si>
  <si>
    <t>James Reimer</t>
  </si>
  <si>
    <t>Jaroslav Halak</t>
  </si>
  <si>
    <t>Jaxson Stauber</t>
  </si>
  <si>
    <t>Jeremy Swayman</t>
  </si>
  <si>
    <t>John Gibson</t>
  </si>
  <si>
    <t>Jonathan Quick</t>
  </si>
  <si>
    <t>L.A, VGK</t>
  </si>
  <si>
    <t>Joonas Korpisalo</t>
  </si>
  <si>
    <t>Jordan Binnington</t>
  </si>
  <si>
    <t>Joseph Woll</t>
  </si>
  <si>
    <t>Juuse Saros</t>
  </si>
  <si>
    <t>Kaapo Kahkonen</t>
  </si>
  <si>
    <t>Karel Vejmelka</t>
  </si>
  <si>
    <t>Kevin Lankinen</t>
  </si>
  <si>
    <t>Laurent Brossoit</t>
  </si>
  <si>
    <t>Linus Ullmark</t>
  </si>
  <si>
    <t>Logan Thompson</t>
  </si>
  <si>
    <t>Lukas Dostal</t>
  </si>
  <si>
    <t>Mackenzie Blackwood</t>
  </si>
  <si>
    <t>Mads Sogaard</t>
  </si>
  <si>
    <t>Magnus Hellberg</t>
  </si>
  <si>
    <t>DET, OTT</t>
  </si>
  <si>
    <t>Marc-Andre Fleury</t>
  </si>
  <si>
    <t>Martin Jones</t>
  </si>
  <si>
    <t>Matt Murray</t>
  </si>
  <si>
    <t>Michael Hutchinson</t>
  </si>
  <si>
    <t>Pavel Francouz</t>
  </si>
  <si>
    <t>Petr Mrazek</t>
  </si>
  <si>
    <t>Pheonix Copley</t>
  </si>
  <si>
    <t>Philipp Grubauer</t>
  </si>
  <si>
    <t>Pyotr Kochetkov</t>
  </si>
  <si>
    <t>Sam Montembeault</t>
  </si>
  <si>
    <t>Samuel Ersson</t>
  </si>
  <si>
    <t>Scott Wedgewood</t>
  </si>
  <si>
    <t>Semyon Varlamov</t>
  </si>
  <si>
    <t>Sergei Bobrovsky</t>
  </si>
  <si>
    <t>Spencer Knight</t>
  </si>
  <si>
    <t>Spencer Martin</t>
  </si>
  <si>
    <t>Stuart Skinner</t>
  </si>
  <si>
    <t>Thatcher Demko</t>
  </si>
  <si>
    <t>Thomas Greiss</t>
  </si>
  <si>
    <t>Tristan Jarry</t>
  </si>
  <si>
    <t>Ukko-Pekka Luukkonen</t>
  </si>
  <si>
    <t>Ville Husso</t>
  </si>
  <si>
    <t>Vitek Vanecek</t>
  </si>
  <si>
    <t>2022-23 Season | Raw Data from NaturalStatTrick | Percentile Rank / Minute</t>
  </si>
  <si>
    <t>Workload</t>
  </si>
  <si>
    <t>Goals Against</t>
  </si>
  <si>
    <t>FF</t>
  </si>
  <si>
    <t>FA</t>
  </si>
  <si>
    <t>Rel FF</t>
  </si>
  <si>
    <t>Rel FA</t>
  </si>
  <si>
    <t>FF%</t>
  </si>
  <si>
    <t>Player</t>
  </si>
  <si>
    <t>% Rank FF/60</t>
  </si>
  <si>
    <t>% Rank HDCF/60</t>
  </si>
  <si>
    <t>% Rank GF/60</t>
  </si>
  <si>
    <t>% Rank xGF/60</t>
  </si>
  <si>
    <t>% Rank Goals/60</t>
  </si>
  <si>
    <t>% Rank Assists/60</t>
  </si>
  <si>
    <t>% Rank First Assists/60</t>
  </si>
  <si>
    <t>% Rank Points/60</t>
  </si>
  <si>
    <t>% Rank FA/60</t>
  </si>
  <si>
    <t>% Rank HDCA/60</t>
  </si>
  <si>
    <t>% Rank GA/60</t>
  </si>
  <si>
    <t>% Rank xGA/60</t>
  </si>
  <si>
    <t>% Rank FF/60 Rel</t>
  </si>
  <si>
    <t>% Rank HDCF/60 Rel</t>
  </si>
  <si>
    <t>% Rank GF/60 Rel</t>
  </si>
  <si>
    <t>% Rank xGF/60 Rel</t>
  </si>
  <si>
    <t>% Rank FA/60 Rel</t>
  </si>
  <si>
    <t>% Rank HDCA/60 Rel</t>
  </si>
  <si>
    <t>% Rank GA/60 Rel</t>
  </si>
  <si>
    <t>% Rank xGA/60 Rel</t>
  </si>
  <si>
    <t>% Rank TOI/GP</t>
  </si>
  <si>
    <t>% Rank Zone Start %</t>
  </si>
  <si>
    <t>% Rank Shooting Luck</t>
  </si>
  <si>
    <t>% Rank PDO</t>
  </si>
  <si>
    <t>Percentages</t>
  </si>
  <si>
    <t>% Rank FF%</t>
  </si>
  <si>
    <t>% Rank HDCF%</t>
  </si>
  <si>
    <t>% Rank GF%</t>
  </si>
  <si>
    <t>% Rank xGF%</t>
  </si>
  <si>
    <t>% Rank Impact/Minute</t>
  </si>
  <si>
    <t>Team</t>
  </si>
  <si>
    <t>GP</t>
  </si>
  <si>
    <t>% Rank Impact Score</t>
  </si>
  <si>
    <t>Rank Impact Score</t>
  </si>
  <si>
    <t>Penalties</t>
  </si>
  <si>
    <t>% Rank Clean Play/60 (Lower means more penalties)</t>
  </si>
  <si>
    <t>% Rank Penalties Drawn/60</t>
  </si>
  <si>
    <t>Results</t>
  </si>
  <si>
    <t>Sean Monahan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</si>
</sst>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5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5">
    <xf numFmtId="0" fontId="0" fillId="0" borderId="0" xfId="0"/>
    <xf numFmtId="9" fontId="0" fillId="0" borderId="0" xfId="1" applyFont="1"/>
    <xf numFmtId="9" fontId="0" fillId="0" borderId="0" xfId="0" applyNumberFormat="1"/>
    <xf numFmtId="0" fontId="0" fillId="0" borderId="0" xfId="0" applyBorder="1"/>
    <xf numFmtId="0" fontId="0" fillId="0" borderId="0" xfId="0" applyFill="1" applyBorder="1"/>
    <xf numFmtId="0" fontId="0" fillId="2" borderId="0" xfId="0" quotePrefix="1" applyFill="1" applyBorder="1"/>
    <xf numFmtId="0" fontId="0" fillId="2" borderId="0" xfId="0" applyFill="1" applyBorder="1"/>
    <xf numFmtId="0" fontId="0" fillId="2" borderId="0" xfId="0" applyFill="1"/>
    <xf numFmtId="9" fontId="5" fillId="2" borderId="0" xfId="1" applyFont="1" applyFill="1" applyBorder="1" applyAlignment="1">
      <alignment horizontal="center" vertical="center"/>
    </xf>
    <xf numFmtId="0" fontId="0" fillId="2" borderId="0" xfId="0" applyFill="1" applyBorder="1" applyAlignment="1">
      <alignment horizontal="center"/>
    </xf>
    <xf numFmtId="9" fontId="3" fillId="2" borderId="0" xfId="1" applyFont="1" applyFill="1" applyBorder="1" applyAlignment="1">
      <alignment horizontal="center"/>
    </xf>
    <xf numFmtId="9" fontId="2" fillId="2" borderId="0" xfId="1" applyFont="1" applyFill="1" applyBorder="1" applyAlignment="1">
      <alignment horizontal="center"/>
    </xf>
    <xf numFmtId="9" fontId="6" fillId="2" borderId="0" xfId="1" applyFont="1" applyFill="1" applyBorder="1" applyAlignment="1">
      <alignment horizontal="center"/>
    </xf>
    <xf numFmtId="0" fontId="0" fillId="2" borderId="0" xfId="0" applyFont="1" applyFill="1" applyBorder="1" applyAlignment="1">
      <alignment horizontal="center"/>
    </xf>
    <xf numFmtId="9" fontId="5" fillId="2" borderId="0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3" fillId="2" borderId="0" xfId="0" applyFont="1" applyFill="1" applyBorder="1" applyAlignment="1">
      <alignment horizontal="center" vertical="top"/>
    </xf>
    <xf numFmtId="0" fontId="10" fillId="2" borderId="0" xfId="0" applyFont="1" applyFill="1" applyBorder="1" applyAlignment="1">
      <alignment horizontal="center"/>
    </xf>
    <xf numFmtId="0" fontId="11" fillId="2" borderId="0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/>
    <xf numFmtId="9" fontId="5" fillId="2" borderId="0" xfId="1" applyFont="1" applyFill="1" applyAlignment="1">
      <alignment horizontal="center" vertical="center"/>
    </xf>
    <xf numFmtId="0" fontId="10" fillId="2" borderId="0" xfId="0" applyFont="1" applyFill="1" applyAlignment="1">
      <alignment horizontal="center"/>
    </xf>
    <xf numFmtId="9" fontId="3" fillId="2" borderId="0" xfId="1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11" fillId="2" borderId="0" xfId="0" applyFont="1" applyFill="1" applyAlignment="1">
      <alignment vertical="center"/>
    </xf>
    <xf numFmtId="9" fontId="3" fillId="2" borderId="0" xfId="0" applyNumberFormat="1" applyFont="1" applyFill="1" applyAlignment="1">
      <alignment horizontal="center"/>
    </xf>
    <xf numFmtId="0" fontId="12" fillId="2" borderId="0" xfId="0" applyFont="1" applyFill="1"/>
    <xf numFmtId="0" fontId="12" fillId="2" borderId="0" xfId="0" applyFont="1" applyFill="1" applyAlignment="1">
      <alignment horizontal="center"/>
    </xf>
    <xf numFmtId="0" fontId="12" fillId="2" borderId="0" xfId="0" applyFont="1" applyFill="1" applyBorder="1"/>
    <xf numFmtId="0" fontId="6" fillId="2" borderId="0" xfId="0" quotePrefix="1" applyFont="1" applyFill="1" applyAlignment="1"/>
    <xf numFmtId="15" fontId="12" fillId="2" borderId="0" xfId="0" applyNumberFormat="1" applyFont="1" applyFill="1" applyBorder="1"/>
    <xf numFmtId="0" fontId="6" fillId="2" borderId="0" xfId="0" quotePrefix="1" applyFont="1" applyFill="1" applyBorder="1" applyAlignment="1">
      <alignment horizontal="center"/>
    </xf>
    <xf numFmtId="0" fontId="13" fillId="0" borderId="0" xfId="0" applyFont="1"/>
    <xf numFmtId="9" fontId="13" fillId="0" borderId="0" xfId="1" applyFont="1"/>
    <xf numFmtId="0" fontId="13" fillId="3" borderId="0" xfId="0" applyFont="1" applyFill="1"/>
    <xf numFmtId="9" fontId="13" fillId="3" borderId="0" xfId="1" applyFont="1" applyFill="1"/>
    <xf numFmtId="0" fontId="0" fillId="3" borderId="0" xfId="0" applyFill="1"/>
    <xf numFmtId="9" fontId="0" fillId="3" borderId="0" xfId="1" applyFont="1" applyFill="1"/>
    <xf numFmtId="0" fontId="0" fillId="3" borderId="0" xfId="0" applyFill="1" applyBorder="1"/>
    <xf numFmtId="9" fontId="2" fillId="3" borderId="0" xfId="1" applyFont="1" applyFill="1" applyBorder="1" applyAlignment="1">
      <alignment horizontal="center"/>
    </xf>
    <xf numFmtId="9" fontId="3" fillId="3" borderId="0" xfId="1" applyFont="1" applyFill="1" applyBorder="1" applyAlignment="1">
      <alignment horizontal="center"/>
    </xf>
    <xf numFmtId="0" fontId="0" fillId="3" borderId="0" xfId="0" quotePrefix="1" applyFill="1" applyAlignment="1"/>
    <xf numFmtId="0" fontId="12" fillId="3" borderId="0" xfId="0" applyFont="1" applyFill="1"/>
    <xf numFmtId="0" fontId="0" fillId="3" borderId="0" xfId="0" applyFill="1" applyAlignment="1">
      <alignment horizontal="center"/>
    </xf>
    <xf numFmtId="0" fontId="0" fillId="3" borderId="0" xfId="0" quotePrefix="1" applyFill="1"/>
    <xf numFmtId="0" fontId="8" fillId="3" borderId="0" xfId="0" applyFont="1" applyFill="1" applyAlignment="1">
      <alignment vertical="center"/>
    </xf>
    <xf numFmtId="0" fontId="0" fillId="3" borderId="0" xfId="0" applyFill="1" applyBorder="1" applyAlignment="1">
      <alignment horizontal="right"/>
    </xf>
    <xf numFmtId="0" fontId="3" fillId="3" borderId="0" xfId="0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7" fillId="3" borderId="0" xfId="0" applyFont="1" applyFill="1"/>
    <xf numFmtId="0" fontId="3" fillId="3" borderId="0" xfId="0" applyFont="1" applyFill="1" applyBorder="1" applyAlignment="1">
      <alignment horizontal="left" vertical="center"/>
    </xf>
    <xf numFmtId="0" fontId="0" fillId="3" borderId="0" xfId="0" applyFill="1" applyAlignment="1"/>
    <xf numFmtId="0" fontId="0" fillId="3" borderId="0" xfId="0" applyFont="1" applyFill="1" applyAlignment="1">
      <alignment horizontal="right"/>
    </xf>
    <xf numFmtId="0" fontId="3" fillId="3" borderId="0" xfId="0" applyFont="1" applyFill="1" applyAlignment="1">
      <alignment horizontal="left"/>
    </xf>
    <xf numFmtId="15" fontId="12" fillId="3" borderId="0" xfId="0" applyNumberFormat="1" applyFont="1" applyFill="1"/>
    <xf numFmtId="9" fontId="9" fillId="3" borderId="0" xfId="1" applyFont="1" applyFill="1" applyAlignment="1">
      <alignment horizontal="center" vertical="center"/>
    </xf>
    <xf numFmtId="0" fontId="0" fillId="3" borderId="0" xfId="0" applyFont="1" applyFill="1" applyBorder="1" applyAlignment="1">
      <alignment horizontal="center"/>
    </xf>
    <xf numFmtId="15" fontId="0" fillId="3" borderId="0" xfId="0" applyNumberFormat="1" applyFill="1" applyBorder="1"/>
    <xf numFmtId="0" fontId="0" fillId="3" borderId="0" xfId="0" applyFill="1" applyProtection="1">
      <protection locked="0"/>
    </xf>
    <xf numFmtId="0" fontId="0" fillId="2" borderId="0" xfId="0" quotePrefix="1" applyFill="1"/>
    <xf numFmtId="9" fontId="0" fillId="2" borderId="0" xfId="1" applyFont="1" applyFill="1"/>
    <xf numFmtId="0" fontId="4" fillId="2" borderId="0" xfId="0" applyFont="1" applyFill="1" applyAlignment="1">
      <alignment vertical="center"/>
    </xf>
    <xf numFmtId="9" fontId="5" fillId="2" borderId="0" xfId="0" applyNumberFormat="1" applyFont="1" applyFill="1" applyAlignment="1">
      <alignment horizontal="center" vertical="center"/>
    </xf>
    <xf numFmtId="0" fontId="0" fillId="2" borderId="0" xfId="0" applyFill="1" applyAlignment="1">
      <alignment horizontal="right"/>
    </xf>
    <xf numFmtId="0" fontId="3" fillId="2" borderId="0" xfId="0" applyFont="1" applyFill="1" applyAlignment="1">
      <alignment horizontal="left"/>
    </xf>
    <xf numFmtId="0" fontId="10" fillId="2" borderId="0" xfId="0" applyFont="1" applyFill="1" applyAlignment="1">
      <alignment horizontal="left"/>
    </xf>
    <xf numFmtId="9" fontId="3" fillId="2" borderId="0" xfId="1" applyFont="1" applyFill="1"/>
    <xf numFmtId="0" fontId="3" fillId="2" borderId="0" xfId="1" applyNumberFormat="1" applyFont="1" applyFill="1" applyAlignment="1">
      <alignment horizontal="center" vertical="top"/>
    </xf>
    <xf numFmtId="0" fontId="15" fillId="2" borderId="0" xfId="0" quotePrefix="1" applyFont="1" applyFill="1" applyAlignment="1">
      <alignment horizontal="center"/>
    </xf>
    <xf numFmtId="0" fontId="13" fillId="3" borderId="0" xfId="0" quotePrefix="1" applyFont="1" applyFill="1" applyBorder="1"/>
    <xf numFmtId="0" fontId="13" fillId="3" borderId="0" xfId="0" applyFont="1" applyFill="1" applyBorder="1"/>
    <xf numFmtId="0" fontId="16" fillId="3" borderId="0" xfId="0" applyFont="1" applyFill="1" applyBorder="1" applyAlignment="1">
      <alignment vertical="center"/>
    </xf>
    <xf numFmtId="9" fontId="17" fillId="3" borderId="0" xfId="1" applyFont="1" applyFill="1" applyBorder="1" applyAlignment="1">
      <alignment horizontal="center" vertical="center"/>
    </xf>
    <xf numFmtId="0" fontId="18" fillId="3" borderId="0" xfId="0" applyFont="1" applyFill="1" applyBorder="1" applyAlignment="1">
      <alignment horizontal="center"/>
    </xf>
    <xf numFmtId="0" fontId="13" fillId="3" borderId="0" xfId="0" applyFont="1" applyFill="1" applyBorder="1" applyAlignment="1">
      <alignment horizontal="right"/>
    </xf>
    <xf numFmtId="0" fontId="14" fillId="3" borderId="0" xfId="0" applyFont="1" applyFill="1" applyBorder="1" applyAlignment="1">
      <alignment horizontal="left"/>
    </xf>
    <xf numFmtId="0" fontId="13" fillId="3" borderId="0" xfId="0" applyFont="1" applyFill="1" applyBorder="1" applyAlignment="1">
      <alignment horizontal="center"/>
    </xf>
    <xf numFmtId="0" fontId="14" fillId="3" borderId="0" xfId="0" applyFont="1" applyFill="1" applyBorder="1" applyAlignment="1">
      <alignment horizontal="center"/>
    </xf>
    <xf numFmtId="9" fontId="14" fillId="3" borderId="0" xfId="0" applyNumberFormat="1" applyFont="1" applyFill="1" applyBorder="1" applyAlignment="1">
      <alignment horizontal="center"/>
    </xf>
    <xf numFmtId="9" fontId="14" fillId="3" borderId="0" xfId="1" applyFont="1" applyFill="1" applyBorder="1" applyAlignment="1">
      <alignment horizontal="center"/>
    </xf>
    <xf numFmtId="9" fontId="13" fillId="3" borderId="0" xfId="1" applyFont="1" applyFill="1" applyBorder="1" applyAlignment="1">
      <alignment horizontal="center"/>
    </xf>
    <xf numFmtId="0" fontId="13" fillId="3" borderId="0" xfId="0" applyFont="1" applyFill="1" applyBorder="1" applyAlignment="1"/>
    <xf numFmtId="0" fontId="0" fillId="2" borderId="0" xfId="0" applyFill="1" applyBorder="1" applyAlignment="1">
      <alignment horizontal="left"/>
    </xf>
    <xf numFmtId="0" fontId="6" fillId="2" borderId="0" xfId="0" applyFont="1" applyFill="1" applyBorder="1" applyAlignment="1">
      <alignment horizontal="left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2023%20Player%20Extensive%20Look%205v5%20v13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2023%20Player%20Extensive%20Look%205v5%20v1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 on ice"/>
      <sheetName val="F Production"/>
      <sheetName val="F Rel"/>
      <sheetName val="D on Ice"/>
      <sheetName val="D Production"/>
      <sheetName val="D Rel"/>
      <sheetName val="G On Ice"/>
      <sheetName val="Forward Ranks"/>
      <sheetName val="Defense Ranks"/>
      <sheetName val="G Ranks"/>
      <sheetName val="O and D Ranks"/>
      <sheetName val="Impact Score Math"/>
      <sheetName val="Graph"/>
      <sheetName val="Ranks for Cards and Graph"/>
      <sheetName val="O D Score"/>
      <sheetName val="Impact Score"/>
      <sheetName val="Impact Per Minute"/>
      <sheetName val="Player Cards"/>
      <sheetName val="Goalie Card"/>
      <sheetName val="Targets"/>
      <sheetName val="Formulas and Math"/>
    </sheetNames>
    <sheetDataSet>
      <sheetData sheetId="0">
        <row r="2">
          <cell r="E2">
            <v>61</v>
          </cell>
        </row>
        <row r="3">
          <cell r="E3">
            <v>61</v>
          </cell>
        </row>
        <row r="4">
          <cell r="E4">
            <v>62</v>
          </cell>
        </row>
        <row r="5">
          <cell r="E5">
            <v>82</v>
          </cell>
        </row>
        <row r="6">
          <cell r="E6">
            <v>44</v>
          </cell>
        </row>
        <row r="7">
          <cell r="E7">
            <v>82</v>
          </cell>
        </row>
        <row r="8">
          <cell r="E8">
            <v>68</v>
          </cell>
        </row>
        <row r="9">
          <cell r="E9">
            <v>31</v>
          </cell>
        </row>
        <row r="10">
          <cell r="E10">
            <v>82</v>
          </cell>
        </row>
        <row r="11">
          <cell r="E11">
            <v>59</v>
          </cell>
        </row>
        <row r="12">
          <cell r="E12">
            <v>82</v>
          </cell>
        </row>
        <row r="13">
          <cell r="E13">
            <v>82</v>
          </cell>
        </row>
        <row r="14">
          <cell r="E14">
            <v>73</v>
          </cell>
        </row>
        <row r="15">
          <cell r="E15">
            <v>74</v>
          </cell>
        </row>
        <row r="16">
          <cell r="E16">
            <v>82</v>
          </cell>
        </row>
        <row r="17">
          <cell r="E17">
            <v>68</v>
          </cell>
        </row>
        <row r="18">
          <cell r="E18">
            <v>82</v>
          </cell>
        </row>
        <row r="19">
          <cell r="E19">
            <v>69</v>
          </cell>
        </row>
        <row r="20">
          <cell r="E20">
            <v>81</v>
          </cell>
        </row>
        <row r="21">
          <cell r="E21">
            <v>58</v>
          </cell>
        </row>
        <row r="22">
          <cell r="E22">
            <v>82</v>
          </cell>
        </row>
        <row r="23">
          <cell r="E23">
            <v>49</v>
          </cell>
        </row>
        <row r="24">
          <cell r="E24">
            <v>81</v>
          </cell>
        </row>
        <row r="25">
          <cell r="E25">
            <v>81</v>
          </cell>
        </row>
        <row r="26">
          <cell r="E26">
            <v>64</v>
          </cell>
        </row>
        <row r="27">
          <cell r="E27">
            <v>79</v>
          </cell>
        </row>
        <row r="28">
          <cell r="E28">
            <v>82</v>
          </cell>
        </row>
        <row r="29">
          <cell r="E29">
            <v>82</v>
          </cell>
        </row>
        <row r="30">
          <cell r="E30">
            <v>82</v>
          </cell>
        </row>
        <row r="31">
          <cell r="E31">
            <v>58</v>
          </cell>
        </row>
        <row r="32">
          <cell r="E32">
            <v>20</v>
          </cell>
        </row>
        <row r="33">
          <cell r="E33">
            <v>67</v>
          </cell>
        </row>
        <row r="34">
          <cell r="E34">
            <v>73</v>
          </cell>
        </row>
        <row r="35">
          <cell r="E35">
            <v>82</v>
          </cell>
        </row>
        <row r="36">
          <cell r="E36">
            <v>82</v>
          </cell>
        </row>
        <row r="37">
          <cell r="E37">
            <v>56</v>
          </cell>
        </row>
        <row r="38">
          <cell r="E38">
            <v>64</v>
          </cell>
        </row>
        <row r="39">
          <cell r="E39">
            <v>29</v>
          </cell>
        </row>
        <row r="40">
          <cell r="E40">
            <v>75</v>
          </cell>
        </row>
        <row r="41">
          <cell r="E41">
            <v>74</v>
          </cell>
        </row>
        <row r="42">
          <cell r="E42">
            <v>50</v>
          </cell>
        </row>
        <row r="43">
          <cell r="E43">
            <v>82</v>
          </cell>
        </row>
        <row r="44">
          <cell r="E44">
            <v>82</v>
          </cell>
        </row>
        <row r="45">
          <cell r="E45">
            <v>39</v>
          </cell>
        </row>
        <row r="46">
          <cell r="E46">
            <v>82</v>
          </cell>
        </row>
        <row r="47">
          <cell r="E47">
            <v>81</v>
          </cell>
        </row>
        <row r="48">
          <cell r="E48">
            <v>72</v>
          </cell>
        </row>
        <row r="49">
          <cell r="E49">
            <v>79</v>
          </cell>
        </row>
        <row r="50">
          <cell r="E50">
            <v>68</v>
          </cell>
        </row>
        <row r="51">
          <cell r="E51">
            <v>58</v>
          </cell>
        </row>
        <row r="52">
          <cell r="E52">
            <v>73</v>
          </cell>
        </row>
        <row r="53">
          <cell r="E53">
            <v>82</v>
          </cell>
        </row>
        <row r="54">
          <cell r="E54">
            <v>51</v>
          </cell>
        </row>
        <row r="55">
          <cell r="E55">
            <v>81</v>
          </cell>
        </row>
        <row r="56">
          <cell r="E56">
            <v>71</v>
          </cell>
        </row>
        <row r="57">
          <cell r="E57">
            <v>82</v>
          </cell>
        </row>
        <row r="58">
          <cell r="E58">
            <v>82</v>
          </cell>
        </row>
        <row r="59">
          <cell r="E59">
            <v>82</v>
          </cell>
        </row>
        <row r="60">
          <cell r="E60">
            <v>37</v>
          </cell>
        </row>
        <row r="61">
          <cell r="E61">
            <v>45</v>
          </cell>
        </row>
        <row r="62">
          <cell r="E62">
            <v>54</v>
          </cell>
        </row>
        <row r="63">
          <cell r="E63">
            <v>54</v>
          </cell>
        </row>
        <row r="64">
          <cell r="E64">
            <v>50</v>
          </cell>
        </row>
        <row r="65">
          <cell r="E65">
            <v>74</v>
          </cell>
        </row>
        <row r="66">
          <cell r="E66">
            <v>75</v>
          </cell>
        </row>
        <row r="67">
          <cell r="E67">
            <v>82</v>
          </cell>
        </row>
        <row r="68">
          <cell r="E68">
            <v>81</v>
          </cell>
        </row>
        <row r="69">
          <cell r="E69">
            <v>49</v>
          </cell>
        </row>
        <row r="70">
          <cell r="E70">
            <v>73</v>
          </cell>
        </row>
        <row r="71">
          <cell r="E71">
            <v>57</v>
          </cell>
        </row>
        <row r="72">
          <cell r="E72">
            <v>81</v>
          </cell>
        </row>
        <row r="73">
          <cell r="E73">
            <v>81</v>
          </cell>
        </row>
        <row r="74">
          <cell r="E74">
            <v>82</v>
          </cell>
        </row>
        <row r="75">
          <cell r="E75">
            <v>81</v>
          </cell>
        </row>
        <row r="76">
          <cell r="E76">
            <v>82</v>
          </cell>
        </row>
        <row r="77">
          <cell r="E77">
            <v>79</v>
          </cell>
        </row>
        <row r="78">
          <cell r="E78">
            <v>36</v>
          </cell>
        </row>
        <row r="79">
          <cell r="E79">
            <v>64</v>
          </cell>
        </row>
        <row r="80">
          <cell r="E80">
            <v>80</v>
          </cell>
        </row>
        <row r="81">
          <cell r="E81">
            <v>82</v>
          </cell>
        </row>
        <row r="82">
          <cell r="E82">
            <v>82</v>
          </cell>
        </row>
        <row r="83">
          <cell r="E83">
            <v>72</v>
          </cell>
        </row>
        <row r="84">
          <cell r="E84">
            <v>46</v>
          </cell>
        </row>
        <row r="85">
          <cell r="E85">
            <v>51</v>
          </cell>
        </row>
        <row r="86">
          <cell r="E86">
            <v>64</v>
          </cell>
        </row>
        <row r="87">
          <cell r="E87">
            <v>69</v>
          </cell>
        </row>
        <row r="88">
          <cell r="E88">
            <v>53</v>
          </cell>
        </row>
        <row r="89">
          <cell r="E89">
            <v>68</v>
          </cell>
        </row>
        <row r="90">
          <cell r="E90">
            <v>82</v>
          </cell>
        </row>
        <row r="91">
          <cell r="E91">
            <v>81</v>
          </cell>
        </row>
        <row r="92">
          <cell r="E92">
            <v>82</v>
          </cell>
        </row>
        <row r="93">
          <cell r="E93">
            <v>81</v>
          </cell>
        </row>
        <row r="94">
          <cell r="E94">
            <v>82</v>
          </cell>
        </row>
        <row r="95">
          <cell r="E95">
            <v>81</v>
          </cell>
        </row>
        <row r="96">
          <cell r="E96">
            <v>64</v>
          </cell>
        </row>
        <row r="97">
          <cell r="E97">
            <v>49</v>
          </cell>
        </row>
        <row r="98">
          <cell r="E98">
            <v>79</v>
          </cell>
        </row>
        <row r="99">
          <cell r="E99">
            <v>66</v>
          </cell>
        </row>
        <row r="100">
          <cell r="E100">
            <v>65</v>
          </cell>
        </row>
        <row r="101">
          <cell r="E101">
            <v>46</v>
          </cell>
        </row>
        <row r="102">
          <cell r="E102">
            <v>82</v>
          </cell>
        </row>
        <row r="103">
          <cell r="E103">
            <v>70</v>
          </cell>
        </row>
        <row r="104">
          <cell r="E104">
            <v>82</v>
          </cell>
        </row>
        <row r="105">
          <cell r="E105">
            <v>82</v>
          </cell>
        </row>
        <row r="106">
          <cell r="E106">
            <v>82</v>
          </cell>
        </row>
        <row r="107">
          <cell r="E107">
            <v>66</v>
          </cell>
        </row>
        <row r="108">
          <cell r="E108">
            <v>65</v>
          </cell>
        </row>
        <row r="109">
          <cell r="E109">
            <v>46</v>
          </cell>
        </row>
        <row r="110">
          <cell r="E110">
            <v>80</v>
          </cell>
        </row>
        <row r="111">
          <cell r="E111">
            <v>73</v>
          </cell>
        </row>
        <row r="112">
          <cell r="E112">
            <v>62</v>
          </cell>
        </row>
        <row r="113">
          <cell r="E113">
            <v>47</v>
          </cell>
        </row>
        <row r="114">
          <cell r="E114">
            <v>82</v>
          </cell>
        </row>
        <row r="115">
          <cell r="E115">
            <v>81</v>
          </cell>
        </row>
        <row r="116">
          <cell r="E116">
            <v>82</v>
          </cell>
        </row>
        <row r="117">
          <cell r="E117">
            <v>46</v>
          </cell>
        </row>
        <row r="118">
          <cell r="E118">
            <v>37</v>
          </cell>
        </row>
        <row r="119">
          <cell r="E119">
            <v>81</v>
          </cell>
        </row>
        <row r="120">
          <cell r="E120">
            <v>60</v>
          </cell>
        </row>
        <row r="121">
          <cell r="E121">
            <v>33</v>
          </cell>
        </row>
        <row r="122">
          <cell r="E122">
            <v>51</v>
          </cell>
        </row>
        <row r="123">
          <cell r="E123">
            <v>80</v>
          </cell>
        </row>
        <row r="124">
          <cell r="E124">
            <v>81</v>
          </cell>
        </row>
        <row r="125">
          <cell r="E125">
            <v>61</v>
          </cell>
        </row>
        <row r="126">
          <cell r="E126">
            <v>82</v>
          </cell>
        </row>
        <row r="127">
          <cell r="E127">
            <v>80</v>
          </cell>
        </row>
        <row r="128">
          <cell r="E128">
            <v>80</v>
          </cell>
        </row>
        <row r="129">
          <cell r="E129">
            <v>21</v>
          </cell>
        </row>
        <row r="130">
          <cell r="E130">
            <v>55</v>
          </cell>
        </row>
        <row r="131">
          <cell r="E131">
            <v>72</v>
          </cell>
        </row>
        <row r="132">
          <cell r="E132">
            <v>72</v>
          </cell>
        </row>
        <row r="133">
          <cell r="E133">
            <v>80</v>
          </cell>
        </row>
        <row r="134">
          <cell r="E134">
            <v>69</v>
          </cell>
        </row>
        <row r="135">
          <cell r="E135">
            <v>41</v>
          </cell>
        </row>
        <row r="136">
          <cell r="E136">
            <v>82</v>
          </cell>
        </row>
        <row r="137">
          <cell r="E137">
            <v>73</v>
          </cell>
        </row>
        <row r="138">
          <cell r="E138">
            <v>81</v>
          </cell>
        </row>
        <row r="139">
          <cell r="E139">
            <v>59</v>
          </cell>
        </row>
        <row r="140">
          <cell r="E140">
            <v>67</v>
          </cell>
        </row>
        <row r="141">
          <cell r="E141">
            <v>74</v>
          </cell>
        </row>
        <row r="142">
          <cell r="E142">
            <v>50</v>
          </cell>
        </row>
        <row r="143">
          <cell r="E143">
            <v>30</v>
          </cell>
        </row>
        <row r="144">
          <cell r="E144">
            <v>81</v>
          </cell>
        </row>
        <row r="145">
          <cell r="E145">
            <v>82</v>
          </cell>
        </row>
        <row r="146">
          <cell r="E146">
            <v>28</v>
          </cell>
        </row>
        <row r="147">
          <cell r="E147">
            <v>63</v>
          </cell>
        </row>
        <row r="148">
          <cell r="E148">
            <v>84</v>
          </cell>
        </row>
        <row r="149">
          <cell r="E149">
            <v>36</v>
          </cell>
        </row>
        <row r="150">
          <cell r="E150">
            <v>51</v>
          </cell>
        </row>
        <row r="151">
          <cell r="E151">
            <v>49</v>
          </cell>
        </row>
        <row r="152">
          <cell r="E152">
            <v>46</v>
          </cell>
        </row>
        <row r="153">
          <cell r="E153">
            <v>61</v>
          </cell>
        </row>
        <row r="154">
          <cell r="E154">
            <v>82</v>
          </cell>
        </row>
        <row r="155">
          <cell r="E155">
            <v>82</v>
          </cell>
        </row>
        <row r="156">
          <cell r="E156">
            <v>81</v>
          </cell>
        </row>
        <row r="157">
          <cell r="E157">
            <v>38</v>
          </cell>
        </row>
        <row r="158">
          <cell r="E158">
            <v>67</v>
          </cell>
        </row>
        <row r="159">
          <cell r="E159">
            <v>78</v>
          </cell>
        </row>
        <row r="160">
          <cell r="E160">
            <v>82</v>
          </cell>
        </row>
        <row r="161">
          <cell r="E161">
            <v>75</v>
          </cell>
        </row>
        <row r="162">
          <cell r="E162">
            <v>77</v>
          </cell>
        </row>
        <row r="163">
          <cell r="E163">
            <v>48</v>
          </cell>
        </row>
        <row r="164">
          <cell r="E164">
            <v>71</v>
          </cell>
        </row>
        <row r="165">
          <cell r="E165">
            <v>64</v>
          </cell>
        </row>
        <row r="166">
          <cell r="E166">
            <v>54</v>
          </cell>
        </row>
        <row r="167">
          <cell r="E167">
            <v>78</v>
          </cell>
        </row>
        <row r="168">
          <cell r="E168">
            <v>35</v>
          </cell>
        </row>
        <row r="169">
          <cell r="E169">
            <v>43</v>
          </cell>
        </row>
        <row r="170">
          <cell r="E170">
            <v>24</v>
          </cell>
        </row>
        <row r="171">
          <cell r="E171">
            <v>81</v>
          </cell>
        </row>
        <row r="172">
          <cell r="E172">
            <v>25</v>
          </cell>
        </row>
        <row r="173">
          <cell r="E173">
            <v>61</v>
          </cell>
        </row>
        <row r="174">
          <cell r="E174">
            <v>82</v>
          </cell>
        </row>
        <row r="175">
          <cell r="E175">
            <v>22</v>
          </cell>
        </row>
        <row r="176">
          <cell r="E176">
            <v>79</v>
          </cell>
        </row>
        <row r="177">
          <cell r="E177">
            <v>46</v>
          </cell>
        </row>
        <row r="178">
          <cell r="E178">
            <v>78</v>
          </cell>
        </row>
        <row r="179">
          <cell r="E179">
            <v>82</v>
          </cell>
        </row>
        <row r="180">
          <cell r="E180">
            <v>78</v>
          </cell>
        </row>
        <row r="181">
          <cell r="E181">
            <v>55</v>
          </cell>
        </row>
        <row r="182">
          <cell r="E182">
            <v>70</v>
          </cell>
        </row>
        <row r="183">
          <cell r="E183">
            <v>79</v>
          </cell>
        </row>
        <row r="184">
          <cell r="E184">
            <v>79</v>
          </cell>
        </row>
        <row r="185">
          <cell r="E185">
            <v>70</v>
          </cell>
        </row>
        <row r="186">
          <cell r="E186">
            <v>82</v>
          </cell>
        </row>
        <row r="187">
          <cell r="E187">
            <v>80</v>
          </cell>
        </row>
        <row r="188">
          <cell r="E188">
            <v>82</v>
          </cell>
        </row>
        <row r="189">
          <cell r="E189">
            <v>75</v>
          </cell>
        </row>
        <row r="190">
          <cell r="E190">
            <v>37</v>
          </cell>
        </row>
        <row r="191">
          <cell r="E191">
            <v>81</v>
          </cell>
        </row>
        <row r="192">
          <cell r="E192">
            <v>77</v>
          </cell>
        </row>
        <row r="193">
          <cell r="E193">
            <v>82</v>
          </cell>
        </row>
        <row r="194">
          <cell r="E194">
            <v>81</v>
          </cell>
        </row>
        <row r="195">
          <cell r="E195">
            <v>43</v>
          </cell>
        </row>
        <row r="196">
          <cell r="E196">
            <v>78</v>
          </cell>
        </row>
        <row r="197">
          <cell r="E197">
            <v>82</v>
          </cell>
        </row>
        <row r="198">
          <cell r="E198">
            <v>70</v>
          </cell>
        </row>
        <row r="199">
          <cell r="E199">
            <v>38</v>
          </cell>
        </row>
        <row r="200">
          <cell r="E200">
            <v>80</v>
          </cell>
        </row>
        <row r="201">
          <cell r="E201">
            <v>80</v>
          </cell>
        </row>
        <row r="202">
          <cell r="E202">
            <v>35</v>
          </cell>
        </row>
        <row r="203">
          <cell r="E203">
            <v>67</v>
          </cell>
        </row>
        <row r="204">
          <cell r="E204">
            <v>58</v>
          </cell>
        </row>
        <row r="205">
          <cell r="E205">
            <v>79</v>
          </cell>
        </row>
        <row r="206">
          <cell r="E206">
            <v>76</v>
          </cell>
        </row>
        <row r="207">
          <cell r="E207">
            <v>53</v>
          </cell>
        </row>
        <row r="208">
          <cell r="E208">
            <v>82</v>
          </cell>
        </row>
        <row r="209">
          <cell r="E209">
            <v>62</v>
          </cell>
        </row>
        <row r="210">
          <cell r="E210">
            <v>79</v>
          </cell>
        </row>
        <row r="211">
          <cell r="E211">
            <v>82</v>
          </cell>
        </row>
        <row r="212">
          <cell r="E212">
            <v>81</v>
          </cell>
        </row>
        <row r="213">
          <cell r="E213">
            <v>69</v>
          </cell>
        </row>
        <row r="214">
          <cell r="E214">
            <v>62</v>
          </cell>
        </row>
        <row r="215">
          <cell r="E215">
            <v>64</v>
          </cell>
        </row>
        <row r="216">
          <cell r="E216">
            <v>51</v>
          </cell>
        </row>
        <row r="217">
          <cell r="E217">
            <v>51</v>
          </cell>
        </row>
        <row r="218">
          <cell r="E218">
            <v>57</v>
          </cell>
        </row>
        <row r="219">
          <cell r="E219">
            <v>39</v>
          </cell>
        </row>
        <row r="220">
          <cell r="E220">
            <v>45</v>
          </cell>
        </row>
        <row r="221">
          <cell r="E221">
            <v>82</v>
          </cell>
        </row>
        <row r="222">
          <cell r="E222">
            <v>58</v>
          </cell>
        </row>
        <row r="223">
          <cell r="E223">
            <v>47</v>
          </cell>
        </row>
        <row r="224">
          <cell r="E224">
            <v>66</v>
          </cell>
        </row>
        <row r="225">
          <cell r="E225">
            <v>74</v>
          </cell>
        </row>
        <row r="226">
          <cell r="E226">
            <v>79</v>
          </cell>
        </row>
        <row r="227">
          <cell r="E227">
            <v>69</v>
          </cell>
        </row>
        <row r="228">
          <cell r="E228">
            <v>81</v>
          </cell>
        </row>
        <row r="229">
          <cell r="E229">
            <v>72</v>
          </cell>
        </row>
        <row r="230">
          <cell r="E230">
            <v>54</v>
          </cell>
        </row>
        <row r="231">
          <cell r="E231">
            <v>32</v>
          </cell>
        </row>
        <row r="232">
          <cell r="E232">
            <v>28</v>
          </cell>
        </row>
        <row r="233">
          <cell r="E233">
            <v>58</v>
          </cell>
        </row>
        <row r="234">
          <cell r="E234">
            <v>67</v>
          </cell>
        </row>
        <row r="235">
          <cell r="E235">
            <v>59</v>
          </cell>
        </row>
        <row r="236">
          <cell r="E236">
            <v>57</v>
          </cell>
        </row>
        <row r="237">
          <cell r="E237">
            <v>82</v>
          </cell>
        </row>
        <row r="238">
          <cell r="E238">
            <v>75</v>
          </cell>
        </row>
        <row r="239">
          <cell r="E239">
            <v>55</v>
          </cell>
        </row>
        <row r="240">
          <cell r="E240">
            <v>27</v>
          </cell>
        </row>
        <row r="241">
          <cell r="E241">
            <v>84</v>
          </cell>
        </row>
        <row r="242">
          <cell r="E242">
            <v>21</v>
          </cell>
        </row>
        <row r="243">
          <cell r="E243">
            <v>77</v>
          </cell>
        </row>
        <row r="244">
          <cell r="E244">
            <v>80</v>
          </cell>
        </row>
        <row r="245">
          <cell r="E245">
            <v>62</v>
          </cell>
        </row>
        <row r="246">
          <cell r="E246">
            <v>56</v>
          </cell>
        </row>
        <row r="247">
          <cell r="E247">
            <v>30</v>
          </cell>
        </row>
        <row r="248">
          <cell r="E248">
            <v>82</v>
          </cell>
        </row>
        <row r="249">
          <cell r="E249">
            <v>82</v>
          </cell>
        </row>
        <row r="250">
          <cell r="E250">
            <v>74</v>
          </cell>
        </row>
        <row r="251">
          <cell r="E251">
            <v>23</v>
          </cell>
        </row>
        <row r="252">
          <cell r="E252">
            <v>30</v>
          </cell>
        </row>
        <row r="253">
          <cell r="E253">
            <v>24</v>
          </cell>
        </row>
        <row r="254">
          <cell r="E254">
            <v>70</v>
          </cell>
        </row>
        <row r="255">
          <cell r="E255">
            <v>31</v>
          </cell>
        </row>
        <row r="256">
          <cell r="E256">
            <v>66</v>
          </cell>
        </row>
        <row r="257">
          <cell r="E257">
            <v>19</v>
          </cell>
        </row>
        <row r="258">
          <cell r="E258">
            <v>65</v>
          </cell>
        </row>
        <row r="259">
          <cell r="E259">
            <v>80</v>
          </cell>
        </row>
        <row r="260">
          <cell r="E260">
            <v>50</v>
          </cell>
        </row>
        <row r="261">
          <cell r="E261">
            <v>65</v>
          </cell>
        </row>
        <row r="262">
          <cell r="E262">
            <v>81</v>
          </cell>
        </row>
        <row r="263">
          <cell r="E263">
            <v>43</v>
          </cell>
        </row>
        <row r="264">
          <cell r="E264">
            <v>36</v>
          </cell>
        </row>
        <row r="265">
          <cell r="E265">
            <v>82</v>
          </cell>
        </row>
        <row r="266">
          <cell r="E266">
            <v>41</v>
          </cell>
        </row>
        <row r="267">
          <cell r="E267">
            <v>68</v>
          </cell>
        </row>
        <row r="268">
          <cell r="E268">
            <v>80</v>
          </cell>
        </row>
        <row r="269">
          <cell r="E269">
            <v>59</v>
          </cell>
        </row>
        <row r="270">
          <cell r="E270">
            <v>58</v>
          </cell>
        </row>
        <row r="271">
          <cell r="E271">
            <v>56</v>
          </cell>
        </row>
        <row r="272">
          <cell r="E272">
            <v>66</v>
          </cell>
        </row>
        <row r="273">
          <cell r="E273">
            <v>64</v>
          </cell>
        </row>
        <row r="274">
          <cell r="E274">
            <v>78</v>
          </cell>
        </row>
        <row r="275">
          <cell r="E275">
            <v>81</v>
          </cell>
        </row>
        <row r="276">
          <cell r="E276">
            <v>71</v>
          </cell>
        </row>
        <row r="277">
          <cell r="E277">
            <v>81</v>
          </cell>
        </row>
        <row r="278">
          <cell r="E278">
            <v>81</v>
          </cell>
        </row>
        <row r="279">
          <cell r="E279">
            <v>79</v>
          </cell>
        </row>
        <row r="280">
          <cell r="E280">
            <v>66</v>
          </cell>
        </row>
        <row r="281">
          <cell r="E281">
            <v>80</v>
          </cell>
        </row>
        <row r="282">
          <cell r="E282">
            <v>64</v>
          </cell>
        </row>
        <row r="283">
          <cell r="E283">
            <v>80</v>
          </cell>
        </row>
        <row r="284">
          <cell r="E284">
            <v>69</v>
          </cell>
        </row>
        <row r="285">
          <cell r="E285">
            <v>67</v>
          </cell>
        </row>
        <row r="286">
          <cell r="E286">
            <v>82</v>
          </cell>
        </row>
        <row r="287">
          <cell r="E287">
            <v>54</v>
          </cell>
        </row>
        <row r="288">
          <cell r="E288">
            <v>32</v>
          </cell>
        </row>
        <row r="289">
          <cell r="E289">
            <v>80</v>
          </cell>
        </row>
        <row r="290">
          <cell r="E290">
            <v>63</v>
          </cell>
        </row>
        <row r="291">
          <cell r="E291">
            <v>56</v>
          </cell>
        </row>
        <row r="292">
          <cell r="E292">
            <v>82</v>
          </cell>
        </row>
        <row r="293">
          <cell r="E293">
            <v>82</v>
          </cell>
        </row>
        <row r="294">
          <cell r="E294">
            <v>79</v>
          </cell>
        </row>
        <row r="295">
          <cell r="E295">
            <v>67</v>
          </cell>
        </row>
        <row r="296">
          <cell r="E296">
            <v>82</v>
          </cell>
        </row>
        <row r="297">
          <cell r="E297">
            <v>77</v>
          </cell>
        </row>
        <row r="298">
          <cell r="E298">
            <v>76</v>
          </cell>
        </row>
        <row r="299">
          <cell r="E299">
            <v>80</v>
          </cell>
        </row>
        <row r="300">
          <cell r="E300">
            <v>70</v>
          </cell>
        </row>
        <row r="301">
          <cell r="E301">
            <v>81</v>
          </cell>
        </row>
        <row r="302">
          <cell r="E302">
            <v>69</v>
          </cell>
        </row>
        <row r="303">
          <cell r="E303">
            <v>43</v>
          </cell>
        </row>
        <row r="304">
          <cell r="E304">
            <v>71</v>
          </cell>
        </row>
        <row r="305">
          <cell r="E305">
            <v>56</v>
          </cell>
        </row>
        <row r="306">
          <cell r="E306">
            <v>82</v>
          </cell>
        </row>
        <row r="307">
          <cell r="E307">
            <v>65</v>
          </cell>
        </row>
        <row r="308">
          <cell r="E308">
            <v>80</v>
          </cell>
        </row>
        <row r="309">
          <cell r="E309">
            <v>78</v>
          </cell>
        </row>
        <row r="310">
          <cell r="E310">
            <v>62</v>
          </cell>
        </row>
        <row r="311">
          <cell r="E311">
            <v>79</v>
          </cell>
        </row>
        <row r="312">
          <cell r="E312">
            <v>60</v>
          </cell>
        </row>
        <row r="313">
          <cell r="E313">
            <v>74</v>
          </cell>
        </row>
        <row r="314">
          <cell r="E314">
            <v>63</v>
          </cell>
        </row>
        <row r="315">
          <cell r="E315">
            <v>82</v>
          </cell>
        </row>
        <row r="316">
          <cell r="E316">
            <v>39</v>
          </cell>
        </row>
        <row r="317">
          <cell r="E317">
            <v>81</v>
          </cell>
        </row>
        <row r="318">
          <cell r="E318">
            <v>74</v>
          </cell>
        </row>
        <row r="319">
          <cell r="E319">
            <v>53</v>
          </cell>
        </row>
        <row r="320">
          <cell r="E320">
            <v>80</v>
          </cell>
        </row>
        <row r="321">
          <cell r="E321">
            <v>65</v>
          </cell>
        </row>
        <row r="322">
          <cell r="E322">
            <v>28</v>
          </cell>
        </row>
        <row r="323">
          <cell r="E323">
            <v>82</v>
          </cell>
        </row>
        <row r="324">
          <cell r="E324">
            <v>45</v>
          </cell>
        </row>
        <row r="325">
          <cell r="E325">
            <v>68</v>
          </cell>
        </row>
        <row r="326">
          <cell r="E326">
            <v>25</v>
          </cell>
        </row>
        <row r="327">
          <cell r="E327">
            <v>78</v>
          </cell>
        </row>
        <row r="328">
          <cell r="E328">
            <v>82</v>
          </cell>
        </row>
        <row r="329">
          <cell r="E329">
            <v>57</v>
          </cell>
        </row>
        <row r="330">
          <cell r="E330">
            <v>77</v>
          </cell>
        </row>
        <row r="331">
          <cell r="E331">
            <v>81</v>
          </cell>
        </row>
        <row r="332">
          <cell r="E332">
            <v>35</v>
          </cell>
        </row>
        <row r="333">
          <cell r="E333">
            <v>49</v>
          </cell>
        </row>
        <row r="334">
          <cell r="E334">
            <v>73</v>
          </cell>
        </row>
        <row r="335">
          <cell r="E335">
            <v>67</v>
          </cell>
        </row>
        <row r="336">
          <cell r="E336">
            <v>77</v>
          </cell>
        </row>
        <row r="337">
          <cell r="E337">
            <v>55</v>
          </cell>
        </row>
        <row r="338">
          <cell r="E338">
            <v>80</v>
          </cell>
        </row>
        <row r="339">
          <cell r="E339">
            <v>78</v>
          </cell>
        </row>
        <row r="340">
          <cell r="E340">
            <v>61</v>
          </cell>
        </row>
        <row r="341">
          <cell r="E341">
            <v>73</v>
          </cell>
        </row>
        <row r="342">
          <cell r="E342">
            <v>55</v>
          </cell>
        </row>
        <row r="343">
          <cell r="E343">
            <v>55</v>
          </cell>
        </row>
        <row r="344">
          <cell r="E344">
            <v>73</v>
          </cell>
        </row>
        <row r="345">
          <cell r="E345">
            <v>63</v>
          </cell>
        </row>
        <row r="346">
          <cell r="E346">
            <v>18</v>
          </cell>
        </row>
        <row r="347">
          <cell r="E347">
            <v>82</v>
          </cell>
        </row>
        <row r="348">
          <cell r="E348">
            <v>74</v>
          </cell>
        </row>
        <row r="349">
          <cell r="E349">
            <v>82</v>
          </cell>
        </row>
        <row r="350">
          <cell r="E350">
            <v>31</v>
          </cell>
        </row>
        <row r="351">
          <cell r="E351">
            <v>70</v>
          </cell>
        </row>
        <row r="352">
          <cell r="E352">
            <v>82</v>
          </cell>
        </row>
        <row r="353">
          <cell r="E353">
            <v>30</v>
          </cell>
        </row>
        <row r="354">
          <cell r="E354">
            <v>76</v>
          </cell>
        </row>
        <row r="355">
          <cell r="E355">
            <v>73</v>
          </cell>
        </row>
        <row r="356">
          <cell r="E356">
            <v>73</v>
          </cell>
        </row>
        <row r="357">
          <cell r="E357">
            <v>79</v>
          </cell>
        </row>
        <row r="358">
          <cell r="E358">
            <v>37</v>
          </cell>
        </row>
        <row r="359">
          <cell r="E359">
            <v>53</v>
          </cell>
        </row>
        <row r="360">
          <cell r="E360">
            <v>81</v>
          </cell>
        </row>
        <row r="361">
          <cell r="E361">
            <v>34</v>
          </cell>
        </row>
        <row r="362">
          <cell r="E362">
            <v>46</v>
          </cell>
        </row>
        <row r="363">
          <cell r="E363">
            <v>66</v>
          </cell>
        </row>
        <row r="364">
          <cell r="E364">
            <v>57</v>
          </cell>
        </row>
        <row r="365">
          <cell r="E365">
            <v>78</v>
          </cell>
        </row>
        <row r="366">
          <cell r="E366">
            <v>46</v>
          </cell>
        </row>
        <row r="367">
          <cell r="E367">
            <v>82</v>
          </cell>
        </row>
        <row r="368">
          <cell r="E368">
            <v>20</v>
          </cell>
        </row>
        <row r="369">
          <cell r="E369">
            <v>28</v>
          </cell>
        </row>
        <row r="370">
          <cell r="E370">
            <v>73</v>
          </cell>
        </row>
        <row r="371">
          <cell r="E371">
            <v>73</v>
          </cell>
        </row>
        <row r="372">
          <cell r="E372">
            <v>81</v>
          </cell>
        </row>
        <row r="373">
          <cell r="E373">
            <v>71</v>
          </cell>
        </row>
        <row r="374">
          <cell r="E374">
            <v>59</v>
          </cell>
        </row>
        <row r="375">
          <cell r="E375">
            <v>55</v>
          </cell>
        </row>
        <row r="376">
          <cell r="E376">
            <v>82</v>
          </cell>
        </row>
        <row r="377">
          <cell r="E377">
            <v>57</v>
          </cell>
        </row>
        <row r="378">
          <cell r="E378">
            <v>82</v>
          </cell>
        </row>
        <row r="379">
          <cell r="E379">
            <v>53</v>
          </cell>
        </row>
        <row r="380">
          <cell r="E380">
            <v>53</v>
          </cell>
        </row>
        <row r="381">
          <cell r="E381">
            <v>73</v>
          </cell>
        </row>
        <row r="382">
          <cell r="E382">
            <v>82</v>
          </cell>
        </row>
        <row r="383">
          <cell r="E383">
            <v>64</v>
          </cell>
        </row>
        <row r="384">
          <cell r="E384">
            <v>63</v>
          </cell>
        </row>
        <row r="385">
          <cell r="E385">
            <v>52</v>
          </cell>
        </row>
        <row r="386">
          <cell r="E386">
            <v>48</v>
          </cell>
        </row>
        <row r="387">
          <cell r="E387">
            <v>70</v>
          </cell>
        </row>
        <row r="388">
          <cell r="E388">
            <v>82</v>
          </cell>
        </row>
        <row r="389">
          <cell r="E389">
            <v>65</v>
          </cell>
        </row>
        <row r="390">
          <cell r="E390">
            <v>71</v>
          </cell>
        </row>
        <row r="391">
          <cell r="E391">
            <v>78</v>
          </cell>
        </row>
        <row r="392">
          <cell r="E392">
            <v>71</v>
          </cell>
        </row>
        <row r="393">
          <cell r="E393">
            <v>25</v>
          </cell>
        </row>
        <row r="394">
          <cell r="E394">
            <v>75</v>
          </cell>
        </row>
        <row r="395">
          <cell r="E395">
            <v>82</v>
          </cell>
        </row>
        <row r="396">
          <cell r="E396">
            <v>82</v>
          </cell>
        </row>
        <row r="397">
          <cell r="E397">
            <v>63</v>
          </cell>
        </row>
        <row r="398">
          <cell r="E398">
            <v>82</v>
          </cell>
        </row>
        <row r="399">
          <cell r="E399">
            <v>50</v>
          </cell>
        </row>
        <row r="400">
          <cell r="E400">
            <v>64</v>
          </cell>
        </row>
        <row r="401">
          <cell r="E401">
            <v>78</v>
          </cell>
        </row>
        <row r="402">
          <cell r="E402">
            <v>80</v>
          </cell>
        </row>
        <row r="403">
          <cell r="E403">
            <v>81</v>
          </cell>
        </row>
        <row r="404">
          <cell r="E404">
            <v>58</v>
          </cell>
        </row>
        <row r="405">
          <cell r="E405">
            <v>78</v>
          </cell>
        </row>
        <row r="406">
          <cell r="E406">
            <v>76</v>
          </cell>
        </row>
        <row r="407">
          <cell r="E407">
            <v>32</v>
          </cell>
        </row>
        <row r="408">
          <cell r="E408">
            <v>61</v>
          </cell>
        </row>
        <row r="409">
          <cell r="E409">
            <v>78</v>
          </cell>
        </row>
        <row r="410">
          <cell r="E410">
            <v>63</v>
          </cell>
        </row>
        <row r="411">
          <cell r="E411">
            <v>68</v>
          </cell>
        </row>
        <row r="412">
          <cell r="E412">
            <v>78</v>
          </cell>
        </row>
        <row r="413">
          <cell r="E413">
            <v>78</v>
          </cell>
        </row>
        <row r="414">
          <cell r="E414">
            <v>33</v>
          </cell>
        </row>
        <row r="415">
          <cell r="E415">
            <v>79</v>
          </cell>
        </row>
        <row r="416">
          <cell r="E416">
            <v>66</v>
          </cell>
        </row>
        <row r="417">
          <cell r="E417">
            <v>82</v>
          </cell>
        </row>
        <row r="418">
          <cell r="E418">
            <v>51</v>
          </cell>
        </row>
        <row r="419">
          <cell r="E419">
            <v>82</v>
          </cell>
        </row>
        <row r="420">
          <cell r="E420">
            <v>60</v>
          </cell>
        </row>
        <row r="421">
          <cell r="E421">
            <v>79</v>
          </cell>
        </row>
        <row r="422">
          <cell r="E422">
            <v>82</v>
          </cell>
        </row>
        <row r="423">
          <cell r="E423">
            <v>59</v>
          </cell>
        </row>
        <row r="424">
          <cell r="E424">
            <v>81</v>
          </cell>
        </row>
        <row r="425">
          <cell r="E425">
            <v>70</v>
          </cell>
        </row>
        <row r="426">
          <cell r="E426">
            <v>82</v>
          </cell>
        </row>
        <row r="427">
          <cell r="E427">
            <v>50</v>
          </cell>
        </row>
        <row r="428">
          <cell r="E428">
            <v>56</v>
          </cell>
        </row>
        <row r="429">
          <cell r="E429">
            <v>62</v>
          </cell>
        </row>
        <row r="430">
          <cell r="E430">
            <v>61</v>
          </cell>
        </row>
        <row r="431">
          <cell r="E431">
            <v>76</v>
          </cell>
        </row>
        <row r="432">
          <cell r="E432">
            <v>82</v>
          </cell>
        </row>
        <row r="433">
          <cell r="E433">
            <v>71</v>
          </cell>
        </row>
        <row r="434">
          <cell r="E434">
            <v>53</v>
          </cell>
        </row>
        <row r="435">
          <cell r="E435">
            <v>39</v>
          </cell>
        </row>
        <row r="436">
          <cell r="E436">
            <v>75</v>
          </cell>
        </row>
        <row r="437">
          <cell r="E437">
            <v>77</v>
          </cell>
        </row>
        <row r="438">
          <cell r="E438">
            <v>82</v>
          </cell>
        </row>
        <row r="439">
          <cell r="E439">
            <v>26</v>
          </cell>
        </row>
        <row r="440">
          <cell r="E440">
            <v>44</v>
          </cell>
        </row>
        <row r="441">
          <cell r="E441">
            <v>69</v>
          </cell>
        </row>
        <row r="442">
          <cell r="E442">
            <v>77</v>
          </cell>
        </row>
        <row r="443">
          <cell r="E443">
            <v>60</v>
          </cell>
        </row>
        <row r="444">
          <cell r="E444">
            <v>27</v>
          </cell>
        </row>
        <row r="445">
          <cell r="E445">
            <v>67</v>
          </cell>
        </row>
        <row r="446">
          <cell r="E446">
            <v>56</v>
          </cell>
        </row>
        <row r="447">
          <cell r="E447">
            <v>82</v>
          </cell>
        </row>
        <row r="448">
          <cell r="E448">
            <v>82</v>
          </cell>
        </row>
        <row r="449">
          <cell r="E449">
            <v>82</v>
          </cell>
        </row>
        <row r="450">
          <cell r="E450">
            <v>77</v>
          </cell>
        </row>
        <row r="451">
          <cell r="E451">
            <v>81</v>
          </cell>
        </row>
        <row r="452">
          <cell r="E452">
            <v>30</v>
          </cell>
        </row>
        <row r="453">
          <cell r="E453">
            <v>75</v>
          </cell>
        </row>
        <row r="454">
          <cell r="E454">
            <v>77</v>
          </cell>
        </row>
        <row r="455">
          <cell r="E455">
            <v>79</v>
          </cell>
        </row>
        <row r="456">
          <cell r="E456">
            <v>82</v>
          </cell>
        </row>
        <row r="457">
          <cell r="E457">
            <v>51</v>
          </cell>
        </row>
        <row r="458">
          <cell r="E458">
            <v>56</v>
          </cell>
        </row>
        <row r="459">
          <cell r="E459">
            <v>80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A2" t="str">
            <v>A.J. Greer</v>
          </cell>
          <cell r="B2" t="str">
            <v>BOS</v>
          </cell>
          <cell r="I2">
            <v>0.12445414847161572</v>
          </cell>
          <cell r="J2">
            <v>0.45196506550218341</v>
          </cell>
          <cell r="K2">
            <v>0.38209606986899564</v>
          </cell>
          <cell r="L2">
            <v>0.35807860262008734</v>
          </cell>
          <cell r="S2">
            <v>0.20742358078602621</v>
          </cell>
          <cell r="T2">
            <v>0.33842794759825329</v>
          </cell>
          <cell r="U2">
            <v>0.34934497816593885</v>
          </cell>
          <cell r="V2">
            <v>0.20524017467248909</v>
          </cell>
          <cell r="AC2">
            <v>0.90611353711790388</v>
          </cell>
          <cell r="AD2">
            <v>0.85589519650655022</v>
          </cell>
          <cell r="AE2">
            <v>0.97816593886462877</v>
          </cell>
          <cell r="AF2">
            <v>0.95196506550218341</v>
          </cell>
          <cell r="AM2">
            <v>4.148471615720524E-2</v>
          </cell>
          <cell r="AN2">
            <v>0.23362445414847161</v>
          </cell>
          <cell r="AO2">
            <v>8.0786026200873357E-2</v>
          </cell>
          <cell r="AP2">
            <v>0.25327510917030566</v>
          </cell>
          <cell r="AW2">
            <v>0.94541484716157209</v>
          </cell>
          <cell r="AX2">
            <v>0.86462882096069871</v>
          </cell>
          <cell r="AY2">
            <v>0.79912663755458513</v>
          </cell>
          <cell r="AZ2">
            <v>0.90174672489082974</v>
          </cell>
          <cell r="BG2">
            <v>3.4934497816593885E-2</v>
          </cell>
          <cell r="BH2">
            <v>1.5283842794759825E-2</v>
          </cell>
          <cell r="BI2">
            <v>0.65938864628820959</v>
          </cell>
          <cell r="BJ2">
            <v>0.94759825327510916</v>
          </cell>
          <cell r="BQ2">
            <v>0.44978165938864628</v>
          </cell>
          <cell r="BR2">
            <v>0.67685589519650657</v>
          </cell>
          <cell r="BS2">
            <v>0.92794759825327511</v>
          </cell>
          <cell r="BT2">
            <v>0.74454148471615722</v>
          </cell>
          <cell r="BX2">
            <v>0.44759825327510916</v>
          </cell>
          <cell r="CJ2">
            <v>1.7467248908296942E-2</v>
          </cell>
          <cell r="CK2">
            <v>0.92139737991266379</v>
          </cell>
        </row>
        <row r="3">
          <cell r="A3" t="str">
            <v>Adam Erne</v>
          </cell>
          <cell r="B3" t="str">
            <v>DET</v>
          </cell>
          <cell r="I3">
            <v>2.4017467248908297E-2</v>
          </cell>
          <cell r="J3">
            <v>2.4017467248908297E-2</v>
          </cell>
          <cell r="K3">
            <v>0.12882096069868995</v>
          </cell>
          <cell r="L3">
            <v>1.5283842794759825E-2</v>
          </cell>
          <cell r="S3">
            <v>0.29694323144104806</v>
          </cell>
          <cell r="T3">
            <v>0.25982532751091703</v>
          </cell>
          <cell r="U3">
            <v>0.21615720524017468</v>
          </cell>
          <cell r="V3">
            <v>0.18558951965065501</v>
          </cell>
          <cell r="AC3">
            <v>0.34497816593886466</v>
          </cell>
          <cell r="AD3">
            <v>0.56768558951965065</v>
          </cell>
          <cell r="AE3">
            <v>0.22707423580786026</v>
          </cell>
          <cell r="AF3">
            <v>0.65502183406113534</v>
          </cell>
          <cell r="AM3">
            <v>8.0786026200873357E-2</v>
          </cell>
          <cell r="AN3">
            <v>0.11572052401746726</v>
          </cell>
          <cell r="AO3">
            <v>0.23144104803493451</v>
          </cell>
          <cell r="AP3">
            <v>6.768558951965066E-2</v>
          </cell>
          <cell r="AW3">
            <v>0.33187772925764192</v>
          </cell>
          <cell r="AX3">
            <v>0.82751091703056767</v>
          </cell>
          <cell r="AY3">
            <v>0.29475982532751094</v>
          </cell>
          <cell r="AZ3">
            <v>0.79694323144104806</v>
          </cell>
          <cell r="BG3">
            <v>0.36681222707423583</v>
          </cell>
          <cell r="BH3">
            <v>0.65938864628820959</v>
          </cell>
          <cell r="BI3">
            <v>0.43231441048034935</v>
          </cell>
          <cell r="BJ3">
            <v>0.18122270742358079</v>
          </cell>
          <cell r="BQ3">
            <v>5.458515283842795E-2</v>
          </cell>
          <cell r="BR3">
            <v>5.6768558951965066E-2</v>
          </cell>
          <cell r="BS3">
            <v>7.8602620087336247E-2</v>
          </cell>
          <cell r="BT3">
            <v>5.8951965065502182E-2</v>
          </cell>
          <cell r="BX3">
            <v>7.6419213973799124E-2</v>
          </cell>
          <cell r="CJ3">
            <v>0.53493449781659386</v>
          </cell>
          <cell r="CK3">
            <v>0.3296943231441048</v>
          </cell>
        </row>
        <row r="4">
          <cell r="A4" t="str">
            <v>Adam Henrique</v>
          </cell>
          <cell r="B4" t="str">
            <v>ANA</v>
          </cell>
          <cell r="I4">
            <v>0.32751091703056767</v>
          </cell>
          <cell r="J4">
            <v>0.57641921397379914</v>
          </cell>
          <cell r="K4">
            <v>0.61790393013100442</v>
          </cell>
          <cell r="L4">
            <v>0.53493449781659386</v>
          </cell>
          <cell r="S4">
            <v>0.89519650655021832</v>
          </cell>
          <cell r="T4">
            <v>0.34716157205240172</v>
          </cell>
          <cell r="U4">
            <v>0.17903930131004367</v>
          </cell>
          <cell r="V4">
            <v>0.69650655021834063</v>
          </cell>
          <cell r="AC4">
            <v>7.2052401746724892E-2</v>
          </cell>
          <cell r="AD4">
            <v>7.4235807860262015E-2</v>
          </cell>
          <cell r="AE4">
            <v>0.29039301310043669</v>
          </cell>
          <cell r="AF4">
            <v>6.5502183406113537E-2</v>
          </cell>
          <cell r="AM4">
            <v>0.63100436681222705</v>
          </cell>
          <cell r="AN4">
            <v>0.85371179039301315</v>
          </cell>
          <cell r="AO4">
            <v>0.85152838427947597</v>
          </cell>
          <cell r="AP4">
            <v>0.86244541484716153</v>
          </cell>
          <cell r="AW4">
            <v>0.93231441048034935</v>
          </cell>
          <cell r="AX4">
            <v>0.95414847161572047</v>
          </cell>
          <cell r="AY4">
            <v>0.92576419213973804</v>
          </cell>
          <cell r="AZ4">
            <v>0.8733624454148472</v>
          </cell>
          <cell r="BG4">
            <v>0.55895196506550215</v>
          </cell>
          <cell r="BH4">
            <v>0.57860262008733621</v>
          </cell>
          <cell r="BI4">
            <v>0.74890829694323147</v>
          </cell>
          <cell r="BJ4">
            <v>0.74672489082969429</v>
          </cell>
          <cell r="BQ4">
            <v>0.13100436681222707</v>
          </cell>
          <cell r="BR4">
            <v>0.26200873362445415</v>
          </cell>
          <cell r="BS4">
            <v>0.4366812227074236</v>
          </cell>
          <cell r="BT4">
            <v>0.23799126637554585</v>
          </cell>
          <cell r="BX4">
            <v>0.50218340611353707</v>
          </cell>
          <cell r="CJ4">
            <v>0.52838427947598254</v>
          </cell>
          <cell r="CK4">
            <v>0.2576419213973799</v>
          </cell>
        </row>
        <row r="5">
          <cell r="A5" t="str">
            <v>Adam Lowry</v>
          </cell>
          <cell r="B5" t="str">
            <v>WPG</v>
          </cell>
          <cell r="I5">
            <v>0.5633187772925764</v>
          </cell>
          <cell r="J5">
            <v>0.83624454148471616</v>
          </cell>
          <cell r="K5">
            <v>0.27729257641921395</v>
          </cell>
          <cell r="L5">
            <v>0.84716157205240172</v>
          </cell>
          <cell r="S5">
            <v>0.36681222707423583</v>
          </cell>
          <cell r="T5">
            <v>0.4759825327510917</v>
          </cell>
          <cell r="U5">
            <v>0.36244541484716158</v>
          </cell>
          <cell r="V5">
            <v>0.39956331877729256</v>
          </cell>
          <cell r="AC5">
            <v>0.55895196506550215</v>
          </cell>
          <cell r="AD5">
            <v>0.68558951965065507</v>
          </cell>
          <cell r="AE5">
            <v>0.6266375545851528</v>
          </cell>
          <cell r="AF5">
            <v>0.67248908296943233</v>
          </cell>
          <cell r="AM5">
            <v>0.41703056768558949</v>
          </cell>
          <cell r="AN5">
            <v>0.86462882096069871</v>
          </cell>
          <cell r="AO5">
            <v>0.35152838427947597</v>
          </cell>
          <cell r="AP5">
            <v>0.81222707423580787</v>
          </cell>
          <cell r="AW5">
            <v>0.40829694323144106</v>
          </cell>
          <cell r="AX5">
            <v>0.60480349344978168</v>
          </cell>
          <cell r="AY5">
            <v>0.4366812227074236</v>
          </cell>
          <cell r="AZ5">
            <v>0.65502183406113534</v>
          </cell>
          <cell r="BG5">
            <v>0.35589519650655022</v>
          </cell>
          <cell r="BH5">
            <v>7.4235807860262015E-2</v>
          </cell>
          <cell r="BI5">
            <v>0.26637554585152839</v>
          </cell>
          <cell r="BJ5">
            <v>0.42794759825327511</v>
          </cell>
          <cell r="BQ5">
            <v>0.55676855895196509</v>
          </cell>
          <cell r="BR5">
            <v>0.86026200873362446</v>
          </cell>
          <cell r="BS5">
            <v>0.40174672489082969</v>
          </cell>
          <cell r="BT5">
            <v>0.84061135371179041</v>
          </cell>
          <cell r="BX5">
            <v>0.65502183406113534</v>
          </cell>
          <cell r="CJ5">
            <v>0.36681222707423583</v>
          </cell>
          <cell r="CK5">
            <v>0.40829694323144106</v>
          </cell>
        </row>
        <row r="6">
          <cell r="A6" t="str">
            <v>Adam Ruzicka</v>
          </cell>
          <cell r="B6" t="str">
            <v>CGY</v>
          </cell>
          <cell r="I6">
            <v>0.85589519650655022</v>
          </cell>
          <cell r="J6">
            <v>0.27510917030567683</v>
          </cell>
          <cell r="K6">
            <v>0.48471615720524019</v>
          </cell>
          <cell r="L6">
            <v>0.59825327510917026</v>
          </cell>
          <cell r="S6">
            <v>0.34279475982532753</v>
          </cell>
          <cell r="T6">
            <v>0.86681222707423577</v>
          </cell>
          <cell r="U6">
            <v>0.84279475982532748</v>
          </cell>
          <cell r="V6">
            <v>0.71397379912663761</v>
          </cell>
          <cell r="AC6">
            <v>0.97379912663755464</v>
          </cell>
          <cell r="AD6">
            <v>0.87117903930131002</v>
          </cell>
          <cell r="AE6">
            <v>0.41703056768558949</v>
          </cell>
          <cell r="AF6">
            <v>0.95851528384279472</v>
          </cell>
          <cell r="AM6">
            <v>0.59170305676855894</v>
          </cell>
          <cell r="AN6">
            <v>0.37117903930131002</v>
          </cell>
          <cell r="AO6">
            <v>0.34279475982532753</v>
          </cell>
          <cell r="AP6">
            <v>0.42139737991266374</v>
          </cell>
          <cell r="AW6">
            <v>0.75545851528384278</v>
          </cell>
          <cell r="AX6">
            <v>0.70305676855895194</v>
          </cell>
          <cell r="AY6">
            <v>0.53275109170305679</v>
          </cell>
          <cell r="AZ6">
            <v>0.79257641921397382</v>
          </cell>
          <cell r="BG6">
            <v>0.12008733624454149</v>
          </cell>
          <cell r="BH6">
            <v>0.54803493449781659</v>
          </cell>
          <cell r="BI6">
            <v>0.2423580786026201</v>
          </cell>
          <cell r="BJ6">
            <v>5.0218340611353711E-2</v>
          </cell>
          <cell r="BQ6">
            <v>0.95414847161572047</v>
          </cell>
          <cell r="BR6">
            <v>0.51528384279475981</v>
          </cell>
          <cell r="BS6">
            <v>0.44104803493449779</v>
          </cell>
          <cell r="BT6">
            <v>0.88209606986899558</v>
          </cell>
          <cell r="BX6">
            <v>0.90611353711790388</v>
          </cell>
          <cell r="CJ6">
            <v>0.66593886462882101</v>
          </cell>
          <cell r="CK6">
            <v>0.34497816593886466</v>
          </cell>
        </row>
        <row r="7">
          <cell r="A7" t="str">
            <v>Adrian Kempe</v>
          </cell>
          <cell r="B7" t="str">
            <v>L.A</v>
          </cell>
          <cell r="I7">
            <v>0.67685589519650657</v>
          </cell>
          <cell r="J7">
            <v>0.59825327510917026</v>
          </cell>
          <cell r="K7">
            <v>0.6266375545851528</v>
          </cell>
          <cell r="L7">
            <v>0.48034934497816595</v>
          </cell>
          <cell r="S7">
            <v>0.92358078602620086</v>
          </cell>
          <cell r="T7">
            <v>0.21615720524017468</v>
          </cell>
          <cell r="U7">
            <v>0.34934497816593885</v>
          </cell>
          <cell r="V7">
            <v>0.63755458515283847</v>
          </cell>
          <cell r="AC7">
            <v>0.87772925764192145</v>
          </cell>
          <cell r="AD7">
            <v>0.65502183406113534</v>
          </cell>
          <cell r="AE7">
            <v>0.84716157205240172</v>
          </cell>
          <cell r="AF7">
            <v>0.75109170305676853</v>
          </cell>
          <cell r="AM7">
            <v>0.51091703056768556</v>
          </cell>
          <cell r="AN7">
            <v>0.33406113537117904</v>
          </cell>
          <cell r="AO7">
            <v>0.62008733624454149</v>
          </cell>
          <cell r="AP7">
            <v>0.41048034934497818</v>
          </cell>
          <cell r="AW7">
            <v>0.48034934497816595</v>
          </cell>
          <cell r="AX7">
            <v>0.32532751091703055</v>
          </cell>
          <cell r="AY7">
            <v>0.86462882096069871</v>
          </cell>
          <cell r="AZ7">
            <v>0.39956331877729256</v>
          </cell>
          <cell r="BG7">
            <v>0.76419213973799127</v>
          </cell>
          <cell r="BH7">
            <v>0.38209606986899564</v>
          </cell>
          <cell r="BI7">
            <v>0.55458515283842791</v>
          </cell>
          <cell r="BJ7">
            <v>0.68340611353711789</v>
          </cell>
          <cell r="BQ7">
            <v>0.82096069868995636</v>
          </cell>
          <cell r="BR7">
            <v>0.63537117903930129</v>
          </cell>
          <cell r="BS7">
            <v>0.85152838427947597</v>
          </cell>
          <cell r="BT7">
            <v>0.66157205240174677</v>
          </cell>
          <cell r="BX7">
            <v>0.67685589519650657</v>
          </cell>
          <cell r="CJ7">
            <v>0.27292576419213976</v>
          </cell>
          <cell r="CK7">
            <v>0.46724890829694321</v>
          </cell>
        </row>
        <row r="8">
          <cell r="A8" t="str">
            <v>Aleksander Barkov</v>
          </cell>
          <cell r="B8" t="str">
            <v>FLA</v>
          </cell>
          <cell r="I8">
            <v>0.90174672489082974</v>
          </cell>
          <cell r="J8">
            <v>0.87772925764192145</v>
          </cell>
          <cell r="K8">
            <v>0.92139737991266379</v>
          </cell>
          <cell r="L8">
            <v>0.8973799126637555</v>
          </cell>
          <cell r="S8">
            <v>0.65938864628820959</v>
          </cell>
          <cell r="T8">
            <v>0.93449781659388642</v>
          </cell>
          <cell r="U8">
            <v>0.8493449781659389</v>
          </cell>
          <cell r="V8">
            <v>0.89082969432314407</v>
          </cell>
          <cell r="AC8">
            <v>0.62445414847161573</v>
          </cell>
          <cell r="AD8">
            <v>0.34497816593886466</v>
          </cell>
          <cell r="AE8">
            <v>0.42794759825327511</v>
          </cell>
          <cell r="AF8">
            <v>0.51310043668122274</v>
          </cell>
          <cell r="AM8">
            <v>0.6026200873362445</v>
          </cell>
          <cell r="AN8">
            <v>0.62882096069868998</v>
          </cell>
          <cell r="AO8">
            <v>0.75982532751091703</v>
          </cell>
          <cell r="AP8">
            <v>0.68558951965065507</v>
          </cell>
          <cell r="AW8">
            <v>0.76419213973799127</v>
          </cell>
          <cell r="AX8">
            <v>0.611353711790393</v>
          </cell>
          <cell r="AY8">
            <v>0.26855895196506552</v>
          </cell>
          <cell r="AZ8">
            <v>0.63100436681222705</v>
          </cell>
          <cell r="BG8">
            <v>0.76200873362445409</v>
          </cell>
          <cell r="BH8">
            <v>0.37991266375545851</v>
          </cell>
          <cell r="BI8">
            <v>0.81222707423580787</v>
          </cell>
          <cell r="BJ8">
            <v>0.68340611353711789</v>
          </cell>
          <cell r="BQ8">
            <v>0.89519650655021832</v>
          </cell>
          <cell r="BR8">
            <v>0.75327510917030571</v>
          </cell>
          <cell r="BS8">
            <v>0.81877729257641918</v>
          </cell>
          <cell r="BT8">
            <v>0.85807860262008728</v>
          </cell>
          <cell r="BX8">
            <v>0.91048034934497812</v>
          </cell>
          <cell r="CJ8">
            <v>0.94541484716157209</v>
          </cell>
          <cell r="CK8">
            <v>0.4366812227074236</v>
          </cell>
        </row>
        <row r="9">
          <cell r="A9" t="str">
            <v>Alex Belzile</v>
          </cell>
          <cell r="B9" t="str">
            <v>MTL</v>
          </cell>
          <cell r="I9">
            <v>3.7117903930131008E-2</v>
          </cell>
          <cell r="J9">
            <v>7.2052401746724892E-2</v>
          </cell>
          <cell r="K9">
            <v>0.888646288209607</v>
          </cell>
          <cell r="L9">
            <v>4.3668122270742356E-2</v>
          </cell>
          <cell r="S9">
            <v>0.84061135371179041</v>
          </cell>
          <cell r="T9">
            <v>0.87554585152838427</v>
          </cell>
          <cell r="U9">
            <v>0.48034934497816595</v>
          </cell>
          <cell r="V9">
            <v>0.93449781659388642</v>
          </cell>
          <cell r="AC9">
            <v>0.2576419213973799</v>
          </cell>
          <cell r="AD9">
            <v>0.28384279475982532</v>
          </cell>
          <cell r="AE9">
            <v>8.296943231441048E-2</v>
          </cell>
          <cell r="AF9">
            <v>0.51310043668122274</v>
          </cell>
          <cell r="AM9">
            <v>0.3296943231441048</v>
          </cell>
          <cell r="AN9">
            <v>0.27947598253275108</v>
          </cell>
          <cell r="AO9">
            <v>0.87117903930131002</v>
          </cell>
          <cell r="AP9">
            <v>0.14192139737991266</v>
          </cell>
          <cell r="AW9">
            <v>0.54803493449781659</v>
          </cell>
          <cell r="AX9">
            <v>0.80349344978165937</v>
          </cell>
          <cell r="AY9">
            <v>0.25327510917030566</v>
          </cell>
          <cell r="AZ9">
            <v>0.89301310043668125</v>
          </cell>
          <cell r="BG9">
            <v>0.27074235807860264</v>
          </cell>
          <cell r="BH9">
            <v>0.26637554585152839</v>
          </cell>
          <cell r="BI9">
            <v>0.99781659388646293</v>
          </cell>
          <cell r="BJ9">
            <v>0.91921397379912662</v>
          </cell>
          <cell r="BQ9">
            <v>6.5502183406113537E-2</v>
          </cell>
          <cell r="BR9">
            <v>9.3886462882096067E-2</v>
          </cell>
          <cell r="BS9">
            <v>0.48471615720524019</v>
          </cell>
          <cell r="BT9">
            <v>9.8253275109170299E-2</v>
          </cell>
          <cell r="BX9">
            <v>0.32751091703056767</v>
          </cell>
          <cell r="CJ9">
            <v>0.36899563318777295</v>
          </cell>
          <cell r="CK9">
            <v>0.82751091703056767</v>
          </cell>
        </row>
        <row r="10">
          <cell r="A10" t="str">
            <v>Alex DeBrincat</v>
          </cell>
          <cell r="B10" t="str">
            <v>OTT</v>
          </cell>
          <cell r="I10">
            <v>0.73580786026200873</v>
          </cell>
          <cell r="J10">
            <v>0.65938864628820959</v>
          </cell>
          <cell r="K10">
            <v>0.32532751091703055</v>
          </cell>
          <cell r="L10">
            <v>0.67030567685589515</v>
          </cell>
          <cell r="S10">
            <v>0.44323144104803491</v>
          </cell>
          <cell r="T10">
            <v>0.53056768558951961</v>
          </cell>
          <cell r="U10">
            <v>0.72925764192139741</v>
          </cell>
          <cell r="V10">
            <v>0.48908296943231439</v>
          </cell>
          <cell r="AC10">
            <v>0.33842794759825329</v>
          </cell>
          <cell r="AD10">
            <v>0.24017467248908297</v>
          </cell>
          <cell r="AE10">
            <v>0.20524017467248909</v>
          </cell>
          <cell r="AF10">
            <v>0.25327510917030566</v>
          </cell>
          <cell r="AM10">
            <v>0.50873362445414849</v>
          </cell>
          <cell r="AN10">
            <v>0.49781659388646288</v>
          </cell>
          <cell r="AO10">
            <v>0.42358078602620086</v>
          </cell>
          <cell r="AP10">
            <v>0.48471615720524019</v>
          </cell>
          <cell r="AW10">
            <v>0.23144104803493451</v>
          </cell>
          <cell r="AX10">
            <v>0.11572052401746726</v>
          </cell>
          <cell r="AY10">
            <v>0.23580786026200873</v>
          </cell>
          <cell r="AZ10">
            <v>0.16375545851528384</v>
          </cell>
          <cell r="BG10">
            <v>0.86462882096069871</v>
          </cell>
          <cell r="BH10">
            <v>0.8253275109170306</v>
          </cell>
          <cell r="BI10">
            <v>0.17467248908296942</v>
          </cell>
          <cell r="BJ10">
            <v>0.11790393013100436</v>
          </cell>
          <cell r="BQ10">
            <v>0.60480349344978168</v>
          </cell>
          <cell r="BR10">
            <v>0.45196506550218341</v>
          </cell>
          <cell r="BS10">
            <v>0.19868995633187772</v>
          </cell>
          <cell r="BT10">
            <v>0.48689956331877732</v>
          </cell>
          <cell r="BX10">
            <v>0.40829694323144106</v>
          </cell>
          <cell r="CJ10">
            <v>0.68995633187772931</v>
          </cell>
          <cell r="CK10">
            <v>0.61790393013100442</v>
          </cell>
        </row>
        <row r="11">
          <cell r="A11" t="str">
            <v>Alex Iafallo</v>
          </cell>
          <cell r="B11" t="str">
            <v>L.A</v>
          </cell>
          <cell r="I11">
            <v>0.81004366812227069</v>
          </cell>
          <cell r="J11">
            <v>0.74235807860262004</v>
          </cell>
          <cell r="K11">
            <v>0.57860262008733621</v>
          </cell>
          <cell r="L11">
            <v>0.70960698689956336</v>
          </cell>
          <cell r="S11">
            <v>0.27510917030567683</v>
          </cell>
          <cell r="T11">
            <v>0.89519650655021832</v>
          </cell>
          <cell r="U11">
            <v>0.83406113537117899</v>
          </cell>
          <cell r="V11">
            <v>0.74454148471615722</v>
          </cell>
          <cell r="AC11">
            <v>0.86462882096069871</v>
          </cell>
          <cell r="AD11">
            <v>0.611353711790393</v>
          </cell>
          <cell r="AE11">
            <v>0.87554585152838427</v>
          </cell>
          <cell r="AF11">
            <v>0.79912663755458513</v>
          </cell>
          <cell r="AM11">
            <v>0.67030567685589515</v>
          </cell>
          <cell r="AN11">
            <v>0.57423580786026196</v>
          </cell>
          <cell r="AO11">
            <v>0.51965065502183405</v>
          </cell>
          <cell r="AP11">
            <v>0.68558951965065507</v>
          </cell>
          <cell r="AW11">
            <v>0.43231441048034935</v>
          </cell>
          <cell r="AX11">
            <v>0.2183406113537118</v>
          </cell>
          <cell r="AY11">
            <v>0.81222707423580787</v>
          </cell>
          <cell r="AZ11">
            <v>0.53493449781659386</v>
          </cell>
          <cell r="BG11">
            <v>0.52838427947598254</v>
          </cell>
          <cell r="BH11">
            <v>0.42794759825327511</v>
          </cell>
          <cell r="BI11">
            <v>0.42576419213973798</v>
          </cell>
          <cell r="BJ11">
            <v>0.64628820960698685</v>
          </cell>
          <cell r="BQ11">
            <v>0.87117903930131002</v>
          </cell>
          <cell r="BR11">
            <v>0.74890829694323147</v>
          </cell>
          <cell r="BS11">
            <v>0.85371179039301315</v>
          </cell>
          <cell r="BT11">
            <v>0.81222707423580787</v>
          </cell>
          <cell r="BX11">
            <v>0.86899563318777295</v>
          </cell>
          <cell r="CJ11">
            <v>0.55458515283842791</v>
          </cell>
          <cell r="CK11">
            <v>0.23144104803493451</v>
          </cell>
        </row>
        <row r="12">
          <cell r="A12" t="str">
            <v>Alex Killorn</v>
          </cell>
          <cell r="B12" t="str">
            <v>T.B</v>
          </cell>
          <cell r="I12">
            <v>0.39956331877729256</v>
          </cell>
          <cell r="J12">
            <v>0.73799126637554591</v>
          </cell>
          <cell r="K12">
            <v>0.89519650655021832</v>
          </cell>
          <cell r="L12">
            <v>0.56550218340611358</v>
          </cell>
          <cell r="S12">
            <v>0.86026200873362446</v>
          </cell>
          <cell r="T12">
            <v>0.81222707423580787</v>
          </cell>
          <cell r="U12">
            <v>0.61790393013100442</v>
          </cell>
          <cell r="V12">
            <v>0.90611353711790388</v>
          </cell>
          <cell r="AC12">
            <v>0.44978165938864628</v>
          </cell>
          <cell r="AD12">
            <v>0.39956331877729256</v>
          </cell>
          <cell r="AE12">
            <v>0.54803493449781659</v>
          </cell>
          <cell r="AF12">
            <v>0.31441048034934499</v>
          </cell>
          <cell r="AM12">
            <v>0.18995633187772926</v>
          </cell>
          <cell r="AN12">
            <v>0.27510917030567683</v>
          </cell>
          <cell r="AO12">
            <v>0.91048034934497812</v>
          </cell>
          <cell r="AP12">
            <v>0.3056768558951965</v>
          </cell>
          <cell r="AW12">
            <v>0.34716157205240172</v>
          </cell>
          <cell r="AX12">
            <v>0.26855895196506552</v>
          </cell>
          <cell r="AY12">
            <v>0.51965065502183405</v>
          </cell>
          <cell r="AZ12">
            <v>0.24890829694323144</v>
          </cell>
          <cell r="BG12">
            <v>0.56768558951965065</v>
          </cell>
          <cell r="BH12">
            <v>0.27292576419213976</v>
          </cell>
          <cell r="BI12">
            <v>0.96288209606986896</v>
          </cell>
          <cell r="BJ12">
            <v>0.94323144104803491</v>
          </cell>
          <cell r="BQ12">
            <v>0.42139737991266374</v>
          </cell>
          <cell r="BR12">
            <v>0.62227074235807855</v>
          </cell>
          <cell r="BS12">
            <v>0.8493449781659389</v>
          </cell>
          <cell r="BT12">
            <v>0.43449781659388648</v>
          </cell>
          <cell r="BX12">
            <v>0.45633187772925765</v>
          </cell>
          <cell r="CJ12">
            <v>0.33624454148471616</v>
          </cell>
          <cell r="CK12">
            <v>0.51310043668122274</v>
          </cell>
        </row>
        <row r="13">
          <cell r="A13" t="str">
            <v>Alex Newhook</v>
          </cell>
          <cell r="B13" t="str">
            <v>COL</v>
          </cell>
          <cell r="I13">
            <v>0.32314410480349343</v>
          </cell>
          <cell r="J13">
            <v>0.29694323144104806</v>
          </cell>
          <cell r="K13">
            <v>0.51965065502183405</v>
          </cell>
          <cell r="L13">
            <v>0.33187772925764192</v>
          </cell>
          <cell r="S13">
            <v>0.50218340611353707</v>
          </cell>
          <cell r="T13">
            <v>0.4759825327510917</v>
          </cell>
          <cell r="U13">
            <v>0.41048034934497818</v>
          </cell>
          <cell r="V13">
            <v>0.47816593886462883</v>
          </cell>
          <cell r="AC13">
            <v>0.74454148471615722</v>
          </cell>
          <cell r="AD13">
            <v>0.67030567685589515</v>
          </cell>
          <cell r="AE13">
            <v>0.6506550218340611</v>
          </cell>
          <cell r="AF13">
            <v>0.71834061135371174</v>
          </cell>
          <cell r="AM13">
            <v>0.12445414847161572</v>
          </cell>
          <cell r="AN13">
            <v>0.30131004366812225</v>
          </cell>
          <cell r="AO13">
            <v>0.5</v>
          </cell>
          <cell r="AP13">
            <v>0.29257641921397382</v>
          </cell>
          <cell r="AW13">
            <v>0.74017467248908297</v>
          </cell>
          <cell r="AX13">
            <v>0.66157205240174677</v>
          </cell>
          <cell r="AY13">
            <v>0.41484716157205243</v>
          </cell>
          <cell r="AZ13">
            <v>0.53493449781659386</v>
          </cell>
          <cell r="BG13">
            <v>0.49781659388646288</v>
          </cell>
          <cell r="BH13">
            <v>0.35589519650655022</v>
          </cell>
          <cell r="BI13">
            <v>0.54585152838427953</v>
          </cell>
          <cell r="BJ13">
            <v>0.60698689956331875</v>
          </cell>
          <cell r="BQ13">
            <v>0.50436681222707425</v>
          </cell>
          <cell r="BR13">
            <v>0.41703056768558949</v>
          </cell>
          <cell r="BS13">
            <v>0.63537117903930129</v>
          </cell>
          <cell r="BT13">
            <v>0.50436681222707425</v>
          </cell>
          <cell r="BX13">
            <v>0.4366812227074236</v>
          </cell>
          <cell r="CJ13">
            <v>0.55458515283842791</v>
          </cell>
          <cell r="CK13">
            <v>6.1135371179039298E-2</v>
          </cell>
        </row>
        <row r="14">
          <cell r="A14" t="str">
            <v>Alex Ovechkin</v>
          </cell>
          <cell r="B14" t="str">
            <v>WSH</v>
          </cell>
          <cell r="I14">
            <v>0.82314410480349343</v>
          </cell>
          <cell r="J14">
            <v>0.73799126637554591</v>
          </cell>
          <cell r="K14">
            <v>0.78602620087336239</v>
          </cell>
          <cell r="L14">
            <v>0.86681222707423577</v>
          </cell>
          <cell r="S14">
            <v>0.888646288209607</v>
          </cell>
          <cell r="T14">
            <v>0.69650655021834063</v>
          </cell>
          <cell r="U14">
            <v>0.60043668122270744</v>
          </cell>
          <cell r="V14">
            <v>0.87772925764192145</v>
          </cell>
          <cell r="AC14">
            <v>8.9519650655021835E-2</v>
          </cell>
          <cell r="AD14">
            <v>3.7117903930131008E-2</v>
          </cell>
          <cell r="AE14">
            <v>0.15283842794759825</v>
          </cell>
          <cell r="AF14">
            <v>3.7117903930131008E-2</v>
          </cell>
          <cell r="AM14">
            <v>0.86681222707423577</v>
          </cell>
          <cell r="AN14">
            <v>0.80131004366812231</v>
          </cell>
          <cell r="AO14">
            <v>0.76855895196506552</v>
          </cell>
          <cell r="AP14">
            <v>0.93013100436681218</v>
          </cell>
          <cell r="AW14">
            <v>1.7467248908296942E-2</v>
          </cell>
          <cell r="AX14">
            <v>6.5502183406113534E-3</v>
          </cell>
          <cell r="AY14">
            <v>7.8602620087336247E-2</v>
          </cell>
          <cell r="AZ14">
            <v>6.5502183406113534E-3</v>
          </cell>
          <cell r="BG14">
            <v>0.91048034934497812</v>
          </cell>
          <cell r="BH14">
            <v>0.99781659388646293</v>
          </cell>
          <cell r="BI14">
            <v>0.69650655021834063</v>
          </cell>
          <cell r="BJ14">
            <v>0.52183406113537123</v>
          </cell>
          <cell r="BQ14">
            <v>0.45851528384279477</v>
          </cell>
          <cell r="BR14">
            <v>0.3056768558951965</v>
          </cell>
          <cell r="BS14">
            <v>0.45633187772925765</v>
          </cell>
          <cell r="BT14">
            <v>0.43886462882096072</v>
          </cell>
          <cell r="BX14">
            <v>0.50436681222707425</v>
          </cell>
          <cell r="CJ14">
            <v>0.35371179039301309</v>
          </cell>
          <cell r="CK14">
            <v>0.14410480349344978</v>
          </cell>
        </row>
        <row r="15">
          <cell r="A15" t="str">
            <v>Alex Tuch</v>
          </cell>
          <cell r="B15" t="str">
            <v>BUF</v>
          </cell>
          <cell r="I15">
            <v>0.91484716157205237</v>
          </cell>
          <cell r="J15">
            <v>0.85589519650655022</v>
          </cell>
          <cell r="K15">
            <v>0.99126637554585151</v>
          </cell>
          <cell r="L15">
            <v>0.88209606986899558</v>
          </cell>
          <cell r="S15">
            <v>0.93886462882096067</v>
          </cell>
          <cell r="T15">
            <v>0.94759825327510916</v>
          </cell>
          <cell r="U15">
            <v>0.96724890829694321</v>
          </cell>
          <cell r="V15">
            <v>0.98034934497816595</v>
          </cell>
          <cell r="AC15">
            <v>0.33187772925764192</v>
          </cell>
          <cell r="AD15">
            <v>0.11353711790393013</v>
          </cell>
          <cell r="AE15">
            <v>0.25982532751091703</v>
          </cell>
          <cell r="AF15">
            <v>0.1331877729257642</v>
          </cell>
          <cell r="AM15">
            <v>0.96943231441048039</v>
          </cell>
          <cell r="AN15">
            <v>0.94541484716157209</v>
          </cell>
          <cell r="AO15">
            <v>0.96724890829694321</v>
          </cell>
          <cell r="AP15">
            <v>0.92794759825327511</v>
          </cell>
          <cell r="AW15">
            <v>0.28602620087336245</v>
          </cell>
          <cell r="AX15">
            <v>0.18777292576419213</v>
          </cell>
          <cell r="AY15">
            <v>0.52620087336244536</v>
          </cell>
          <cell r="AZ15">
            <v>0.10480349344978165</v>
          </cell>
          <cell r="BG15">
            <v>0.79475982532751088</v>
          </cell>
          <cell r="BH15">
            <v>0.92358078602620086</v>
          </cell>
          <cell r="BI15">
            <v>0.92139737991266379</v>
          </cell>
          <cell r="BJ15">
            <v>0.82969432314410485</v>
          </cell>
          <cell r="BQ15">
            <v>0.79912663755458513</v>
          </cell>
          <cell r="BR15">
            <v>0.5633187772925764</v>
          </cell>
          <cell r="BS15">
            <v>0.82751091703056767</v>
          </cell>
          <cell r="BT15">
            <v>0.60480349344978168</v>
          </cell>
          <cell r="BX15">
            <v>0.88209606986899558</v>
          </cell>
          <cell r="CJ15">
            <v>0.75327510917030571</v>
          </cell>
          <cell r="CK15">
            <v>0.30349344978165937</v>
          </cell>
        </row>
        <row r="16">
          <cell r="A16" t="str">
            <v>Alex Wennberg</v>
          </cell>
          <cell r="B16" t="str">
            <v>SEA</v>
          </cell>
          <cell r="I16">
            <v>0.53711790393013104</v>
          </cell>
          <cell r="J16">
            <v>0.12882096069868995</v>
          </cell>
          <cell r="K16">
            <v>0.41048034934497818</v>
          </cell>
          <cell r="L16">
            <v>0.34061135371179041</v>
          </cell>
          <cell r="S16">
            <v>0.14847161572052403</v>
          </cell>
          <cell r="T16">
            <v>0.56113537117903933</v>
          </cell>
          <cell r="U16">
            <v>0.56550218340611358</v>
          </cell>
          <cell r="V16">
            <v>0.31222707423580787</v>
          </cell>
          <cell r="AC16">
            <v>0.94104803493449785</v>
          </cell>
          <cell r="AD16">
            <v>0.80131004366812231</v>
          </cell>
          <cell r="AE16">
            <v>0.42794759825327511</v>
          </cell>
          <cell r="AF16">
            <v>0.68340611353711789</v>
          </cell>
          <cell r="AM16">
            <v>0.34061135371179041</v>
          </cell>
          <cell r="AN16">
            <v>0.20742358078602621</v>
          </cell>
          <cell r="AO16">
            <v>9.8253275109170299E-2</v>
          </cell>
          <cell r="AP16">
            <v>0.34061135371179041</v>
          </cell>
          <cell r="AW16">
            <v>0.68558951965065507</v>
          </cell>
          <cell r="AX16">
            <v>0.57641921397379914</v>
          </cell>
          <cell r="AY16">
            <v>0.25327510917030566</v>
          </cell>
          <cell r="AZ16">
            <v>0.32532751091703055</v>
          </cell>
          <cell r="BG16">
            <v>0.74672489082969429</v>
          </cell>
          <cell r="BH16">
            <v>0.5393013100436681</v>
          </cell>
          <cell r="BI16">
            <v>0.36899563318777295</v>
          </cell>
          <cell r="BJ16">
            <v>0.13537117903930132</v>
          </cell>
          <cell r="BQ16">
            <v>0.80131004366812231</v>
          </cell>
          <cell r="BR16">
            <v>0.31877729257641924</v>
          </cell>
          <cell r="BS16">
            <v>0.39519650655021832</v>
          </cell>
          <cell r="BT16">
            <v>0.4759825327510917</v>
          </cell>
          <cell r="BX16">
            <v>0.48908296943231439</v>
          </cell>
          <cell r="CJ16">
            <v>0.84497816593886466</v>
          </cell>
          <cell r="CK16">
            <v>0.11353711790393013</v>
          </cell>
        </row>
        <row r="17">
          <cell r="A17" t="str">
            <v>Alexander Barabanov</v>
          </cell>
          <cell r="B17" t="str">
            <v>S.J</v>
          </cell>
          <cell r="I17">
            <v>0.38646288209606988</v>
          </cell>
          <cell r="J17">
            <v>0.90174672489082974</v>
          </cell>
          <cell r="K17">
            <v>0.73144104803493448</v>
          </cell>
          <cell r="L17">
            <v>0.79475982532751088</v>
          </cell>
          <cell r="S17">
            <v>0.61572052401746724</v>
          </cell>
          <cell r="T17">
            <v>0.81222707423580787</v>
          </cell>
          <cell r="U17">
            <v>0.79912663755458513</v>
          </cell>
          <cell r="V17">
            <v>0.75764192139737996</v>
          </cell>
          <cell r="AC17">
            <v>0.51965065502183405</v>
          </cell>
          <cell r="AD17">
            <v>0.42576419213973798</v>
          </cell>
          <cell r="AE17">
            <v>3.2751091703056769E-2</v>
          </cell>
          <cell r="AF17">
            <v>0.37554585152838427</v>
          </cell>
          <cell r="AM17">
            <v>0.38646288209606988</v>
          </cell>
          <cell r="AN17">
            <v>0.69650655021834063</v>
          </cell>
          <cell r="AO17">
            <v>0.75327510917030571</v>
          </cell>
          <cell r="AP17">
            <v>0.58951965065502188</v>
          </cell>
          <cell r="AW17">
            <v>0.68122270742358082</v>
          </cell>
          <cell r="AX17">
            <v>0.36462882096069871</v>
          </cell>
          <cell r="AY17">
            <v>0.17467248908296942</v>
          </cell>
          <cell r="AZ17">
            <v>0.36462882096069871</v>
          </cell>
          <cell r="BG17">
            <v>0.91703056768558955</v>
          </cell>
          <cell r="BH17">
            <v>0.41484716157205243</v>
          </cell>
          <cell r="BI17">
            <v>0.85807860262008728</v>
          </cell>
          <cell r="BJ17">
            <v>0.2183406113537118</v>
          </cell>
          <cell r="BQ17">
            <v>0.44323144104803491</v>
          </cell>
          <cell r="BR17">
            <v>0.82096069868995636</v>
          </cell>
          <cell r="BS17">
            <v>0.28820960698689957</v>
          </cell>
          <cell r="BT17">
            <v>0.66593886462882101</v>
          </cell>
          <cell r="BX17">
            <v>0.62008733624454149</v>
          </cell>
          <cell r="CJ17">
            <v>0.74672489082969429</v>
          </cell>
          <cell r="CK17">
            <v>0.20742358078602621</v>
          </cell>
        </row>
        <row r="18">
          <cell r="A18" t="str">
            <v>Alexander Kerfoot</v>
          </cell>
          <cell r="B18" t="str">
            <v>TOR</v>
          </cell>
          <cell r="I18">
            <v>0.50873362445414849</v>
          </cell>
          <cell r="J18">
            <v>0.63100436681222705</v>
          </cell>
          <cell r="K18">
            <v>0.49781659388646288</v>
          </cell>
          <cell r="L18">
            <v>0.4606986899563319</v>
          </cell>
          <cell r="S18">
            <v>0.1222707423580786</v>
          </cell>
          <cell r="T18">
            <v>0.65938864628820959</v>
          </cell>
          <cell r="U18">
            <v>0.58078602620087338</v>
          </cell>
          <cell r="V18">
            <v>0.39956331877729256</v>
          </cell>
          <cell r="AC18">
            <v>0.93449781659388642</v>
          </cell>
          <cell r="AD18">
            <v>0.77729257641921401</v>
          </cell>
          <cell r="AE18">
            <v>0.75109170305676853</v>
          </cell>
          <cell r="AF18">
            <v>0.88209606986899558</v>
          </cell>
          <cell r="AM18">
            <v>0.30786026200873362</v>
          </cell>
          <cell r="AN18">
            <v>0.1965065502183406</v>
          </cell>
          <cell r="AO18">
            <v>0.37117903930131002</v>
          </cell>
          <cell r="AP18">
            <v>0.16157205240174671</v>
          </cell>
          <cell r="AW18">
            <v>0.91921397379912662</v>
          </cell>
          <cell r="AX18">
            <v>0.80349344978165937</v>
          </cell>
          <cell r="AY18">
            <v>0.49781659388646288</v>
          </cell>
          <cell r="AZ18">
            <v>0.86244541484716153</v>
          </cell>
          <cell r="BG18">
            <v>0.42576419213973798</v>
          </cell>
          <cell r="BH18">
            <v>0.22489082969432314</v>
          </cell>
          <cell r="BI18">
            <v>0.51528384279475981</v>
          </cell>
          <cell r="BJ18">
            <v>0.54803493449781659</v>
          </cell>
          <cell r="BQ18">
            <v>0.76855895196506552</v>
          </cell>
          <cell r="BR18">
            <v>0.74017467248908297</v>
          </cell>
          <cell r="BS18">
            <v>0.67030567685589515</v>
          </cell>
          <cell r="BT18">
            <v>0.74017467248908297</v>
          </cell>
          <cell r="BX18">
            <v>0.63318777292576423</v>
          </cell>
          <cell r="CJ18">
            <v>0.34934497816593885</v>
          </cell>
          <cell r="CK18">
            <v>0.59170305676855894</v>
          </cell>
        </row>
        <row r="19">
          <cell r="A19" t="str">
            <v>Alexey Toropchenko</v>
          </cell>
          <cell r="B19" t="str">
            <v>STL</v>
          </cell>
          <cell r="I19">
            <v>4.3668122270742356E-2</v>
          </cell>
          <cell r="J19">
            <v>0.2205240174672489</v>
          </cell>
          <cell r="K19">
            <v>0.36244541484716158</v>
          </cell>
          <cell r="L19">
            <v>0.10262008733624454</v>
          </cell>
          <cell r="S19">
            <v>0.46724890829694321</v>
          </cell>
          <cell r="T19">
            <v>0.29694323144104806</v>
          </cell>
          <cell r="U19">
            <v>0.31004366812227074</v>
          </cell>
          <cell r="V19">
            <v>0.32096069868995636</v>
          </cell>
          <cell r="AC19">
            <v>0.74672489082969429</v>
          </cell>
          <cell r="AD19">
            <v>0.69213973799126638</v>
          </cell>
          <cell r="AE19">
            <v>0.9126637554585153</v>
          </cell>
          <cell r="AF19">
            <v>0.67248908296943233</v>
          </cell>
          <cell r="AM19">
            <v>0.11135371179039301</v>
          </cell>
          <cell r="AN19">
            <v>0.56768558951965065</v>
          </cell>
          <cell r="AO19">
            <v>0.3296943231441048</v>
          </cell>
          <cell r="AP19">
            <v>0.26200873362445415</v>
          </cell>
          <cell r="AW19">
            <v>0.96724890829694321</v>
          </cell>
          <cell r="AX19">
            <v>0.91921397379912662</v>
          </cell>
          <cell r="AY19">
            <v>0.98034934497816595</v>
          </cell>
          <cell r="AZ19">
            <v>0.95633187772925765</v>
          </cell>
          <cell r="BG19">
            <v>0.2423580786026201</v>
          </cell>
          <cell r="BH19">
            <v>0.22925764192139739</v>
          </cell>
          <cell r="BI19">
            <v>0.74017467248908297</v>
          </cell>
          <cell r="BJ19">
            <v>0.87991266375545851</v>
          </cell>
          <cell r="BQ19">
            <v>0.19868995633187772</v>
          </cell>
          <cell r="BR19">
            <v>0.36899563318777295</v>
          </cell>
          <cell r="BS19">
            <v>0.77947598253275108</v>
          </cell>
          <cell r="BT19">
            <v>0.23580786026200873</v>
          </cell>
          <cell r="BX19">
            <v>0.37117903930131002</v>
          </cell>
          <cell r="CJ19">
            <v>0.86899563318777295</v>
          </cell>
          <cell r="CK19">
            <v>0.37336244541484714</v>
          </cell>
        </row>
        <row r="20">
          <cell r="A20" t="str">
            <v>Alexis Lafrenière</v>
          </cell>
          <cell r="B20" t="str">
            <v>NYR</v>
          </cell>
          <cell r="I20">
            <v>0.43886462882096072</v>
          </cell>
          <cell r="J20">
            <v>0.48253275109170307</v>
          </cell>
          <cell r="K20">
            <v>0.64628820960698685</v>
          </cell>
          <cell r="L20">
            <v>0.42358078602620086</v>
          </cell>
          <cell r="S20">
            <v>0.50218340611353707</v>
          </cell>
          <cell r="T20">
            <v>0.51528384279475981</v>
          </cell>
          <cell r="U20">
            <v>0.34934497816593885</v>
          </cell>
          <cell r="V20">
            <v>0.50218340611353707</v>
          </cell>
          <cell r="AC20">
            <v>0.77074235807860259</v>
          </cell>
          <cell r="AD20">
            <v>0.40393013100436681</v>
          </cell>
          <cell r="AE20">
            <v>0.51965065502183405</v>
          </cell>
          <cell r="AF20">
            <v>0.45414847161572053</v>
          </cell>
          <cell r="AM20">
            <v>0.54148471615720528</v>
          </cell>
          <cell r="AN20">
            <v>0.47816593886462883</v>
          </cell>
          <cell r="AO20">
            <v>0.57423580786026196</v>
          </cell>
          <cell r="AP20">
            <v>0.5</v>
          </cell>
          <cell r="AW20">
            <v>0.63755458515283847</v>
          </cell>
          <cell r="AX20">
            <v>0.48689956331877732</v>
          </cell>
          <cell r="AY20">
            <v>0.29475982532751094</v>
          </cell>
          <cell r="AZ20">
            <v>0.39082969432314413</v>
          </cell>
          <cell r="BG20">
            <v>0.75764192139737996</v>
          </cell>
          <cell r="BH20">
            <v>0.82314410480349343</v>
          </cell>
          <cell r="BI20">
            <v>0.71615720524017468</v>
          </cell>
          <cell r="BJ20">
            <v>0.59388646288209612</v>
          </cell>
          <cell r="BQ20">
            <v>0.61353711790393017</v>
          </cell>
          <cell r="BR20">
            <v>0.41921397379912662</v>
          </cell>
          <cell r="BS20">
            <v>0.61572052401746724</v>
          </cell>
          <cell r="BT20">
            <v>0.40829694323144106</v>
          </cell>
          <cell r="BX20">
            <v>0.53711790393013104</v>
          </cell>
          <cell r="CJ20">
            <v>0.51091703056768556</v>
          </cell>
          <cell r="CK20">
            <v>0.48471615720524019</v>
          </cell>
        </row>
        <row r="21">
          <cell r="A21" t="str">
            <v>Aliaksei Protas</v>
          </cell>
          <cell r="B21" t="str">
            <v>WSH</v>
          </cell>
          <cell r="I21">
            <v>0.59388646288209612</v>
          </cell>
          <cell r="J21">
            <v>0.5</v>
          </cell>
          <cell r="K21">
            <v>0.28820960698689957</v>
          </cell>
          <cell r="L21">
            <v>0.52838427947598254</v>
          </cell>
          <cell r="S21">
            <v>0.1222707423580786</v>
          </cell>
          <cell r="T21">
            <v>0.59606986899563319</v>
          </cell>
          <cell r="U21">
            <v>0.39519650655021832</v>
          </cell>
          <cell r="V21">
            <v>0.34497816593886466</v>
          </cell>
          <cell r="AC21">
            <v>0.8973799126637555</v>
          </cell>
          <cell r="AD21">
            <v>0.93231441048034935</v>
          </cell>
          <cell r="AE21">
            <v>0.4366812227074236</v>
          </cell>
          <cell r="AF21">
            <v>0.93886462882096067</v>
          </cell>
          <cell r="AM21">
            <v>0.55895196506550215</v>
          </cell>
          <cell r="AN21">
            <v>0.56986899563318782</v>
          </cell>
          <cell r="AO21">
            <v>0.25327510917030566</v>
          </cell>
          <cell r="AP21">
            <v>0.49344978165938863</v>
          </cell>
          <cell r="AW21">
            <v>0.98471615720524019</v>
          </cell>
          <cell r="AX21">
            <v>0.97816593886462877</v>
          </cell>
          <cell r="AY21">
            <v>0.4759825327510917</v>
          </cell>
          <cell r="AZ21">
            <v>0.9759825327510917</v>
          </cell>
          <cell r="BG21">
            <v>0.29039301310043669</v>
          </cell>
          <cell r="BH21">
            <v>6.3318777292576414E-2</v>
          </cell>
          <cell r="BI21">
            <v>0.23144104803493451</v>
          </cell>
          <cell r="BJ21">
            <v>8.9519650655021835E-2</v>
          </cell>
          <cell r="BQ21">
            <v>0.81222707423580787</v>
          </cell>
          <cell r="BR21">
            <v>0.77292576419213976</v>
          </cell>
          <cell r="BS21">
            <v>0.29257641921397382</v>
          </cell>
          <cell r="BT21">
            <v>0.82314410480349343</v>
          </cell>
          <cell r="BX21">
            <v>0.8253275109170306</v>
          </cell>
          <cell r="CJ21">
            <v>0.66593886462882101</v>
          </cell>
          <cell r="CK21">
            <v>1.0917030567685589E-2</v>
          </cell>
        </row>
        <row r="22">
          <cell r="A22" t="str">
            <v>Anders Lee</v>
          </cell>
          <cell r="B22" t="str">
            <v>NYI</v>
          </cell>
          <cell r="I22">
            <v>0.87554585152838427</v>
          </cell>
          <cell r="J22">
            <v>0.92576419213973804</v>
          </cell>
          <cell r="K22">
            <v>0.73144104803493448</v>
          </cell>
          <cell r="L22">
            <v>0.91048034934497812</v>
          </cell>
          <cell r="S22">
            <v>0.84716157205240172</v>
          </cell>
          <cell r="T22">
            <v>0.1703056768558952</v>
          </cell>
          <cell r="U22">
            <v>0.26637554585152839</v>
          </cell>
          <cell r="V22">
            <v>0.55240174672489084</v>
          </cell>
          <cell r="AC22">
            <v>0.42358078602620086</v>
          </cell>
          <cell r="AD22">
            <v>0.40829694323144106</v>
          </cell>
          <cell r="AE22">
            <v>0.51310043668122274</v>
          </cell>
          <cell r="AF22">
            <v>0.37554585152838427</v>
          </cell>
          <cell r="AM22">
            <v>0.94541484716157209</v>
          </cell>
          <cell r="AN22">
            <v>0.97816593886462877</v>
          </cell>
          <cell r="AO22">
            <v>0.72925764192139741</v>
          </cell>
          <cell r="AP22">
            <v>0.96288209606986896</v>
          </cell>
          <cell r="AW22">
            <v>0.55458515283842791</v>
          </cell>
          <cell r="AX22">
            <v>0.65283842794759828</v>
          </cell>
          <cell r="AY22">
            <v>0.15283842794759825</v>
          </cell>
          <cell r="AZ22">
            <v>0.49563318777292575</v>
          </cell>
          <cell r="BG22">
            <v>0.76637554585152834</v>
          </cell>
          <cell r="BH22">
            <v>0.8973799126637555</v>
          </cell>
          <cell r="BI22">
            <v>0.59606986899563319</v>
          </cell>
          <cell r="BJ22">
            <v>0.57860262008733621</v>
          </cell>
          <cell r="BQ22">
            <v>0.78165938864628826</v>
          </cell>
          <cell r="BR22">
            <v>0.85589519650655022</v>
          </cell>
          <cell r="BS22">
            <v>0.67248908296943233</v>
          </cell>
          <cell r="BT22">
            <v>0.82751091703056767</v>
          </cell>
          <cell r="BX22">
            <v>0.82096069868995636</v>
          </cell>
          <cell r="CJ22">
            <v>0.38209606986899564</v>
          </cell>
          <cell r="CK22">
            <v>0.64192139737991272</v>
          </cell>
        </row>
        <row r="23">
          <cell r="A23" t="str">
            <v>Andre Burakovsky</v>
          </cell>
          <cell r="B23" t="str">
            <v>SEA</v>
          </cell>
          <cell r="I23">
            <v>0.60480349344978168</v>
          </cell>
          <cell r="J23">
            <v>0.14192139737991266</v>
          </cell>
          <cell r="K23">
            <v>0.63100436681222705</v>
          </cell>
          <cell r="L23">
            <v>0.37336244541484714</v>
          </cell>
          <cell r="S23">
            <v>0.6026200873362445</v>
          </cell>
          <cell r="T23">
            <v>0.79912663755458513</v>
          </cell>
          <cell r="U23">
            <v>0.8733624454148472</v>
          </cell>
          <cell r="V23">
            <v>0.75545851528384278</v>
          </cell>
          <cell r="AC23">
            <v>0.50436681222707425</v>
          </cell>
          <cell r="AD23">
            <v>0.13755458515283842</v>
          </cell>
          <cell r="AE23">
            <v>0.36462882096069871</v>
          </cell>
          <cell r="AF23">
            <v>0.14847161572052403</v>
          </cell>
          <cell r="AM23">
            <v>0.54803493449781659</v>
          </cell>
          <cell r="AN23">
            <v>0.23144104803493451</v>
          </cell>
          <cell r="AO23">
            <v>0.21179039301310043</v>
          </cell>
          <cell r="AP23">
            <v>0.37772925764192139</v>
          </cell>
          <cell r="AW23">
            <v>8.296943231441048E-2</v>
          </cell>
          <cell r="AX23">
            <v>2.6200873362445413E-2</v>
          </cell>
          <cell r="AY23">
            <v>0.1091703056768559</v>
          </cell>
          <cell r="AZ23">
            <v>1.9650655021834062E-2</v>
          </cell>
          <cell r="BG23">
            <v>0.75982532751091703</v>
          </cell>
          <cell r="BH23">
            <v>0.68340611353711789</v>
          </cell>
          <cell r="BI23">
            <v>0.59170305676855894</v>
          </cell>
          <cell r="BJ23">
            <v>0.41484716157205243</v>
          </cell>
          <cell r="BQ23">
            <v>0.57423580786026196</v>
          </cell>
          <cell r="BR23">
            <v>0.10043668122270742</v>
          </cell>
          <cell r="BS23">
            <v>0.48471615720524019</v>
          </cell>
          <cell r="BT23">
            <v>0.23144104803493451</v>
          </cell>
          <cell r="BX23">
            <v>0.33842794759825329</v>
          </cell>
          <cell r="CJ23">
            <v>0.57641921397379914</v>
          </cell>
          <cell r="CK23">
            <v>0.46724890829694321</v>
          </cell>
        </row>
        <row r="24">
          <cell r="A24" t="str">
            <v>Andreas Athanasiou</v>
          </cell>
          <cell r="B24" t="str">
            <v>CHI</v>
          </cell>
          <cell r="I24">
            <v>0.27510917030567683</v>
          </cell>
          <cell r="J24">
            <v>0.26200873362445415</v>
          </cell>
          <cell r="K24">
            <v>0.26637554585152839</v>
          </cell>
          <cell r="L24">
            <v>0.23362445414847161</v>
          </cell>
          <cell r="S24">
            <v>0.63318777292576423</v>
          </cell>
          <cell r="T24">
            <v>0.2816593886462882</v>
          </cell>
          <cell r="U24">
            <v>0.34934497816593885</v>
          </cell>
          <cell r="V24">
            <v>0.41484716157205243</v>
          </cell>
          <cell r="AC24">
            <v>8.296943231441048E-2</v>
          </cell>
          <cell r="AD24">
            <v>0.14410480349344978</v>
          </cell>
          <cell r="AE24">
            <v>0.16375545851528384</v>
          </cell>
          <cell r="AF24">
            <v>0.11353711790393013</v>
          </cell>
          <cell r="AM24">
            <v>0.75545851528384278</v>
          </cell>
          <cell r="AN24">
            <v>0.78384279475982532</v>
          </cell>
          <cell r="AO24">
            <v>0.58515283842794763</v>
          </cell>
          <cell r="AP24">
            <v>0.71179039301310043</v>
          </cell>
          <cell r="AW24">
            <v>0.15283842794759825</v>
          </cell>
          <cell r="AX24">
            <v>0.25327510917030566</v>
          </cell>
          <cell r="AY24">
            <v>0.39737991266375544</v>
          </cell>
          <cell r="AZ24">
            <v>0.16375545851528384</v>
          </cell>
          <cell r="BG24">
            <v>0.78165938864628826</v>
          </cell>
          <cell r="BH24">
            <v>0.55458515283842791</v>
          </cell>
          <cell r="BI24">
            <v>0.32751091703056767</v>
          </cell>
          <cell r="BJ24">
            <v>0.31877729257641924</v>
          </cell>
          <cell r="BQ24">
            <v>0.1222707423580786</v>
          </cell>
          <cell r="BR24">
            <v>0.18340611353711792</v>
          </cell>
          <cell r="BS24">
            <v>0.14410480349344978</v>
          </cell>
          <cell r="BT24">
            <v>0.11572052401746726</v>
          </cell>
          <cell r="BX24">
            <v>0.22270742358078602</v>
          </cell>
          <cell r="CJ24">
            <v>0.73362445414847166</v>
          </cell>
          <cell r="CK24">
            <v>0.36244541484716158</v>
          </cell>
        </row>
        <row r="25">
          <cell r="A25" t="str">
            <v>Andrei Kuzmenko</v>
          </cell>
          <cell r="B25" t="str">
            <v>VAN</v>
          </cell>
          <cell r="I25">
            <v>0.41703056768558949</v>
          </cell>
          <cell r="J25">
            <v>0.57860262008733621</v>
          </cell>
          <cell r="K25">
            <v>0.96724890829694321</v>
          </cell>
          <cell r="L25">
            <v>0.62445414847161573</v>
          </cell>
          <cell r="S25">
            <v>0.93449781659388642</v>
          </cell>
          <cell r="T25">
            <v>0.95851528384279472</v>
          </cell>
          <cell r="U25">
            <v>0.61790393013100442</v>
          </cell>
          <cell r="V25">
            <v>0.97816593886462877</v>
          </cell>
          <cell r="AC25">
            <v>0.88646288209606983</v>
          </cell>
          <cell r="AD25">
            <v>0.55676855895196509</v>
          </cell>
          <cell r="AE25">
            <v>0.35371179039301309</v>
          </cell>
          <cell r="AF25">
            <v>0.78602620087336239</v>
          </cell>
          <cell r="AM25">
            <v>0.74672489082969429</v>
          </cell>
          <cell r="AN25">
            <v>0.75109170305676853</v>
          </cell>
          <cell r="AO25">
            <v>0.97816593886462877</v>
          </cell>
          <cell r="AP25">
            <v>0.83842794759825323</v>
          </cell>
          <cell r="AW25">
            <v>0.9606986899563319</v>
          </cell>
          <cell r="AX25">
            <v>0.75982532751091703</v>
          </cell>
          <cell r="AY25">
            <v>0.63537117903930129</v>
          </cell>
          <cell r="AZ25">
            <v>0.93231441048034935</v>
          </cell>
          <cell r="BG25">
            <v>0.59825327510917026</v>
          </cell>
          <cell r="BH25">
            <v>0.75764192139737996</v>
          </cell>
          <cell r="BI25">
            <v>0.99126637554585151</v>
          </cell>
          <cell r="BJ25">
            <v>0.87991266375545851</v>
          </cell>
          <cell r="BQ25">
            <v>0.66375545851528384</v>
          </cell>
          <cell r="BR25">
            <v>0.55458515283842791</v>
          </cell>
          <cell r="BS25">
            <v>0.83842794759825323</v>
          </cell>
          <cell r="BT25">
            <v>0.76637554585152834</v>
          </cell>
          <cell r="BX25">
            <v>0.9606986899563319</v>
          </cell>
          <cell r="CJ25">
            <v>0.96724890829694321</v>
          </cell>
          <cell r="CK25">
            <v>0.24017467248908297</v>
          </cell>
        </row>
        <row r="26">
          <cell r="A26" t="str">
            <v>Andrei Svechnikov</v>
          </cell>
          <cell r="B26" t="str">
            <v>CAR</v>
          </cell>
          <cell r="I26">
            <v>0.98689956331877726</v>
          </cell>
          <cell r="J26">
            <v>0.9606986899563319</v>
          </cell>
          <cell r="K26">
            <v>0.77510917030567683</v>
          </cell>
          <cell r="L26">
            <v>0.94323144104803491</v>
          </cell>
          <cell r="S26">
            <v>0.888646288209607</v>
          </cell>
          <cell r="T26">
            <v>0.63755458515283847</v>
          </cell>
          <cell r="U26">
            <v>0.65938864628820959</v>
          </cell>
          <cell r="V26">
            <v>0.85152838427947597</v>
          </cell>
          <cell r="AC26">
            <v>0.91921397379912662</v>
          </cell>
          <cell r="AD26">
            <v>0.79257641921397382</v>
          </cell>
          <cell r="AE26">
            <v>0.69213973799126638</v>
          </cell>
          <cell r="AF26">
            <v>0.9126637554585153</v>
          </cell>
          <cell r="AM26">
            <v>0.87117903930131002</v>
          </cell>
          <cell r="AN26">
            <v>0.8493449781659389</v>
          </cell>
          <cell r="AO26">
            <v>0.73799126637554591</v>
          </cell>
          <cell r="AP26">
            <v>0.77729257641921401</v>
          </cell>
          <cell r="AW26">
            <v>0.10043668122270742</v>
          </cell>
          <cell r="AX26">
            <v>0.29257641921397382</v>
          </cell>
          <cell r="AY26">
            <v>0.24017467248908297</v>
          </cell>
          <cell r="AZ26">
            <v>0.22707423580786026</v>
          </cell>
          <cell r="BG26">
            <v>0.86899563318777295</v>
          </cell>
          <cell r="BH26">
            <v>0.85807860262008728</v>
          </cell>
          <cell r="BI26">
            <v>0.51091703056768556</v>
          </cell>
          <cell r="BJ26">
            <v>0.53711790393013104</v>
          </cell>
          <cell r="BQ26">
            <v>0.97161572052401746</v>
          </cell>
          <cell r="BR26">
            <v>0.96288209606986896</v>
          </cell>
          <cell r="BS26">
            <v>0.84061135371179041</v>
          </cell>
          <cell r="BT26">
            <v>0.97816593886462877</v>
          </cell>
          <cell r="BX26">
            <v>0.94541484716157209</v>
          </cell>
          <cell r="CJ26">
            <v>0.10262008733624454</v>
          </cell>
          <cell r="CK26">
            <v>0.82751091703056767</v>
          </cell>
        </row>
        <row r="27">
          <cell r="A27" t="str">
            <v>Andrew Cogliano</v>
          </cell>
          <cell r="B27" t="str">
            <v>COL</v>
          </cell>
          <cell r="I27">
            <v>0.11790393013100436</v>
          </cell>
          <cell r="J27">
            <v>0.10043668122270742</v>
          </cell>
          <cell r="K27">
            <v>0.30349344978165937</v>
          </cell>
          <cell r="L27">
            <v>5.458515283842795E-2</v>
          </cell>
          <cell r="S27">
            <v>0.5873362445414847</v>
          </cell>
          <cell r="T27">
            <v>0.11572052401746726</v>
          </cell>
          <cell r="U27">
            <v>0.11135371179039301</v>
          </cell>
          <cell r="V27">
            <v>0.21397379912663755</v>
          </cell>
          <cell r="AC27">
            <v>0.65720524017467252</v>
          </cell>
          <cell r="AD27">
            <v>0.57641921397379914</v>
          </cell>
          <cell r="AE27">
            <v>0.92358078602620086</v>
          </cell>
          <cell r="AF27">
            <v>0.78602620087336239</v>
          </cell>
          <cell r="AM27">
            <v>2.1834061135371178E-2</v>
          </cell>
          <cell r="AN27">
            <v>9.8253275109170299E-2</v>
          </cell>
          <cell r="AO27">
            <v>0.2423580786026201</v>
          </cell>
          <cell r="AP27">
            <v>3.9301310043668124E-2</v>
          </cell>
          <cell r="AW27">
            <v>0.59606986899563319</v>
          </cell>
          <cell r="AX27">
            <v>0.54148471615720528</v>
          </cell>
          <cell r="AY27">
            <v>0.85589519650655022</v>
          </cell>
          <cell r="AZ27">
            <v>0.63100436681222705</v>
          </cell>
          <cell r="BG27">
            <v>0.20524017467248909</v>
          </cell>
          <cell r="BH27">
            <v>7.2052401746724892E-2</v>
          </cell>
          <cell r="BI27">
            <v>0.45633187772925765</v>
          </cell>
          <cell r="BJ27">
            <v>0.8493449781659389</v>
          </cell>
          <cell r="BQ27">
            <v>0.27947598253275108</v>
          </cell>
          <cell r="BR27">
            <v>0.20087336244541484</v>
          </cell>
          <cell r="BS27">
            <v>0.75982532751091703</v>
          </cell>
          <cell r="BT27">
            <v>0.22270742358078602</v>
          </cell>
          <cell r="BX27">
            <v>0.17248908296943233</v>
          </cell>
          <cell r="CJ27">
            <v>0.22925764192139739</v>
          </cell>
          <cell r="CK27">
            <v>0.68340611353711789</v>
          </cell>
        </row>
        <row r="28">
          <cell r="A28" t="str">
            <v>Andrew Copp</v>
          </cell>
          <cell r="B28" t="str">
            <v>DET</v>
          </cell>
          <cell r="I28">
            <v>7.8602620087336247E-2</v>
          </cell>
          <cell r="J28">
            <v>8.296943231441048E-2</v>
          </cell>
          <cell r="K28">
            <v>0.34934497816593885</v>
          </cell>
          <cell r="L28">
            <v>0.10262008733624454</v>
          </cell>
          <cell r="S28">
            <v>6.9868995633187769E-2</v>
          </cell>
          <cell r="T28">
            <v>0.72052401746724892</v>
          </cell>
          <cell r="U28">
            <v>0.79475982532751088</v>
          </cell>
          <cell r="V28">
            <v>0.39082969432314413</v>
          </cell>
          <cell r="AC28">
            <v>0.22707423580786026</v>
          </cell>
          <cell r="AD28">
            <v>0.20524017467248909</v>
          </cell>
          <cell r="AE28">
            <v>0.66812227074235808</v>
          </cell>
          <cell r="AF28">
            <v>0.28384279475982532</v>
          </cell>
          <cell r="AM28">
            <v>0.27510917030567683</v>
          </cell>
          <cell r="AN28">
            <v>0.32532751091703055</v>
          </cell>
          <cell r="AO28">
            <v>0.5393013100436681</v>
          </cell>
          <cell r="AP28">
            <v>0.34061135371179041</v>
          </cell>
          <cell r="AW28">
            <v>0.12882096069868995</v>
          </cell>
          <cell r="AX28">
            <v>0.19213973799126638</v>
          </cell>
          <cell r="AY28">
            <v>0.89519650655021832</v>
          </cell>
          <cell r="AZ28">
            <v>0.16375545851528384</v>
          </cell>
          <cell r="BG28">
            <v>0.65938864628820959</v>
          </cell>
          <cell r="BH28">
            <v>0.33842794759825329</v>
          </cell>
          <cell r="BI28">
            <v>0.68558951965065507</v>
          </cell>
          <cell r="BJ28">
            <v>0.80349344978165937</v>
          </cell>
          <cell r="BQ28">
            <v>9.1703056768558958E-2</v>
          </cell>
          <cell r="BR28">
            <v>8.0786026200873357E-2</v>
          </cell>
          <cell r="BS28">
            <v>0.48471615720524019</v>
          </cell>
          <cell r="BT28">
            <v>0.11135371179039301</v>
          </cell>
          <cell r="BX28">
            <v>6.9868995633187769E-2</v>
          </cell>
          <cell r="CJ28">
            <v>0.78602620087336239</v>
          </cell>
          <cell r="CK28">
            <v>0.12445414847161572</v>
          </cell>
        </row>
        <row r="29">
          <cell r="A29" t="str">
            <v>Andrew Mangiapane</v>
          </cell>
          <cell r="B29" t="str">
            <v>CGY</v>
          </cell>
          <cell r="I29">
            <v>0.98034934497816595</v>
          </cell>
          <cell r="J29">
            <v>0.84716157205240172</v>
          </cell>
          <cell r="K29">
            <v>0.86899563318777295</v>
          </cell>
          <cell r="L29">
            <v>0.96943231441048039</v>
          </cell>
          <cell r="S29">
            <v>0.70960698689956336</v>
          </cell>
          <cell r="T29">
            <v>0.66812227074235808</v>
          </cell>
          <cell r="U29">
            <v>0.72052401746724892</v>
          </cell>
          <cell r="V29">
            <v>0.72707423580786024</v>
          </cell>
          <cell r="AC29">
            <v>0.82096069868995636</v>
          </cell>
          <cell r="AD29">
            <v>0.55240174672489084</v>
          </cell>
          <cell r="AE29">
            <v>0.5393013100436681</v>
          </cell>
          <cell r="AF29">
            <v>0.62008733624454149</v>
          </cell>
          <cell r="AM29">
            <v>0.88209606986899558</v>
          </cell>
          <cell r="AN29">
            <v>0.90393013100436681</v>
          </cell>
          <cell r="AO29">
            <v>0.80131004366812231</v>
          </cell>
          <cell r="AP29">
            <v>0.94759825327510916</v>
          </cell>
          <cell r="AW29">
            <v>0.27292576419213976</v>
          </cell>
          <cell r="AX29">
            <v>0.17903930131004367</v>
          </cell>
          <cell r="AY29">
            <v>0.6026200873362445</v>
          </cell>
          <cell r="AZ29">
            <v>0.26637554585152839</v>
          </cell>
          <cell r="BG29">
            <v>0.6746724890829694</v>
          </cell>
          <cell r="BH29">
            <v>0.60698689956331875</v>
          </cell>
          <cell r="BI29">
            <v>0.56113537117903933</v>
          </cell>
          <cell r="BJ29">
            <v>0.388646288209607</v>
          </cell>
          <cell r="BQ29">
            <v>0.95851528384279472</v>
          </cell>
          <cell r="BR29">
            <v>0.80349344978165937</v>
          </cell>
          <cell r="BS29">
            <v>0.81004366812227069</v>
          </cell>
          <cell r="BT29">
            <v>0.93886462882096067</v>
          </cell>
          <cell r="BX29">
            <v>0.94323144104803491</v>
          </cell>
          <cell r="CJ29">
            <v>0.40393013100436681</v>
          </cell>
          <cell r="CK29">
            <v>0.60698689956331875</v>
          </cell>
        </row>
        <row r="30">
          <cell r="A30" t="str">
            <v>Anthony Beauvillier</v>
          </cell>
          <cell r="B30" t="str">
            <v>NYI, VAN</v>
          </cell>
          <cell r="I30">
            <v>0.51091703056768556</v>
          </cell>
          <cell r="J30">
            <v>0.69213973799126638</v>
          </cell>
          <cell r="K30">
            <v>0.5873362445414847</v>
          </cell>
          <cell r="L30">
            <v>0.51528384279475981</v>
          </cell>
          <cell r="S30">
            <v>0.46724890829694321</v>
          </cell>
          <cell r="T30">
            <v>0.5</v>
          </cell>
          <cell r="U30">
            <v>0.49563318777292575</v>
          </cell>
          <cell r="V30">
            <v>0.48908296943231439</v>
          </cell>
          <cell r="AC30">
            <v>0.25545851528384278</v>
          </cell>
          <cell r="AD30">
            <v>0.17248908296943233</v>
          </cell>
          <cell r="AE30">
            <v>0.20742358078602621</v>
          </cell>
          <cell r="AF30">
            <v>0.23580786026200873</v>
          </cell>
          <cell r="AM30">
            <v>0.611353711790393</v>
          </cell>
          <cell r="AN30">
            <v>0.68340611353711789</v>
          </cell>
          <cell r="AO30">
            <v>0.62008733624454149</v>
          </cell>
          <cell r="AP30">
            <v>0.57641921397379914</v>
          </cell>
          <cell r="AW30">
            <v>0.19213973799126638</v>
          </cell>
          <cell r="AX30">
            <v>0.19868995633187772</v>
          </cell>
          <cell r="AY30">
            <v>2.1834061135371178E-2</v>
          </cell>
          <cell r="AZ30">
            <v>0.22707423580786026</v>
          </cell>
          <cell r="BG30">
            <v>0.77074235807860259</v>
          </cell>
          <cell r="BH30">
            <v>0.79694323144104806</v>
          </cell>
          <cell r="BI30">
            <v>0.67248908296943233</v>
          </cell>
          <cell r="BJ30">
            <v>0.41484716157205243</v>
          </cell>
          <cell r="BQ30">
            <v>0.35589519650655022</v>
          </cell>
          <cell r="BR30">
            <v>0.43886462882096072</v>
          </cell>
          <cell r="BS30">
            <v>0.36899563318777295</v>
          </cell>
          <cell r="BT30">
            <v>0.36462882096069871</v>
          </cell>
          <cell r="BX30">
            <v>0.34061135371179041</v>
          </cell>
          <cell r="CJ30">
            <v>0.79475982532751088</v>
          </cell>
          <cell r="CK30">
            <v>0.20305676855895197</v>
          </cell>
        </row>
        <row r="31">
          <cell r="A31" t="str">
            <v>Anthony Cirelli</v>
          </cell>
          <cell r="B31" t="str">
            <v>T.B</v>
          </cell>
          <cell r="I31">
            <v>0.65938864628820959</v>
          </cell>
          <cell r="J31">
            <v>0.91048034934497812</v>
          </cell>
          <cell r="K31">
            <v>0.67685589519650657</v>
          </cell>
          <cell r="L31">
            <v>0.79475982532751088</v>
          </cell>
          <cell r="S31">
            <v>0.34934497816593885</v>
          </cell>
          <cell r="T31">
            <v>0.68122270742358082</v>
          </cell>
          <cell r="U31">
            <v>0.81441048034934493</v>
          </cell>
          <cell r="V31">
            <v>0.5633187772925764</v>
          </cell>
          <cell r="AC31">
            <v>0.40829694323144106</v>
          </cell>
          <cell r="AD31">
            <v>0.34716157205240172</v>
          </cell>
          <cell r="AE31">
            <v>0.91703056768558955</v>
          </cell>
          <cell r="AF31">
            <v>0.36244541484716158</v>
          </cell>
          <cell r="AM31">
            <v>0.46724890829694321</v>
          </cell>
          <cell r="AN31">
            <v>0.78820960698689957</v>
          </cell>
          <cell r="AO31">
            <v>0.60043668122270744</v>
          </cell>
          <cell r="AP31">
            <v>0.60917030567685593</v>
          </cell>
          <cell r="AW31">
            <v>0.33624454148471616</v>
          </cell>
          <cell r="AX31">
            <v>0.2205240174672489</v>
          </cell>
          <cell r="AY31">
            <v>0.91703056768558955</v>
          </cell>
          <cell r="AZ31">
            <v>0.32532751091703055</v>
          </cell>
          <cell r="BG31">
            <v>0.62227074235807855</v>
          </cell>
          <cell r="BH31">
            <v>0.26855895196506552</v>
          </cell>
          <cell r="BI31">
            <v>0.69213973799126638</v>
          </cell>
          <cell r="BJ31">
            <v>0.90174672489082974</v>
          </cell>
          <cell r="BQ31">
            <v>0.55458515283842791</v>
          </cell>
          <cell r="BR31">
            <v>0.79694323144104806</v>
          </cell>
          <cell r="BS31">
            <v>0.91703056768558955</v>
          </cell>
          <cell r="BT31">
            <v>0.65938864628820959</v>
          </cell>
          <cell r="BX31">
            <v>0.52183406113537123</v>
          </cell>
          <cell r="CJ31">
            <v>0.43886462882096072</v>
          </cell>
          <cell r="CK31">
            <v>0.79257641921397382</v>
          </cell>
        </row>
        <row r="32">
          <cell r="A32" t="str">
            <v>Anthony Duclair</v>
          </cell>
          <cell r="B32" t="str">
            <v>FLA</v>
          </cell>
          <cell r="I32">
            <v>0.93231441048034935</v>
          </cell>
          <cell r="J32">
            <v>0.99781659388646293</v>
          </cell>
          <cell r="K32">
            <v>0.86462882096069871</v>
          </cell>
          <cell r="L32">
            <v>0.95633187772925765</v>
          </cell>
          <cell r="S32">
            <v>4.5851528384279479E-2</v>
          </cell>
          <cell r="T32">
            <v>0.95196506550218341</v>
          </cell>
          <cell r="U32">
            <v>0.97379912663755464</v>
          </cell>
          <cell r="V32">
            <v>0.64410480349344978</v>
          </cell>
          <cell r="AC32">
            <v>1.7467248908296942E-2</v>
          </cell>
          <cell r="AD32">
            <v>6.5502183406113534E-3</v>
          </cell>
          <cell r="AE32">
            <v>0.6266375545851528</v>
          </cell>
          <cell r="AF32">
            <v>1.9650655021834062E-2</v>
          </cell>
          <cell r="AM32">
            <v>0.55240174672489084</v>
          </cell>
          <cell r="AN32">
            <v>0.95851528384279472</v>
          </cell>
          <cell r="AO32">
            <v>0.54585152838427953</v>
          </cell>
          <cell r="AP32">
            <v>0.79257641921397382</v>
          </cell>
          <cell r="AW32">
            <v>2.1834061135371178E-3</v>
          </cell>
          <cell r="AX32">
            <v>2.1834061135371178E-3</v>
          </cell>
          <cell r="AY32">
            <v>0.15065502183406113</v>
          </cell>
          <cell r="AZ32">
            <v>2.1834061135371178E-3</v>
          </cell>
          <cell r="BG32">
            <v>0.64628820960698685</v>
          </cell>
          <cell r="BH32">
            <v>0.63973799126637554</v>
          </cell>
          <cell r="BI32">
            <v>0.61353711790393017</v>
          </cell>
          <cell r="BJ32">
            <v>0.85589519650655022</v>
          </cell>
          <cell r="BQ32">
            <v>0.43886462882096072</v>
          </cell>
          <cell r="BR32">
            <v>0.611353711790393</v>
          </cell>
          <cell r="BS32">
            <v>0.85807860262008728</v>
          </cell>
          <cell r="BT32">
            <v>0.51310043668122274</v>
          </cell>
          <cell r="BX32">
            <v>0.26637554585152839</v>
          </cell>
          <cell r="CJ32">
            <v>0.92358078602620086</v>
          </cell>
          <cell r="CK32">
            <v>0.34497816593886466</v>
          </cell>
        </row>
        <row r="33">
          <cell r="A33" t="str">
            <v>Anthony Mantha</v>
          </cell>
          <cell r="B33" t="str">
            <v>WSH</v>
          </cell>
          <cell r="I33">
            <v>0.60480349344978168</v>
          </cell>
          <cell r="J33">
            <v>0.53056768558951961</v>
          </cell>
          <cell r="K33">
            <v>0.4606986899563319</v>
          </cell>
          <cell r="L33">
            <v>0.56550218340611358</v>
          </cell>
          <cell r="S33">
            <v>0.55676855895196509</v>
          </cell>
          <cell r="T33">
            <v>0.40393013100436681</v>
          </cell>
          <cell r="U33">
            <v>0.52183406113537123</v>
          </cell>
          <cell r="V33">
            <v>0.4606986899563319</v>
          </cell>
          <cell r="AC33">
            <v>0.71179039301310043</v>
          </cell>
          <cell r="AD33">
            <v>0.90393013100436681</v>
          </cell>
          <cell r="AE33">
            <v>0.32314410480349343</v>
          </cell>
          <cell r="AF33">
            <v>0.75109170305676853</v>
          </cell>
          <cell r="AM33">
            <v>0.56768558951965065</v>
          </cell>
          <cell r="AN33">
            <v>0.49126637554585151</v>
          </cell>
          <cell r="AO33">
            <v>0.43449781659388648</v>
          </cell>
          <cell r="AP33">
            <v>0.51528384279475981</v>
          </cell>
          <cell r="AW33">
            <v>0.85807860262008728</v>
          </cell>
          <cell r="AX33">
            <v>0.95196506550218341</v>
          </cell>
          <cell r="AY33">
            <v>0.31441048034934499</v>
          </cell>
          <cell r="AZ33">
            <v>0.84279475982532748</v>
          </cell>
          <cell r="BG33">
            <v>0.62008733624454149</v>
          </cell>
          <cell r="BH33">
            <v>0.31441048034934499</v>
          </cell>
          <cell r="BI33">
            <v>0.39519650655021832</v>
          </cell>
          <cell r="BJ33">
            <v>0.13537117903930132</v>
          </cell>
          <cell r="BQ33">
            <v>0.66812227074235808</v>
          </cell>
          <cell r="BR33">
            <v>0.76200873362445409</v>
          </cell>
          <cell r="BS33">
            <v>0.36899563318777295</v>
          </cell>
          <cell r="BT33">
            <v>0.72489082969432317</v>
          </cell>
          <cell r="BX33">
            <v>0.74672489082969429</v>
          </cell>
          <cell r="CJ33">
            <v>0.46506550218340609</v>
          </cell>
          <cell r="CK33">
            <v>0.53056768558951961</v>
          </cell>
        </row>
        <row r="34">
          <cell r="A34" t="str">
            <v>Anton Lundell</v>
          </cell>
          <cell r="B34" t="str">
            <v>FLA</v>
          </cell>
          <cell r="I34">
            <v>0.85807860262008728</v>
          </cell>
          <cell r="J34">
            <v>0.8253275109170306</v>
          </cell>
          <cell r="K34">
            <v>0.59170305676855894</v>
          </cell>
          <cell r="L34">
            <v>0.80786026200873362</v>
          </cell>
          <cell r="S34">
            <v>0.42358078602620086</v>
          </cell>
          <cell r="T34">
            <v>0.25982532751091703</v>
          </cell>
          <cell r="U34">
            <v>0.21615720524017468</v>
          </cell>
          <cell r="V34">
            <v>0.26637554585152839</v>
          </cell>
          <cell r="AC34">
            <v>0.68340611353711789</v>
          </cell>
          <cell r="AD34">
            <v>0.20305676855895197</v>
          </cell>
          <cell r="AE34">
            <v>0.57860262008733621</v>
          </cell>
          <cell r="AF34">
            <v>0.5873362445414847</v>
          </cell>
          <cell r="AM34">
            <v>0.36899563318777295</v>
          </cell>
          <cell r="AN34">
            <v>0.39737991266375544</v>
          </cell>
          <cell r="AO34">
            <v>0.3056768558951965</v>
          </cell>
          <cell r="AP34">
            <v>0.29257641921397382</v>
          </cell>
          <cell r="AW34">
            <v>0.82969432314410485</v>
          </cell>
          <cell r="AX34">
            <v>0.35589519650655022</v>
          </cell>
          <cell r="AY34">
            <v>0.6026200873362445</v>
          </cell>
          <cell r="AZ34">
            <v>0.76200873362445409</v>
          </cell>
          <cell r="BG34">
            <v>0.44541484716157204</v>
          </cell>
          <cell r="BH34">
            <v>0.65283842794759828</v>
          </cell>
          <cell r="BI34">
            <v>0.34716157205240172</v>
          </cell>
          <cell r="BJ34">
            <v>0.35807860262008734</v>
          </cell>
          <cell r="BQ34">
            <v>0.86026200873362446</v>
          </cell>
          <cell r="BR34">
            <v>0.6026200873362445</v>
          </cell>
          <cell r="BS34">
            <v>0.61790393013100442</v>
          </cell>
          <cell r="BT34">
            <v>0.78820960698689957</v>
          </cell>
          <cell r="BX34">
            <v>0.6506550218340611</v>
          </cell>
          <cell r="CJ34">
            <v>0.25109170305676853</v>
          </cell>
          <cell r="CK34">
            <v>0.65502183406113534</v>
          </cell>
        </row>
        <row r="35">
          <cell r="A35" t="str">
            <v>Anze Kopitar</v>
          </cell>
          <cell r="B35" t="str">
            <v>L.A</v>
          </cell>
          <cell r="I35">
            <v>0.71615720524017468</v>
          </cell>
          <cell r="J35">
            <v>0.69213973799126638</v>
          </cell>
          <cell r="K35">
            <v>0.80349344978165937</v>
          </cell>
          <cell r="L35">
            <v>0.59825327510917026</v>
          </cell>
          <cell r="S35">
            <v>0.73580786026200873</v>
          </cell>
          <cell r="T35">
            <v>0.89519650655021832</v>
          </cell>
          <cell r="U35">
            <v>0.8253275109170306</v>
          </cell>
          <cell r="V35">
            <v>0.89082969432314407</v>
          </cell>
          <cell r="AC35">
            <v>0.84716157205240172</v>
          </cell>
          <cell r="AD35">
            <v>0.57641921397379914</v>
          </cell>
          <cell r="AE35">
            <v>0.71179039301310043</v>
          </cell>
          <cell r="AF35">
            <v>0.69868995633187769</v>
          </cell>
          <cell r="AM35">
            <v>0.56986899563318782</v>
          </cell>
          <cell r="AN35">
            <v>0.5</v>
          </cell>
          <cell r="AO35">
            <v>0.82969432314410485</v>
          </cell>
          <cell r="AP35">
            <v>0.55021834061135366</v>
          </cell>
          <cell r="AW35">
            <v>0.42576419213973798</v>
          </cell>
          <cell r="AX35">
            <v>0.2205240174672489</v>
          </cell>
          <cell r="AY35">
            <v>0.67903930131004364</v>
          </cell>
          <cell r="AZ35">
            <v>0.31441048034934499</v>
          </cell>
          <cell r="BG35">
            <v>0.90829694323144106</v>
          </cell>
          <cell r="BH35">
            <v>0.37336244541484714</v>
          </cell>
          <cell r="BI35">
            <v>0.78165938864628826</v>
          </cell>
          <cell r="BJ35">
            <v>0.70960698689956336</v>
          </cell>
          <cell r="BQ35">
            <v>0.8253275109170306</v>
          </cell>
          <cell r="BR35">
            <v>0.68558951965065507</v>
          </cell>
          <cell r="BS35">
            <v>0.85589519650655022</v>
          </cell>
          <cell r="BT35">
            <v>0.69432314410480345</v>
          </cell>
          <cell r="BX35">
            <v>0.81441048034934493</v>
          </cell>
          <cell r="CJ35">
            <v>0.97379912663755464</v>
          </cell>
          <cell r="CK35">
            <v>9.606986899563319E-2</v>
          </cell>
        </row>
        <row r="36">
          <cell r="A36" t="str">
            <v>Artemi Panarin</v>
          </cell>
          <cell r="B36" t="str">
            <v>NYR</v>
          </cell>
          <cell r="I36">
            <v>0.66157205240174677</v>
          </cell>
          <cell r="J36">
            <v>0.59388646288209612</v>
          </cell>
          <cell r="K36">
            <v>0.80349344978165937</v>
          </cell>
          <cell r="L36">
            <v>0.56550218340611358</v>
          </cell>
          <cell r="S36">
            <v>0.78384279475982532</v>
          </cell>
          <cell r="T36">
            <v>0.91484716157205237</v>
          </cell>
          <cell r="U36">
            <v>0.89519650655021832</v>
          </cell>
          <cell r="V36">
            <v>0.92139737991266379</v>
          </cell>
          <cell r="AC36">
            <v>0.78165938864628826</v>
          </cell>
          <cell r="AD36">
            <v>0.26637554585152839</v>
          </cell>
          <cell r="AE36">
            <v>0.44541484716157204</v>
          </cell>
          <cell r="AF36">
            <v>0.4606986899563319</v>
          </cell>
          <cell r="AM36">
            <v>0.80349344978165937</v>
          </cell>
          <cell r="AN36">
            <v>0.63973799126637554</v>
          </cell>
          <cell r="AO36">
            <v>0.78384279475982532</v>
          </cell>
          <cell r="AP36">
            <v>0.67248908296943233</v>
          </cell>
          <cell r="AW36">
            <v>0.70087336244541487</v>
          </cell>
          <cell r="AX36">
            <v>0.32096069868995636</v>
          </cell>
          <cell r="AY36">
            <v>0.16812227074235808</v>
          </cell>
          <cell r="AZ36">
            <v>0.44978165938864628</v>
          </cell>
          <cell r="BG36">
            <v>0.94978165938864634</v>
          </cell>
          <cell r="BH36">
            <v>0.388646288209607</v>
          </cell>
          <cell r="BI36">
            <v>0.83624454148471616</v>
          </cell>
          <cell r="BJ36">
            <v>0.61790393013100442</v>
          </cell>
          <cell r="BQ36">
            <v>0.76855895196506552</v>
          </cell>
          <cell r="BR36">
            <v>0.42794759825327511</v>
          </cell>
          <cell r="BS36">
            <v>0.68558951965065507</v>
          </cell>
          <cell r="BT36">
            <v>0.53056768558951961</v>
          </cell>
          <cell r="BX36">
            <v>0.86681222707423577</v>
          </cell>
          <cell r="CJ36">
            <v>0.61572052401746724</v>
          </cell>
          <cell r="CK36">
            <v>0.3296943231441048</v>
          </cell>
        </row>
        <row r="37">
          <cell r="A37" t="str">
            <v>Arthur Kaliyev</v>
          </cell>
          <cell r="B37" t="str">
            <v>L.A</v>
          </cell>
          <cell r="I37">
            <v>0.80786026200873362</v>
          </cell>
          <cell r="J37">
            <v>0.888646288209607</v>
          </cell>
          <cell r="K37">
            <v>0.68995633187772931</v>
          </cell>
          <cell r="L37">
            <v>0.70524017467248912</v>
          </cell>
          <cell r="S37">
            <v>0.34934497816593885</v>
          </cell>
          <cell r="T37">
            <v>0.68995633187772931</v>
          </cell>
          <cell r="U37">
            <v>0.38646288209606988</v>
          </cell>
          <cell r="V37">
            <v>0.57641921397379914</v>
          </cell>
          <cell r="AC37">
            <v>0.81004366812227069</v>
          </cell>
          <cell r="AD37">
            <v>0.36026200873362446</v>
          </cell>
          <cell r="AE37">
            <v>0.37554585152838427</v>
          </cell>
          <cell r="AF37">
            <v>0.47816593886462883</v>
          </cell>
          <cell r="AM37">
            <v>0.6506550218340611</v>
          </cell>
          <cell r="AN37">
            <v>0.87117903930131002</v>
          </cell>
          <cell r="AO37">
            <v>0.73362445414847166</v>
          </cell>
          <cell r="AP37">
            <v>0.63973799126637554</v>
          </cell>
          <cell r="AW37">
            <v>0.39519650655021832</v>
          </cell>
          <cell r="AX37">
            <v>8.0786026200873357E-2</v>
          </cell>
          <cell r="AY37">
            <v>0.17467248908296942</v>
          </cell>
          <cell r="AZ37">
            <v>0.10480349344978165</v>
          </cell>
          <cell r="BG37">
            <v>8.296943231441048E-2</v>
          </cell>
          <cell r="BH37">
            <v>0.91703056768558955</v>
          </cell>
          <cell r="BI37">
            <v>0.60480349344978168</v>
          </cell>
          <cell r="BJ37">
            <v>0.27510917030567683</v>
          </cell>
          <cell r="BQ37">
            <v>0.8493449781659389</v>
          </cell>
          <cell r="BR37">
            <v>0.76855895196506552</v>
          </cell>
          <cell r="BS37">
            <v>0.55458515283842791</v>
          </cell>
          <cell r="BT37">
            <v>0.63755458515283847</v>
          </cell>
          <cell r="BX37">
            <v>0.65938864628820959</v>
          </cell>
          <cell r="CJ37">
            <v>0.6506550218340611</v>
          </cell>
          <cell r="CK37">
            <v>0.32751091703056767</v>
          </cell>
        </row>
        <row r="38">
          <cell r="A38" t="str">
            <v>Artturi Lehkonen</v>
          </cell>
          <cell r="B38" t="str">
            <v>COL</v>
          </cell>
          <cell r="I38">
            <v>0.87772925764192145</v>
          </cell>
          <cell r="J38">
            <v>0.76637554585152834</v>
          </cell>
          <cell r="K38">
            <v>0.80786026200873362</v>
          </cell>
          <cell r="L38">
            <v>0.79475982532751088</v>
          </cell>
          <cell r="S38">
            <v>0.46724890829694321</v>
          </cell>
          <cell r="T38">
            <v>0.6506550218340611</v>
          </cell>
          <cell r="U38">
            <v>0.46943231441048033</v>
          </cell>
          <cell r="V38">
            <v>0.59606986899563319</v>
          </cell>
          <cell r="AC38">
            <v>0.46288209606986902</v>
          </cell>
          <cell r="AD38">
            <v>0.27074235807860264</v>
          </cell>
          <cell r="AE38">
            <v>0.5</v>
          </cell>
          <cell r="AF38">
            <v>0.54585152838427953</v>
          </cell>
          <cell r="AM38">
            <v>0.93231441048034935</v>
          </cell>
          <cell r="AN38">
            <v>0.92139737991266379</v>
          </cell>
          <cell r="AO38">
            <v>0.81877729257641918</v>
          </cell>
          <cell r="AP38">
            <v>0.88646288209606983</v>
          </cell>
          <cell r="AW38">
            <v>0.30131004366812225</v>
          </cell>
          <cell r="AX38">
            <v>0.17903930131004367</v>
          </cell>
          <cell r="AY38">
            <v>0.20742358078602621</v>
          </cell>
          <cell r="AZ38">
            <v>0.28820960698689957</v>
          </cell>
          <cell r="BG38">
            <v>0.92794759825327511</v>
          </cell>
          <cell r="BH38">
            <v>0.82096069868995636</v>
          </cell>
          <cell r="BI38">
            <v>0.57423580786026196</v>
          </cell>
          <cell r="BJ38">
            <v>0.64628820960698685</v>
          </cell>
          <cell r="BQ38">
            <v>0.79475982532751088</v>
          </cell>
          <cell r="BR38">
            <v>0.57860262008733621</v>
          </cell>
          <cell r="BS38">
            <v>0.74672489082969429</v>
          </cell>
          <cell r="BT38">
            <v>0.76200873362445409</v>
          </cell>
          <cell r="BX38">
            <v>0.79694323144104806</v>
          </cell>
          <cell r="CJ38">
            <v>0.63100436681222705</v>
          </cell>
          <cell r="CK38">
            <v>7.6419213973799124E-2</v>
          </cell>
        </row>
        <row r="39">
          <cell r="A39" t="str">
            <v>Austin Czarnik</v>
          </cell>
          <cell r="B39" t="str">
            <v>DET</v>
          </cell>
          <cell r="I39">
            <v>0.1331877729257642</v>
          </cell>
          <cell r="J39">
            <v>8.5152838427947602E-2</v>
          </cell>
          <cell r="K39">
            <v>0.16593886462882096</v>
          </cell>
          <cell r="L39">
            <v>0.15283842794759825</v>
          </cell>
          <cell r="S39">
            <v>0.4126637554585153</v>
          </cell>
          <cell r="T39">
            <v>2.1834061135371178E-2</v>
          </cell>
          <cell r="U39">
            <v>9.1703056768558958E-2</v>
          </cell>
          <cell r="V39">
            <v>5.458515283842795E-2</v>
          </cell>
          <cell r="AC39">
            <v>0.71834061135371174</v>
          </cell>
          <cell r="AD39">
            <v>0.70087336244541487</v>
          </cell>
          <cell r="AE39">
            <v>0.82314410480349343</v>
          </cell>
          <cell r="AF39">
            <v>0.87772925764192145</v>
          </cell>
          <cell r="AM39">
            <v>0.5873362445414847</v>
          </cell>
          <cell r="AN39">
            <v>0.59825327510917026</v>
          </cell>
          <cell r="AO39">
            <v>0.63973799126637554</v>
          </cell>
          <cell r="AP39">
            <v>0.65502183406113534</v>
          </cell>
          <cell r="AW39">
            <v>0.71615720524017468</v>
          </cell>
          <cell r="AX39">
            <v>0.91921397379912662</v>
          </cell>
          <cell r="AY39">
            <v>0.99563318777292575</v>
          </cell>
          <cell r="AZ39">
            <v>0.91921397379912662</v>
          </cell>
          <cell r="BG39">
            <v>0.17903930131004367</v>
          </cell>
          <cell r="BH39">
            <v>0.77074235807860259</v>
          </cell>
          <cell r="BI39">
            <v>0.2576419213973799</v>
          </cell>
          <cell r="BJ39">
            <v>0.44323144104803491</v>
          </cell>
          <cell r="BQ39">
            <v>0.32314410480349343</v>
          </cell>
          <cell r="BR39">
            <v>0.2205240174672489</v>
          </cell>
          <cell r="BS39">
            <v>0.39737991266375544</v>
          </cell>
          <cell r="BT39">
            <v>0.41048034934497818</v>
          </cell>
          <cell r="BX39">
            <v>0.48689956331877732</v>
          </cell>
          <cell r="CJ39">
            <v>0.43886462882096072</v>
          </cell>
          <cell r="CK39">
            <v>0.81877729257641918</v>
          </cell>
        </row>
        <row r="40">
          <cell r="A40" t="str">
            <v>Austin Watson</v>
          </cell>
          <cell r="B40" t="str">
            <v>OTT</v>
          </cell>
          <cell r="I40">
            <v>0.1965065502183406</v>
          </cell>
          <cell r="J40">
            <v>0.24017467248908297</v>
          </cell>
          <cell r="K40">
            <v>2.8384279475982533E-2</v>
          </cell>
          <cell r="L40">
            <v>6.768558951965066E-2</v>
          </cell>
          <cell r="S40">
            <v>0.388646288209607</v>
          </cell>
          <cell r="T40">
            <v>2.1834061135371178E-2</v>
          </cell>
          <cell r="U40">
            <v>3.4934497816593885E-2</v>
          </cell>
          <cell r="V40">
            <v>5.0218340611353711E-2</v>
          </cell>
          <cell r="AC40">
            <v>0.58296943231441045</v>
          </cell>
          <cell r="AD40">
            <v>0.66157205240174677</v>
          </cell>
          <cell r="AE40">
            <v>0.63755458515283847</v>
          </cell>
          <cell r="AF40">
            <v>0.63755458515283847</v>
          </cell>
          <cell r="AM40">
            <v>1.9650655021834062E-2</v>
          </cell>
          <cell r="AN40">
            <v>9.3886462882096067E-2</v>
          </cell>
          <cell r="AO40">
            <v>6.3318777292576414E-2</v>
          </cell>
          <cell r="AP40">
            <v>1.0917030567685589E-2</v>
          </cell>
          <cell r="AW40">
            <v>0.62445414847161573</v>
          </cell>
          <cell r="AX40">
            <v>0.71834061135371174</v>
          </cell>
          <cell r="AY40">
            <v>0.89519650655021832</v>
          </cell>
          <cell r="AZ40">
            <v>0.74454148471615722</v>
          </cell>
          <cell r="BG40">
            <v>4.3668122270742356E-3</v>
          </cell>
          <cell r="BH40">
            <v>3.2751091703056769E-2</v>
          </cell>
          <cell r="BI40">
            <v>3.0567685589519649E-2</v>
          </cell>
          <cell r="BJ40">
            <v>6.3318777292576414E-2</v>
          </cell>
          <cell r="BQ40">
            <v>0.31877729257641924</v>
          </cell>
          <cell r="BR40">
            <v>0.37554585152838427</v>
          </cell>
          <cell r="BS40">
            <v>7.4235807860262015E-2</v>
          </cell>
          <cell r="BT40">
            <v>0.17903930131004367</v>
          </cell>
          <cell r="BX40">
            <v>0.11135371179039301</v>
          </cell>
          <cell r="CJ40">
            <v>8.7336244541484712E-3</v>
          </cell>
          <cell r="CK40">
            <v>0.97379912663755464</v>
          </cell>
        </row>
        <row r="41">
          <cell r="A41" t="str">
            <v>Auston Matthews</v>
          </cell>
          <cell r="B41" t="str">
            <v>TOR</v>
          </cell>
          <cell r="I41">
            <v>0.90829694323144106</v>
          </cell>
          <cell r="J41">
            <v>0.98471615720524019</v>
          </cell>
          <cell r="K41">
            <v>0.98908296943231444</v>
          </cell>
          <cell r="L41">
            <v>0.98034934497816595</v>
          </cell>
          <cell r="S41">
            <v>0.96506550218340614</v>
          </cell>
          <cell r="T41">
            <v>0.85589519650655022</v>
          </cell>
          <cell r="U41">
            <v>0.92576419213973804</v>
          </cell>
          <cell r="V41">
            <v>0.9606986899563319</v>
          </cell>
          <cell r="AC41">
            <v>0.611353711790393</v>
          </cell>
          <cell r="AD41">
            <v>0.36026200873362446</v>
          </cell>
          <cell r="AE41">
            <v>0.85807860262008728</v>
          </cell>
          <cell r="AF41">
            <v>0.49563318777292575</v>
          </cell>
          <cell r="AM41">
            <v>0.97161572052401746</v>
          </cell>
          <cell r="AN41">
            <v>0.98253275109170302</v>
          </cell>
          <cell r="AO41">
            <v>0.9759825327510917</v>
          </cell>
          <cell r="AP41">
            <v>0.99126637554585151</v>
          </cell>
          <cell r="AW41">
            <v>0.38209606986899564</v>
          </cell>
          <cell r="AX41">
            <v>0.23144104803493451</v>
          </cell>
          <cell r="AY41">
            <v>0.66157205240174677</v>
          </cell>
          <cell r="AZ41">
            <v>0.31441048034934499</v>
          </cell>
          <cell r="BG41">
            <v>0.98253275109170302</v>
          </cell>
          <cell r="BH41">
            <v>0.98034934497816595</v>
          </cell>
          <cell r="BI41">
            <v>0.94323144104803491</v>
          </cell>
          <cell r="BJ41">
            <v>0.97816593886462877</v>
          </cell>
          <cell r="BQ41">
            <v>0.88646288209606983</v>
          </cell>
          <cell r="BR41">
            <v>0.89082969432314407</v>
          </cell>
          <cell r="BS41">
            <v>0.98034934497816595</v>
          </cell>
          <cell r="BT41">
            <v>0.93013100436681218</v>
          </cell>
          <cell r="BX41">
            <v>0.96724890829694321</v>
          </cell>
          <cell r="CJ41">
            <v>0.85152838427947597</v>
          </cell>
          <cell r="CK41">
            <v>0.84497816593886466</v>
          </cell>
        </row>
        <row r="42">
          <cell r="A42" t="str">
            <v>Axel Jonsson-Fjallby</v>
          </cell>
          <cell r="B42" t="str">
            <v>WPG</v>
          </cell>
          <cell r="I42">
            <v>0.31877729257641924</v>
          </cell>
          <cell r="J42">
            <v>6.768558951965066E-2</v>
          </cell>
          <cell r="K42">
            <v>0.25109170305676853</v>
          </cell>
          <cell r="L42">
            <v>0.20087336244541484</v>
          </cell>
          <cell r="S42">
            <v>0.63318777292576423</v>
          </cell>
          <cell r="T42">
            <v>0.4606986899563319</v>
          </cell>
          <cell r="U42">
            <v>0.26637554585152839</v>
          </cell>
          <cell r="V42">
            <v>0.53711790393013104</v>
          </cell>
          <cell r="AC42">
            <v>0.79912663755458513</v>
          </cell>
          <cell r="AD42">
            <v>0.82969432314410485</v>
          </cell>
          <cell r="AE42">
            <v>0.73799126637554591</v>
          </cell>
          <cell r="AF42">
            <v>0.79912663755458513</v>
          </cell>
          <cell r="AM42">
            <v>0.31659388646288211</v>
          </cell>
          <cell r="AN42">
            <v>4.8034934497816595E-2</v>
          </cell>
          <cell r="AO42">
            <v>0.27074235807860264</v>
          </cell>
          <cell r="AP42">
            <v>0.19213973799126638</v>
          </cell>
          <cell r="AW42">
            <v>0.89519650655021832</v>
          </cell>
          <cell r="AX42">
            <v>0.88646288209606983</v>
          </cell>
          <cell r="AY42">
            <v>0.55021834061135366</v>
          </cell>
          <cell r="AZ42">
            <v>0.90393013100436681</v>
          </cell>
          <cell r="BG42">
            <v>7.8602620087336247E-2</v>
          </cell>
          <cell r="BH42">
            <v>0.31222707423580787</v>
          </cell>
          <cell r="BI42">
            <v>0.31659388646288211</v>
          </cell>
          <cell r="BJ42">
            <v>0.44323144104803491</v>
          </cell>
          <cell r="BQ42">
            <v>0.53056768558951961</v>
          </cell>
          <cell r="BR42">
            <v>0.25982532751091703</v>
          </cell>
          <cell r="BS42">
            <v>0.43013100436681223</v>
          </cell>
          <cell r="BT42">
            <v>0.39737991266375544</v>
          </cell>
          <cell r="BX42">
            <v>0.56768558951965065</v>
          </cell>
          <cell r="CJ42">
            <v>0.71834061135371174</v>
          </cell>
          <cell r="CK42">
            <v>0.27729257641921395</v>
          </cell>
        </row>
        <row r="43">
          <cell r="A43" t="str">
            <v>Barclay Goodrow</v>
          </cell>
          <cell r="B43" t="str">
            <v>NYR</v>
          </cell>
          <cell r="I43">
            <v>0.32096069868995636</v>
          </cell>
          <cell r="J43">
            <v>0.49563318777292575</v>
          </cell>
          <cell r="K43">
            <v>0.45851528384279477</v>
          </cell>
          <cell r="L43">
            <v>0.34061135371179041</v>
          </cell>
          <cell r="S43">
            <v>0.44323144104803491</v>
          </cell>
          <cell r="T43">
            <v>0.6266375545851528</v>
          </cell>
          <cell r="U43">
            <v>0.53711790393013104</v>
          </cell>
          <cell r="V43">
            <v>0.5633187772925764</v>
          </cell>
          <cell r="AC43">
            <v>0.36026200873362446</v>
          </cell>
          <cell r="AD43">
            <v>0.18340611353711792</v>
          </cell>
          <cell r="AE43">
            <v>0.55240174672489084</v>
          </cell>
          <cell r="AF43">
            <v>0.19213973799126638</v>
          </cell>
          <cell r="AM43">
            <v>0.35807860262008734</v>
          </cell>
          <cell r="AN43">
            <v>0.50873362445414849</v>
          </cell>
          <cell r="AO43">
            <v>0.40393013100436681</v>
          </cell>
          <cell r="AP43">
            <v>0.388646288209607</v>
          </cell>
          <cell r="AW43">
            <v>0.11353711790393013</v>
          </cell>
          <cell r="AX43">
            <v>0.20087336244541484</v>
          </cell>
          <cell r="AY43">
            <v>0.33406113537117904</v>
          </cell>
          <cell r="AZ43">
            <v>0.10480349344978165</v>
          </cell>
          <cell r="BG43">
            <v>0.40174672489082969</v>
          </cell>
          <cell r="BH43">
            <v>0.24454148471615719</v>
          </cell>
          <cell r="BI43">
            <v>0.57641921397379914</v>
          </cell>
          <cell r="BJ43">
            <v>0.61790393013100442</v>
          </cell>
          <cell r="BQ43">
            <v>0.31441048034934499</v>
          </cell>
          <cell r="BR43">
            <v>0.32532751091703055</v>
          </cell>
          <cell r="BS43">
            <v>0.48471615720524019</v>
          </cell>
          <cell r="BT43">
            <v>0.25109170305676853</v>
          </cell>
          <cell r="BX43">
            <v>0.1943231441048035</v>
          </cell>
          <cell r="CJ43">
            <v>0.24672489082969432</v>
          </cell>
          <cell r="CK43">
            <v>0.63318777292576423</v>
          </cell>
        </row>
        <row r="44">
          <cell r="A44" t="str">
            <v>Barrett Hayton</v>
          </cell>
          <cell r="B44" t="str">
            <v>ARI</v>
          </cell>
          <cell r="I44">
            <v>0.47161572052401746</v>
          </cell>
          <cell r="J44">
            <v>0.44978165938864628</v>
          </cell>
          <cell r="K44">
            <v>0.69213973799126638</v>
          </cell>
          <cell r="L44">
            <v>0.44323144104803491</v>
          </cell>
          <cell r="S44">
            <v>0.51528384279475981</v>
          </cell>
          <cell r="T44">
            <v>0.34716157205240172</v>
          </cell>
          <cell r="U44">
            <v>0.36244541484716158</v>
          </cell>
          <cell r="V44">
            <v>0.37117903930131002</v>
          </cell>
          <cell r="AC44">
            <v>0.49126637554585151</v>
          </cell>
          <cell r="AD44">
            <v>0.56768558951965065</v>
          </cell>
          <cell r="AE44">
            <v>0.24672489082969432</v>
          </cell>
          <cell r="AF44">
            <v>0.50436681222707425</v>
          </cell>
          <cell r="AM44">
            <v>0.90174672489082974</v>
          </cell>
          <cell r="AN44">
            <v>0.85152838427947597</v>
          </cell>
          <cell r="AO44">
            <v>0.82751091703056767</v>
          </cell>
          <cell r="AP44">
            <v>0.84716157205240172</v>
          </cell>
          <cell r="AW44">
            <v>0.89519650655021832</v>
          </cell>
          <cell r="AX44">
            <v>0.88209606986899558</v>
          </cell>
          <cell r="AY44">
            <v>0.32751091703056767</v>
          </cell>
          <cell r="AZ44">
            <v>0.79694323144104806</v>
          </cell>
          <cell r="BG44">
            <v>0.70305676855895194</v>
          </cell>
          <cell r="BH44">
            <v>0.19213973799126638</v>
          </cell>
          <cell r="BI44">
            <v>0.80567685589519655</v>
          </cell>
          <cell r="BJ44">
            <v>0.52183406113537123</v>
          </cell>
          <cell r="BQ44">
            <v>0.46288209606986902</v>
          </cell>
          <cell r="BR44">
            <v>0.46943231441048033</v>
          </cell>
          <cell r="BS44">
            <v>0.45414847161572053</v>
          </cell>
          <cell r="BT44">
            <v>0.4759825327510917</v>
          </cell>
          <cell r="BX44">
            <v>0.64192139737991272</v>
          </cell>
          <cell r="CJ44">
            <v>0.36899563318777295</v>
          </cell>
          <cell r="CK44">
            <v>0.93449781659388642</v>
          </cell>
        </row>
        <row r="45">
          <cell r="A45" t="str">
            <v>Ben Meyers</v>
          </cell>
          <cell r="B45" t="str">
            <v>COL</v>
          </cell>
          <cell r="I45">
            <v>0.2205240174672489</v>
          </cell>
          <cell r="J45">
            <v>0.29475982532751094</v>
          </cell>
          <cell r="K45">
            <v>5.2401746724890827E-2</v>
          </cell>
          <cell r="L45">
            <v>0.388646288209607</v>
          </cell>
          <cell r="S45">
            <v>0.51528384279475981</v>
          </cell>
          <cell r="T45">
            <v>2.1834061135371178E-3</v>
          </cell>
          <cell r="U45">
            <v>2.1834061135371178E-3</v>
          </cell>
          <cell r="V45">
            <v>3.2751091703056769E-2</v>
          </cell>
          <cell r="AC45">
            <v>0.88209606986899558</v>
          </cell>
          <cell r="AD45">
            <v>0.95851528384279472</v>
          </cell>
          <cell r="AE45">
            <v>0.51528384279475981</v>
          </cell>
          <cell r="AF45">
            <v>0.98908296943231444</v>
          </cell>
          <cell r="AM45">
            <v>6.768558951965066E-2</v>
          </cell>
          <cell r="AN45">
            <v>0.44104803493449779</v>
          </cell>
          <cell r="AO45">
            <v>2.6200873362445413E-2</v>
          </cell>
          <cell r="AP45">
            <v>0.39737991266375544</v>
          </cell>
          <cell r="AW45">
            <v>0.87991266375545851</v>
          </cell>
          <cell r="AX45">
            <v>0.94104803493449785</v>
          </cell>
          <cell r="AY45">
            <v>0.33406113537117904</v>
          </cell>
          <cell r="AZ45">
            <v>0.94759825327510916</v>
          </cell>
          <cell r="BG45">
            <v>7.2052401746724892E-2</v>
          </cell>
          <cell r="BH45">
            <v>0.3056768558951965</v>
          </cell>
          <cell r="BI45">
            <v>5.2401746724890827E-2</v>
          </cell>
          <cell r="BJ45">
            <v>0.1091703056768559</v>
          </cell>
          <cell r="BQ45">
            <v>0.51746724890829698</v>
          </cell>
          <cell r="BR45">
            <v>0.67030567685589515</v>
          </cell>
          <cell r="BS45">
            <v>9.3886462882096067E-2</v>
          </cell>
          <cell r="BT45">
            <v>0.86899563318777295</v>
          </cell>
          <cell r="BX45">
            <v>0.52620087336244536</v>
          </cell>
          <cell r="CJ45">
            <v>0.73362445414847166</v>
          </cell>
          <cell r="CK45">
            <v>0.32096069868995636</v>
          </cell>
        </row>
        <row r="46">
          <cell r="A46" t="str">
            <v>Blake Coleman</v>
          </cell>
          <cell r="B46" t="str">
            <v>CGY</v>
          </cell>
          <cell r="I46">
            <v>0.96506550218340614</v>
          </cell>
          <cell r="J46">
            <v>0.87991266375545851</v>
          </cell>
          <cell r="K46">
            <v>0.42358078602620086</v>
          </cell>
          <cell r="L46">
            <v>0.9126637554585153</v>
          </cell>
          <cell r="S46">
            <v>0.46724890829694321</v>
          </cell>
          <cell r="T46">
            <v>0.64410480349344978</v>
          </cell>
          <cell r="U46">
            <v>0.64192139737991272</v>
          </cell>
          <cell r="V46">
            <v>0.58951965065502188</v>
          </cell>
          <cell r="AC46">
            <v>0.96506550218340614</v>
          </cell>
          <cell r="AD46">
            <v>0.84497816593886466</v>
          </cell>
          <cell r="AE46">
            <v>0.73799126637554591</v>
          </cell>
          <cell r="AF46">
            <v>0.85371179039301315</v>
          </cell>
          <cell r="AM46">
            <v>0.80567685589519655</v>
          </cell>
          <cell r="AN46">
            <v>0.93231441048034935</v>
          </cell>
          <cell r="AO46">
            <v>0.27074235807860264</v>
          </cell>
          <cell r="AP46">
            <v>0.81659388646288211</v>
          </cell>
          <cell r="AW46">
            <v>0.74017467248908297</v>
          </cell>
          <cell r="AX46">
            <v>0.64410480349344978</v>
          </cell>
          <cell r="AY46">
            <v>0.82751091703056767</v>
          </cell>
          <cell r="AZ46">
            <v>0.67248908296943233</v>
          </cell>
          <cell r="BG46">
            <v>0.77729257641921401</v>
          </cell>
          <cell r="BH46">
            <v>0.52838427947598254</v>
          </cell>
          <cell r="BI46">
            <v>0.12663755458515283</v>
          </cell>
          <cell r="BJ46">
            <v>0.14628820960698691</v>
          </cell>
          <cell r="BQ46">
            <v>0.97379912663755464</v>
          </cell>
          <cell r="BR46">
            <v>0.93013100436681218</v>
          </cell>
          <cell r="BS46">
            <v>0.60698689956331875</v>
          </cell>
          <cell r="BT46">
            <v>0.95414847161572047</v>
          </cell>
          <cell r="BX46">
            <v>0.96288209606986896</v>
          </cell>
          <cell r="CJ46">
            <v>0.18995633187772926</v>
          </cell>
          <cell r="CK46">
            <v>0.64192139737991272</v>
          </cell>
        </row>
        <row r="47">
          <cell r="A47" t="str">
            <v>Blake Lizotte</v>
          </cell>
          <cell r="B47" t="str">
            <v>L.A</v>
          </cell>
          <cell r="I47">
            <v>0.73144104803493448</v>
          </cell>
          <cell r="J47">
            <v>0.79257641921397382</v>
          </cell>
          <cell r="K47">
            <v>0.67685589519650657</v>
          </cell>
          <cell r="L47">
            <v>0.61353711790393017</v>
          </cell>
          <cell r="S47">
            <v>0.50218340611353707</v>
          </cell>
          <cell r="T47">
            <v>0.72052401746724892</v>
          </cell>
          <cell r="U47">
            <v>0.88209606986899558</v>
          </cell>
          <cell r="V47">
            <v>0.63318777292576423</v>
          </cell>
          <cell r="AC47">
            <v>0.92139737991266379</v>
          </cell>
          <cell r="AD47">
            <v>0.86026200873362446</v>
          </cell>
          <cell r="AE47">
            <v>0.45851528384279477</v>
          </cell>
          <cell r="AF47">
            <v>0.82096069868995636</v>
          </cell>
          <cell r="AM47">
            <v>0.61572052401746724</v>
          </cell>
          <cell r="AN47">
            <v>0.75109170305676853</v>
          </cell>
          <cell r="AO47">
            <v>0.67685589519650657</v>
          </cell>
          <cell r="AP47">
            <v>0.56986899563318782</v>
          </cell>
          <cell r="AW47">
            <v>0.64410480349344978</v>
          </cell>
          <cell r="AX47">
            <v>0.68777292576419213</v>
          </cell>
          <cell r="AY47">
            <v>0.35589519650655022</v>
          </cell>
          <cell r="AZ47">
            <v>0.51091703056768556</v>
          </cell>
          <cell r="BG47">
            <v>0.33187772925764192</v>
          </cell>
          <cell r="BH47">
            <v>0.72489082969432317</v>
          </cell>
          <cell r="BI47">
            <v>0.5633187772925764</v>
          </cell>
          <cell r="BJ47">
            <v>0.2183406113537118</v>
          </cell>
          <cell r="BQ47">
            <v>0.89301310043668125</v>
          </cell>
          <cell r="BR47">
            <v>0.89301310043668125</v>
          </cell>
          <cell r="BS47">
            <v>0.611353711790393</v>
          </cell>
          <cell r="BT47">
            <v>0.76855895196506552</v>
          </cell>
          <cell r="BX47">
            <v>0.84716157205240172</v>
          </cell>
          <cell r="CJ47">
            <v>8.7336244541484712E-2</v>
          </cell>
          <cell r="CK47">
            <v>0.95851528384279472</v>
          </cell>
        </row>
        <row r="48">
          <cell r="A48" t="str">
            <v>Blake Wheeler</v>
          </cell>
          <cell r="B48" t="str">
            <v>WPG</v>
          </cell>
          <cell r="I48">
            <v>0.74017467248908297</v>
          </cell>
          <cell r="J48">
            <v>0.65502183406113534</v>
          </cell>
          <cell r="K48">
            <v>0.59170305676855894</v>
          </cell>
          <cell r="L48">
            <v>0.67030567685589515</v>
          </cell>
          <cell r="S48">
            <v>0.2205240174672489</v>
          </cell>
          <cell r="T48">
            <v>0.94104803493449785</v>
          </cell>
          <cell r="U48">
            <v>0.90829694323144106</v>
          </cell>
          <cell r="V48">
            <v>0.77510917030567683</v>
          </cell>
          <cell r="AC48">
            <v>0.50218340611353707</v>
          </cell>
          <cell r="AD48">
            <v>0.4606986899563319</v>
          </cell>
          <cell r="AE48">
            <v>0.69213973799126638</v>
          </cell>
          <cell r="AF48">
            <v>0.34934497816593885</v>
          </cell>
          <cell r="AM48">
            <v>0.64192139737991272</v>
          </cell>
          <cell r="AN48">
            <v>0.41048034934497818</v>
          </cell>
          <cell r="AO48">
            <v>0.66157205240174677</v>
          </cell>
          <cell r="AP48">
            <v>0.44759825327510916</v>
          </cell>
          <cell r="AW48">
            <v>0.31441048034934499</v>
          </cell>
          <cell r="AX48">
            <v>0.34279475982532753</v>
          </cell>
          <cell r="AY48">
            <v>0.53711790393013104</v>
          </cell>
          <cell r="AZ48">
            <v>0.22707423580786026</v>
          </cell>
          <cell r="BG48">
            <v>0.68995633187772931</v>
          </cell>
          <cell r="BH48">
            <v>0.89956331877729256</v>
          </cell>
          <cell r="BI48">
            <v>0.65938864628820959</v>
          </cell>
          <cell r="BJ48">
            <v>0.77947598253275108</v>
          </cell>
          <cell r="BQ48">
            <v>0.66812227074235808</v>
          </cell>
          <cell r="BR48">
            <v>0.57205240174672489</v>
          </cell>
          <cell r="BS48">
            <v>0.69650655021834063</v>
          </cell>
          <cell r="BT48">
            <v>0.53493449781659386</v>
          </cell>
          <cell r="BX48">
            <v>0.54148471615720528</v>
          </cell>
          <cell r="CJ48">
            <v>0.23799126637554585</v>
          </cell>
          <cell r="CK48">
            <v>0.27729257641921395</v>
          </cell>
        </row>
        <row r="49">
          <cell r="A49" t="str">
            <v>Bo Horvat</v>
          </cell>
          <cell r="B49" t="str">
            <v>NYI, VAN</v>
          </cell>
          <cell r="I49">
            <v>0.68558951965065507</v>
          </cell>
          <cell r="J49">
            <v>0.611353711790393</v>
          </cell>
          <cell r="K49">
            <v>0.64192139737991272</v>
          </cell>
          <cell r="L49">
            <v>0.59825327510917026</v>
          </cell>
          <cell r="S49">
            <v>0.81659388646288211</v>
          </cell>
          <cell r="T49">
            <v>0.56113537117903933</v>
          </cell>
          <cell r="U49">
            <v>0.67903930131004364</v>
          </cell>
          <cell r="V49">
            <v>0.73580786026200873</v>
          </cell>
          <cell r="AC49">
            <v>0.4126637554585153</v>
          </cell>
          <cell r="AD49">
            <v>0.37991266375545851</v>
          </cell>
          <cell r="AE49">
            <v>0.30131004366812225</v>
          </cell>
          <cell r="AF49">
            <v>0.24017467248908297</v>
          </cell>
          <cell r="AM49">
            <v>0.85152838427947597</v>
          </cell>
          <cell r="AN49">
            <v>0.62882096069868998</v>
          </cell>
          <cell r="AO49">
            <v>0.5633187772925764</v>
          </cell>
          <cell r="AP49">
            <v>0.71179039301310043</v>
          </cell>
          <cell r="AW49">
            <v>0.45633187772925765</v>
          </cell>
          <cell r="AX49">
            <v>0.54803493449781659</v>
          </cell>
          <cell r="AY49">
            <v>0.37117903930131002</v>
          </cell>
          <cell r="AZ49">
            <v>0.28820960698689957</v>
          </cell>
          <cell r="BG49">
            <v>0.93013100436681218</v>
          </cell>
          <cell r="BH49">
            <v>0.44759825327510916</v>
          </cell>
          <cell r="BI49">
            <v>0.60480349344978168</v>
          </cell>
          <cell r="BJ49">
            <v>0.42794759825327511</v>
          </cell>
          <cell r="BQ49">
            <v>0.5873362445414847</v>
          </cell>
          <cell r="BR49">
            <v>0.48253275109170307</v>
          </cell>
          <cell r="BS49">
            <v>0.45633187772925765</v>
          </cell>
          <cell r="BT49">
            <v>0.40611353711790393</v>
          </cell>
          <cell r="BX49">
            <v>0.64410480349344978</v>
          </cell>
          <cell r="CJ49">
            <v>0.76855895196506552</v>
          </cell>
          <cell r="CK49">
            <v>0.48471615720524019</v>
          </cell>
        </row>
        <row r="50">
          <cell r="A50" t="str">
            <v>Boone Jenner</v>
          </cell>
          <cell r="B50" t="str">
            <v>CBJ</v>
          </cell>
          <cell r="I50">
            <v>0.60917030567685593</v>
          </cell>
          <cell r="J50">
            <v>0.34716157205240172</v>
          </cell>
          <cell r="K50">
            <v>0.43231441048034935</v>
          </cell>
          <cell r="L50">
            <v>0.58296943231441045</v>
          </cell>
          <cell r="S50">
            <v>0.72707423580786024</v>
          </cell>
          <cell r="T50">
            <v>0.1943231441048035</v>
          </cell>
          <cell r="U50">
            <v>0.29475982532751094</v>
          </cell>
          <cell r="V50">
            <v>0.39956331877729256</v>
          </cell>
          <cell r="AC50">
            <v>0.10480349344978165</v>
          </cell>
          <cell r="AD50">
            <v>0.33406113537117904</v>
          </cell>
          <cell r="AE50">
            <v>5.2401746724890827E-2</v>
          </cell>
          <cell r="AF50">
            <v>0.17248908296943233</v>
          </cell>
          <cell r="AM50">
            <v>0.89301310043668125</v>
          </cell>
          <cell r="AN50">
            <v>0.72925764192139741</v>
          </cell>
          <cell r="AO50">
            <v>0.62008733624454149</v>
          </cell>
          <cell r="AP50">
            <v>0.83842794759825323</v>
          </cell>
          <cell r="AW50">
            <v>0.71834061135371174</v>
          </cell>
          <cell r="AX50">
            <v>0.70305676855895194</v>
          </cell>
          <cell r="AY50">
            <v>0.56986899563318782</v>
          </cell>
          <cell r="AZ50">
            <v>0.63100436681222705</v>
          </cell>
          <cell r="BG50">
            <v>0.98034934497816595</v>
          </cell>
          <cell r="BH50">
            <v>0.33624454148471616</v>
          </cell>
          <cell r="BI50">
            <v>0.38646288209606988</v>
          </cell>
          <cell r="BJ50">
            <v>0.11790393013100436</v>
          </cell>
          <cell r="BQ50">
            <v>0.32532751091703055</v>
          </cell>
          <cell r="BR50">
            <v>0.29039301310043669</v>
          </cell>
          <cell r="BS50">
            <v>0.16812227074235808</v>
          </cell>
          <cell r="BT50">
            <v>0.35589519650655022</v>
          </cell>
          <cell r="BX50">
            <v>0.53493449781659386</v>
          </cell>
          <cell r="CJ50">
            <v>0.25982532751091703</v>
          </cell>
          <cell r="CK50">
            <v>0.72270742358078599</v>
          </cell>
        </row>
        <row r="51">
          <cell r="A51" t="str">
            <v>Boris Katchouk</v>
          </cell>
          <cell r="B51" t="str">
            <v>CHI</v>
          </cell>
          <cell r="I51">
            <v>0.23144104803493451</v>
          </cell>
          <cell r="J51">
            <v>0.18340611353711792</v>
          </cell>
          <cell r="K51">
            <v>0.15502183406113537</v>
          </cell>
          <cell r="L51">
            <v>0.1222707423580786</v>
          </cell>
          <cell r="S51">
            <v>0.26419213973799127</v>
          </cell>
          <cell r="T51">
            <v>0.4606986899563319</v>
          </cell>
          <cell r="U51">
            <v>0.55458515283842791</v>
          </cell>
          <cell r="V51">
            <v>0.32096069868995636</v>
          </cell>
          <cell r="AC51">
            <v>0.41921397379912662</v>
          </cell>
          <cell r="AD51">
            <v>0.31659388646288211</v>
          </cell>
          <cell r="AE51">
            <v>0.29039301310043669</v>
          </cell>
          <cell r="AF51">
            <v>0.36244541484716158</v>
          </cell>
          <cell r="AM51">
            <v>0.63537117903930129</v>
          </cell>
          <cell r="AN51">
            <v>0.61572052401746724</v>
          </cell>
          <cell r="AO51">
            <v>0.46724890829694321</v>
          </cell>
          <cell r="AP51">
            <v>0.45196506550218341</v>
          </cell>
          <cell r="AW51">
            <v>0.86244541484716153</v>
          </cell>
          <cell r="AX51">
            <v>0.66157205240174677</v>
          </cell>
          <cell r="AY51">
            <v>0.59170305676855894</v>
          </cell>
          <cell r="AZ51">
            <v>0.77947598253275108</v>
          </cell>
          <cell r="BG51">
            <v>0.20087336244541484</v>
          </cell>
          <cell r="BH51">
            <v>0.15502183406113537</v>
          </cell>
          <cell r="BI51">
            <v>0.21179039301310043</v>
          </cell>
          <cell r="BJ51">
            <v>0.18122270742358079</v>
          </cell>
          <cell r="BQ51">
            <v>0.28820960698689957</v>
          </cell>
          <cell r="BR51">
            <v>0.1965065502183406</v>
          </cell>
          <cell r="BS51">
            <v>0.10480349344978165</v>
          </cell>
          <cell r="BT51">
            <v>0.16593886462882096</v>
          </cell>
          <cell r="BX51">
            <v>0.33406113537117904</v>
          </cell>
          <cell r="CJ51">
            <v>0.36899563318777295</v>
          </cell>
          <cell r="CK51">
            <v>0.59170305676855894</v>
          </cell>
        </row>
        <row r="52">
          <cell r="A52" t="str">
            <v>Brad Marchand</v>
          </cell>
          <cell r="B52" t="str">
            <v>BOS</v>
          </cell>
          <cell r="I52">
            <v>0.94759825327510916</v>
          </cell>
          <cell r="J52">
            <v>0.92794759825327511</v>
          </cell>
          <cell r="K52">
            <v>0.78602620087336239</v>
          </cell>
          <cell r="L52">
            <v>0.92794759825327511</v>
          </cell>
          <cell r="S52">
            <v>0.46724890829694321</v>
          </cell>
          <cell r="T52">
            <v>0.87991266375545851</v>
          </cell>
          <cell r="U52">
            <v>0.94541484716157209</v>
          </cell>
          <cell r="V52">
            <v>0.79694323144104806</v>
          </cell>
          <cell r="AC52">
            <v>0.73799126637554591</v>
          </cell>
          <cell r="AD52">
            <v>0.65938864628820959</v>
          </cell>
          <cell r="AE52">
            <v>0.99126637554585151</v>
          </cell>
          <cell r="AF52">
            <v>0.82096069868995636</v>
          </cell>
          <cell r="AM52">
            <v>0.98471615720524019</v>
          </cell>
          <cell r="AN52">
            <v>0.9759825327510917</v>
          </cell>
          <cell r="AO52">
            <v>0.51965065502183405</v>
          </cell>
          <cell r="AP52">
            <v>0.97816593886462877</v>
          </cell>
          <cell r="AW52">
            <v>0.67248908296943233</v>
          </cell>
          <cell r="AX52">
            <v>0.50436681222707425</v>
          </cell>
          <cell r="AY52">
            <v>0.81004366812227069</v>
          </cell>
          <cell r="AZ52">
            <v>0.68995633187772931</v>
          </cell>
          <cell r="BG52">
            <v>0.6026200873362445</v>
          </cell>
          <cell r="BH52">
            <v>0.70960698689956336</v>
          </cell>
          <cell r="BI52">
            <v>0.44104803493449779</v>
          </cell>
          <cell r="BJ52">
            <v>0.93886462882096067</v>
          </cell>
          <cell r="BQ52">
            <v>0.94323144104803491</v>
          </cell>
          <cell r="BR52">
            <v>0.92139737991266379</v>
          </cell>
          <cell r="BS52">
            <v>0.99344978165938869</v>
          </cell>
          <cell r="BT52">
            <v>0.9606986899563319</v>
          </cell>
          <cell r="BX52">
            <v>0.97161572052401746</v>
          </cell>
          <cell r="CJ52">
            <v>7.8602620087336247E-2</v>
          </cell>
          <cell r="CK52">
            <v>0.98689956331877726</v>
          </cell>
        </row>
        <row r="53">
          <cell r="A53" t="str">
            <v>Brady Tkachuk</v>
          </cell>
          <cell r="B53" t="str">
            <v>OTT</v>
          </cell>
          <cell r="I53">
            <v>0.97379912663755464</v>
          </cell>
          <cell r="J53">
            <v>0.95196506550218341</v>
          </cell>
          <cell r="K53">
            <v>0.86899563318777295</v>
          </cell>
          <cell r="L53">
            <v>0.98908296943231444</v>
          </cell>
          <cell r="S53">
            <v>0.84716157205240172</v>
          </cell>
          <cell r="T53">
            <v>0.85589519650655022</v>
          </cell>
          <cell r="U53">
            <v>0.81441048034934493</v>
          </cell>
          <cell r="V53">
            <v>0.91921397379912662</v>
          </cell>
          <cell r="AC53">
            <v>0.48253275109170307</v>
          </cell>
          <cell r="AD53">
            <v>0.4366812227074236</v>
          </cell>
          <cell r="AE53">
            <v>0.1091703056768559</v>
          </cell>
          <cell r="AF53">
            <v>0.36244541484716158</v>
          </cell>
          <cell r="AM53">
            <v>0.98908296943231444</v>
          </cell>
          <cell r="AN53">
            <v>0.99781659388646293</v>
          </cell>
          <cell r="AO53">
            <v>0.94541484716157209</v>
          </cell>
          <cell r="AP53">
            <v>0.99781659388646293</v>
          </cell>
          <cell r="AW53">
            <v>0.41484716157205243</v>
          </cell>
          <cell r="AX53">
            <v>0.37336244541484714</v>
          </cell>
          <cell r="AY53">
            <v>8.5152838427947602E-2</v>
          </cell>
          <cell r="AZ53">
            <v>0.2816593886462882</v>
          </cell>
          <cell r="BG53">
            <v>0.78820960698689957</v>
          </cell>
          <cell r="BH53">
            <v>0.86899563318777295</v>
          </cell>
          <cell r="BI53">
            <v>0.63100436681222705</v>
          </cell>
          <cell r="BJ53">
            <v>0.20524017467248909</v>
          </cell>
          <cell r="BQ53">
            <v>0.92794759825327511</v>
          </cell>
          <cell r="BR53">
            <v>0.888646288209607</v>
          </cell>
          <cell r="BS53">
            <v>0.48253275109170307</v>
          </cell>
          <cell r="BT53">
            <v>0.90611353711790388</v>
          </cell>
          <cell r="BX53">
            <v>0.95633187772925765</v>
          </cell>
          <cell r="CJ53">
            <v>9.3886462882096067E-2</v>
          </cell>
          <cell r="CK53">
            <v>0.90829694323144106</v>
          </cell>
        </row>
        <row r="54">
          <cell r="A54" t="str">
            <v>Brandon Duhaime</v>
          </cell>
          <cell r="B54" t="str">
            <v>MIN</v>
          </cell>
          <cell r="I54">
            <v>0.388646288209607</v>
          </cell>
          <cell r="J54">
            <v>0.43886462882096072</v>
          </cell>
          <cell r="K54">
            <v>0.31877729257641924</v>
          </cell>
          <cell r="L54">
            <v>0.51528384279475981</v>
          </cell>
          <cell r="S54">
            <v>0.80349344978165937</v>
          </cell>
          <cell r="T54">
            <v>1.7467248908296942E-2</v>
          </cell>
          <cell r="U54">
            <v>4.3668122270742356E-2</v>
          </cell>
          <cell r="V54">
            <v>0.14410480349344978</v>
          </cell>
          <cell r="AC54">
            <v>0.57860262008733621</v>
          </cell>
          <cell r="AD54">
            <v>0.74890829694323147</v>
          </cell>
          <cell r="AE54">
            <v>0.9759825327510917</v>
          </cell>
          <cell r="AF54">
            <v>0.65502183406113534</v>
          </cell>
          <cell r="AM54">
            <v>0.31877729257641924</v>
          </cell>
          <cell r="AN54">
            <v>0.67030567685589515</v>
          </cell>
          <cell r="AO54">
            <v>0.62008733624454149</v>
          </cell>
          <cell r="AP54">
            <v>0.72707423580786024</v>
          </cell>
          <cell r="AW54">
            <v>0.50655021834061131</v>
          </cell>
          <cell r="AX54">
            <v>0.44541484716157204</v>
          </cell>
          <cell r="AY54">
            <v>0.95414847161572047</v>
          </cell>
          <cell r="AZ54">
            <v>0.4366812227074236</v>
          </cell>
          <cell r="BG54">
            <v>0.1091703056768559</v>
          </cell>
          <cell r="BH54">
            <v>0.25327510917030566</v>
          </cell>
          <cell r="BI54">
            <v>0.34279475982532753</v>
          </cell>
          <cell r="BJ54">
            <v>0.87117903930131002</v>
          </cell>
          <cell r="BQ54">
            <v>0.46506550218340609</v>
          </cell>
          <cell r="BR54">
            <v>0.55240174672489084</v>
          </cell>
          <cell r="BS54">
            <v>0.88209606986899558</v>
          </cell>
          <cell r="BT54">
            <v>0.61572052401746724</v>
          </cell>
          <cell r="BX54">
            <v>0.49563318777292575</v>
          </cell>
          <cell r="CJ54">
            <v>8.9519650655021835E-2</v>
          </cell>
          <cell r="CK54">
            <v>0.99126637554585151</v>
          </cell>
        </row>
        <row r="55">
          <cell r="A55" t="str">
            <v>Brandon Hagel</v>
          </cell>
          <cell r="B55" t="str">
            <v>T.B</v>
          </cell>
          <cell r="I55">
            <v>0.84716157205240172</v>
          </cell>
          <cell r="J55">
            <v>0.94978165938864634</v>
          </cell>
          <cell r="K55">
            <v>0.83842794759825323</v>
          </cell>
          <cell r="L55">
            <v>0.88646288209606983</v>
          </cell>
          <cell r="S55">
            <v>0.77510917030567683</v>
          </cell>
          <cell r="T55">
            <v>0.68122270742358082</v>
          </cell>
          <cell r="U55">
            <v>0.49563318777292575</v>
          </cell>
          <cell r="V55">
            <v>0.78384279475982532</v>
          </cell>
          <cell r="AC55">
            <v>0.5393013100436681</v>
          </cell>
          <cell r="AD55">
            <v>0.37336244541484714</v>
          </cell>
          <cell r="AE55">
            <v>0.56768558951965065</v>
          </cell>
          <cell r="AF55">
            <v>0.34934497816593885</v>
          </cell>
          <cell r="AM55">
            <v>0.87554585152838427</v>
          </cell>
          <cell r="AN55">
            <v>0.88427947598253276</v>
          </cell>
          <cell r="AO55">
            <v>0.81441048034934493</v>
          </cell>
          <cell r="AP55">
            <v>0.87991266375545851</v>
          </cell>
          <cell r="AW55">
            <v>0.41484716157205243</v>
          </cell>
          <cell r="AX55">
            <v>0.20524017467248909</v>
          </cell>
          <cell r="AY55">
            <v>0.51310043668122274</v>
          </cell>
          <cell r="AZ55">
            <v>0.26637554585152839</v>
          </cell>
          <cell r="BG55">
            <v>0.83187772925764192</v>
          </cell>
          <cell r="BH55">
            <v>0.80567685589519655</v>
          </cell>
          <cell r="BI55">
            <v>0.70742358078602618</v>
          </cell>
          <cell r="BJ55">
            <v>0.74672489082969429</v>
          </cell>
          <cell r="BQ55">
            <v>0.79694323144104806</v>
          </cell>
          <cell r="BR55">
            <v>0.87554585152838427</v>
          </cell>
          <cell r="BS55">
            <v>0.80131004366812231</v>
          </cell>
          <cell r="BT55">
            <v>0.79694323144104806</v>
          </cell>
          <cell r="BX55">
            <v>0.84279475982532748</v>
          </cell>
          <cell r="CJ55">
            <v>0.28820960698689957</v>
          </cell>
          <cell r="CK55">
            <v>0.71179039301310043</v>
          </cell>
        </row>
        <row r="56">
          <cell r="A56" t="str">
            <v>Brandon Saad</v>
          </cell>
          <cell r="B56" t="str">
            <v>STL</v>
          </cell>
          <cell r="I56">
            <v>0.42358078602620086</v>
          </cell>
          <cell r="J56">
            <v>0.33187772925764192</v>
          </cell>
          <cell r="K56">
            <v>0.56550218340611358</v>
          </cell>
          <cell r="L56">
            <v>0.388646288209607</v>
          </cell>
          <cell r="S56">
            <v>0.63318777292576423</v>
          </cell>
          <cell r="T56">
            <v>0.4759825327510917</v>
          </cell>
          <cell r="U56">
            <v>0.69650655021834063</v>
          </cell>
          <cell r="V56">
            <v>0.54366812227074235</v>
          </cell>
          <cell r="AC56">
            <v>0.17685589519650655</v>
          </cell>
          <cell r="AD56">
            <v>0.27292576419213976</v>
          </cell>
          <cell r="AE56">
            <v>0.2205240174672489</v>
          </cell>
          <cell r="AF56">
            <v>0.17903930131004367</v>
          </cell>
          <cell r="AM56">
            <v>0.84061135371179041</v>
          </cell>
          <cell r="AN56">
            <v>0.74454148471615722</v>
          </cell>
          <cell r="AO56">
            <v>0.39519650655021832</v>
          </cell>
          <cell r="AP56">
            <v>0.76419213973799127</v>
          </cell>
          <cell r="AW56">
            <v>0.2205240174672489</v>
          </cell>
          <cell r="AX56">
            <v>0.32751091703056767</v>
          </cell>
          <cell r="AY56">
            <v>0.12008733624454149</v>
          </cell>
          <cell r="AZ56">
            <v>0.34061135371179041</v>
          </cell>
          <cell r="BG56">
            <v>0.70960698689956336</v>
          </cell>
          <cell r="BH56">
            <v>0.20524017467248909</v>
          </cell>
          <cell r="BI56">
            <v>0.63973799126637554</v>
          </cell>
          <cell r="BJ56">
            <v>0.44323144104803491</v>
          </cell>
          <cell r="BQ56">
            <v>0.28602620087336245</v>
          </cell>
          <cell r="BR56">
            <v>0.27074235807860264</v>
          </cell>
          <cell r="BS56">
            <v>0.36681222707423583</v>
          </cell>
          <cell r="BT56">
            <v>0.27510917030567683</v>
          </cell>
          <cell r="BX56">
            <v>0.43231441048034935</v>
          </cell>
          <cell r="CJ56">
            <v>0.83842794759825323</v>
          </cell>
          <cell r="CK56">
            <v>0.17903930131004367</v>
          </cell>
        </row>
        <row r="57">
          <cell r="A57" t="str">
            <v>Brandon Tanev</v>
          </cell>
          <cell r="B57" t="str">
            <v>SEA</v>
          </cell>
          <cell r="I57">
            <v>0.39519650655021832</v>
          </cell>
          <cell r="J57">
            <v>0.37554585152838427</v>
          </cell>
          <cell r="K57">
            <v>0.54803493449781659</v>
          </cell>
          <cell r="L57">
            <v>0.39956331877729256</v>
          </cell>
          <cell r="S57">
            <v>0.46724890829694321</v>
          </cell>
          <cell r="T57">
            <v>0.60917030567685593</v>
          </cell>
          <cell r="U57">
            <v>0.64192139737991272</v>
          </cell>
          <cell r="V57">
            <v>0.5633187772925764</v>
          </cell>
          <cell r="AC57">
            <v>0.95633187772925765</v>
          </cell>
          <cell r="AD57">
            <v>0.97379912663755464</v>
          </cell>
          <cell r="AE57">
            <v>0.87554585152838427</v>
          </cell>
          <cell r="AF57">
            <v>0.95196506550218341</v>
          </cell>
          <cell r="AM57">
            <v>0.20305676855895197</v>
          </cell>
          <cell r="AN57">
            <v>0.60698689956331875</v>
          </cell>
          <cell r="AO57">
            <v>0.22707423580786026</v>
          </cell>
          <cell r="AP57">
            <v>0.42139737991266374</v>
          </cell>
          <cell r="AW57">
            <v>0.77729257641921401</v>
          </cell>
          <cell r="AX57">
            <v>0.93886462882096067</v>
          </cell>
          <cell r="AY57">
            <v>0.86462882096069871</v>
          </cell>
          <cell r="AZ57">
            <v>0.84279475982532748</v>
          </cell>
          <cell r="BG57">
            <v>0.31877729257641924</v>
          </cell>
          <cell r="BH57">
            <v>0.77947598253275108</v>
          </cell>
          <cell r="BI57">
            <v>0.77292576419213976</v>
          </cell>
          <cell r="BJ57">
            <v>0.80349344978165937</v>
          </cell>
          <cell r="BQ57">
            <v>0.75764192139737996</v>
          </cell>
          <cell r="BR57">
            <v>0.75764192139737996</v>
          </cell>
          <cell r="BS57">
            <v>0.84716157205240172</v>
          </cell>
          <cell r="BT57">
            <v>0.75982532751091703</v>
          </cell>
          <cell r="BX57">
            <v>0.68558951965065507</v>
          </cell>
          <cell r="CJ57">
            <v>0.35371179039301309</v>
          </cell>
          <cell r="CK57">
            <v>0.79912663755458513</v>
          </cell>
        </row>
        <row r="58">
          <cell r="A58" t="str">
            <v>Brayden Point</v>
          </cell>
          <cell r="B58" t="str">
            <v>T.B</v>
          </cell>
          <cell r="I58">
            <v>0.888646288209607</v>
          </cell>
          <cell r="J58">
            <v>0.99563318777292575</v>
          </cell>
          <cell r="K58">
            <v>0.95633187772925765</v>
          </cell>
          <cell r="L58">
            <v>0.95633187772925765</v>
          </cell>
          <cell r="S58">
            <v>0.98034934497816595</v>
          </cell>
          <cell r="T58">
            <v>0.90174672489082974</v>
          </cell>
          <cell r="U58">
            <v>0.79912663755458513</v>
          </cell>
          <cell r="V58">
            <v>0.98253275109170302</v>
          </cell>
          <cell r="AC58">
            <v>0.38646288209606988</v>
          </cell>
          <cell r="AD58">
            <v>0.31004366812227074</v>
          </cell>
          <cell r="AE58">
            <v>0.23362445414847161</v>
          </cell>
          <cell r="AF58">
            <v>0.26200873362445415</v>
          </cell>
          <cell r="AM58">
            <v>0.94104803493449785</v>
          </cell>
          <cell r="AN58">
            <v>0.98689956331877726</v>
          </cell>
          <cell r="AO58">
            <v>0.97379912663755464</v>
          </cell>
          <cell r="AP58">
            <v>0.98689956331877726</v>
          </cell>
          <cell r="AW58">
            <v>0.25327510917030566</v>
          </cell>
          <cell r="AX58">
            <v>0.15065502183406113</v>
          </cell>
          <cell r="AY58">
            <v>7.6419213973799124E-2</v>
          </cell>
          <cell r="AZ58">
            <v>0.19213973799126638</v>
          </cell>
          <cell r="BG58">
            <v>0.9366812227074236</v>
          </cell>
          <cell r="BH58">
            <v>0.87554585152838427</v>
          </cell>
          <cell r="BI58">
            <v>0.86681222707423577</v>
          </cell>
          <cell r="BJ58">
            <v>0.74672489082969429</v>
          </cell>
          <cell r="BQ58">
            <v>0.78384279475982532</v>
          </cell>
          <cell r="BR58">
            <v>0.90829694323144106</v>
          </cell>
          <cell r="BS58">
            <v>0.74890829694323147</v>
          </cell>
          <cell r="BT58">
            <v>0.85371179039301315</v>
          </cell>
          <cell r="BX58">
            <v>0.91703056768558955</v>
          </cell>
          <cell r="CJ58">
            <v>0.99344978165938869</v>
          </cell>
          <cell r="CK58">
            <v>0.34497816593886466</v>
          </cell>
        </row>
        <row r="59">
          <cell r="A59" t="str">
            <v>Brayden Schenn</v>
          </cell>
          <cell r="B59" t="str">
            <v>STL</v>
          </cell>
          <cell r="I59">
            <v>0.2423580786026201</v>
          </cell>
          <cell r="J59">
            <v>0.19868995633187772</v>
          </cell>
          <cell r="K59">
            <v>0.57860262008733621</v>
          </cell>
          <cell r="L59">
            <v>0.21179039301310043</v>
          </cell>
          <cell r="S59">
            <v>0.42358078602620086</v>
          </cell>
          <cell r="T59">
            <v>0.90611353711790388</v>
          </cell>
          <cell r="U59">
            <v>0.83406113537117899</v>
          </cell>
          <cell r="V59">
            <v>0.82314410480349343</v>
          </cell>
          <cell r="AC59">
            <v>9.3886462882096067E-2</v>
          </cell>
          <cell r="AD59">
            <v>7.8602620087336247E-2</v>
          </cell>
          <cell r="AE59">
            <v>0.22270742358078602</v>
          </cell>
          <cell r="AF59">
            <v>9.3886462882096067E-2</v>
          </cell>
          <cell r="AM59">
            <v>0.53493449781659386</v>
          </cell>
          <cell r="AN59">
            <v>0.48253275109170307</v>
          </cell>
          <cell r="AO59">
            <v>0.51310043668122274</v>
          </cell>
          <cell r="AP59">
            <v>0.39737991266375544</v>
          </cell>
          <cell r="AW59">
            <v>7.2052401746724892E-2</v>
          </cell>
          <cell r="AX59">
            <v>4.148471615720524E-2</v>
          </cell>
          <cell r="AY59">
            <v>0.27292576419213976</v>
          </cell>
          <cell r="AZ59">
            <v>0.13100436681222707</v>
          </cell>
          <cell r="BG59">
            <v>0.89301310043668125</v>
          </cell>
          <cell r="BH59">
            <v>0.2816593886462882</v>
          </cell>
          <cell r="BI59">
            <v>0.76637554585152834</v>
          </cell>
          <cell r="BJ59">
            <v>0.61790393013100442</v>
          </cell>
          <cell r="BQ59">
            <v>0.1222707423580786</v>
          </cell>
          <cell r="BR59">
            <v>8.9519650655021835E-2</v>
          </cell>
          <cell r="BS59">
            <v>0.38209606986899564</v>
          </cell>
          <cell r="BT59">
            <v>8.7336244541484712E-2</v>
          </cell>
          <cell r="BX59">
            <v>0.16812227074235808</v>
          </cell>
          <cell r="CJ59">
            <v>0.41484716157205243</v>
          </cell>
          <cell r="CK59">
            <v>0.42358078602620086</v>
          </cell>
        </row>
        <row r="60">
          <cell r="A60" t="str">
            <v>Brendan Gallagher</v>
          </cell>
          <cell r="B60" t="str">
            <v>MTL</v>
          </cell>
          <cell r="I60">
            <v>0.31004366812227074</v>
          </cell>
          <cell r="J60">
            <v>0.36026200873362446</v>
          </cell>
          <cell r="K60">
            <v>0.51965065502183405</v>
          </cell>
          <cell r="L60">
            <v>0.29694323144104806</v>
          </cell>
          <cell r="S60">
            <v>0.84279475982532748</v>
          </cell>
          <cell r="T60">
            <v>0.14410480349344978</v>
          </cell>
          <cell r="U60">
            <v>0.49563318777292575</v>
          </cell>
          <cell r="V60">
            <v>0.51310043668122274</v>
          </cell>
          <cell r="AC60">
            <v>0.81441048034934493</v>
          </cell>
          <cell r="AD60">
            <v>0.42576419213973798</v>
          </cell>
          <cell r="AE60">
            <v>0.38209606986899564</v>
          </cell>
          <cell r="AF60">
            <v>0.71834061135371174</v>
          </cell>
          <cell r="AM60">
            <v>0.49126637554585151</v>
          </cell>
          <cell r="AN60">
            <v>0.77510917030567683</v>
          </cell>
          <cell r="AO60">
            <v>0.61572052401746724</v>
          </cell>
          <cell r="AP60">
            <v>0.5</v>
          </cell>
          <cell r="AW60">
            <v>0.91921397379912662</v>
          </cell>
          <cell r="AX60">
            <v>0.79039301310043664</v>
          </cell>
          <cell r="AY60">
            <v>0.92139737991266379</v>
          </cell>
          <cell r="AZ60">
            <v>0.98253275109170302</v>
          </cell>
          <cell r="BG60">
            <v>0.44759825327510916</v>
          </cell>
          <cell r="BH60">
            <v>0.37554585152838427</v>
          </cell>
          <cell r="BI60">
            <v>0.63537117903930129</v>
          </cell>
          <cell r="BJ60">
            <v>0.27510917030567683</v>
          </cell>
          <cell r="BQ60">
            <v>0.53493449781659386</v>
          </cell>
          <cell r="BR60">
            <v>0.35807860262008734</v>
          </cell>
          <cell r="BS60">
            <v>0.44323144104803491</v>
          </cell>
          <cell r="BT60">
            <v>0.46506550218340609</v>
          </cell>
          <cell r="BX60">
            <v>0.67030567685589515</v>
          </cell>
          <cell r="CJ60">
            <v>7.6419213973799124E-2</v>
          </cell>
          <cell r="CK60">
            <v>0.8973799126637555</v>
          </cell>
        </row>
        <row r="61">
          <cell r="A61" t="str">
            <v>Brendan Lemieux</v>
          </cell>
          <cell r="B61" t="str">
            <v>L.A, PHI</v>
          </cell>
          <cell r="I61">
            <v>0.43449781659388648</v>
          </cell>
          <cell r="J61">
            <v>0.33842794759825329</v>
          </cell>
          <cell r="K61">
            <v>0.25109170305676853</v>
          </cell>
          <cell r="L61">
            <v>0.26637554585152839</v>
          </cell>
          <cell r="S61">
            <v>6.3318777292576414E-2</v>
          </cell>
          <cell r="T61">
            <v>0.53056768558951961</v>
          </cell>
          <cell r="U61">
            <v>0.67903930131004364</v>
          </cell>
          <cell r="V61">
            <v>0.20524017467248909</v>
          </cell>
          <cell r="AC61">
            <v>0.92576419213973804</v>
          </cell>
          <cell r="AD61">
            <v>0.91484716157205237</v>
          </cell>
          <cell r="AE61">
            <v>0.37772925764192139</v>
          </cell>
          <cell r="AF61">
            <v>0.82751091703056767</v>
          </cell>
          <cell r="AM61">
            <v>0.28602620087336245</v>
          </cell>
          <cell r="AN61">
            <v>0.17467248908296942</v>
          </cell>
          <cell r="AO61">
            <v>0.16812227074235808</v>
          </cell>
          <cell r="AP61">
            <v>0.14192139737991266</v>
          </cell>
          <cell r="AW61">
            <v>0.80567685589519655</v>
          </cell>
          <cell r="AX61">
            <v>0.64192139737991272</v>
          </cell>
          <cell r="AY61">
            <v>0.62008733624454149</v>
          </cell>
          <cell r="AZ61">
            <v>0.41921397379912662</v>
          </cell>
          <cell r="BG61">
            <v>0.12663755458515283</v>
          </cell>
          <cell r="BH61">
            <v>0.86462882096069871</v>
          </cell>
          <cell r="BI61">
            <v>0.19868995633187772</v>
          </cell>
          <cell r="BJ61">
            <v>0.10698689956331878</v>
          </cell>
          <cell r="BQ61">
            <v>0.72270742358078599</v>
          </cell>
          <cell r="BR61">
            <v>0.6266375545851528</v>
          </cell>
          <cell r="BS61">
            <v>0.21615720524017468</v>
          </cell>
          <cell r="BT61">
            <v>0.49563318777292575</v>
          </cell>
          <cell r="BX61">
            <v>0.43886462882096072</v>
          </cell>
          <cell r="CJ61">
            <v>6.5502183406113534E-3</v>
          </cell>
          <cell r="CK61">
            <v>0.8973799126637555</v>
          </cell>
        </row>
        <row r="62">
          <cell r="A62" t="str">
            <v>Brett Howden</v>
          </cell>
          <cell r="B62" t="str">
            <v>VGK</v>
          </cell>
          <cell r="I62">
            <v>4.148471615720524E-2</v>
          </cell>
          <cell r="J62">
            <v>0.38209606986899564</v>
          </cell>
          <cell r="K62">
            <v>0.2423580786026201</v>
          </cell>
          <cell r="L62">
            <v>0.1943231441048035</v>
          </cell>
          <cell r="S62">
            <v>0.23144104803493451</v>
          </cell>
          <cell r="T62">
            <v>0.20524017467248909</v>
          </cell>
          <cell r="U62">
            <v>0.25545851528384278</v>
          </cell>
          <cell r="V62">
            <v>0.14410480349344978</v>
          </cell>
          <cell r="AC62">
            <v>0.31441048034934499</v>
          </cell>
          <cell r="AD62">
            <v>0.63755458515283847</v>
          </cell>
          <cell r="AE62">
            <v>0.94104803493449785</v>
          </cell>
          <cell r="AF62">
            <v>0.54585152838427953</v>
          </cell>
          <cell r="AM62">
            <v>1.5283842794759825E-2</v>
          </cell>
          <cell r="AN62">
            <v>0.16812227074235808</v>
          </cell>
          <cell r="AO62">
            <v>5.0218340611353711E-2</v>
          </cell>
          <cell r="AP62">
            <v>6.768558951965066E-2</v>
          </cell>
          <cell r="AW62">
            <v>0.41921397379912662</v>
          </cell>
          <cell r="AX62">
            <v>0.52838427947598254</v>
          </cell>
          <cell r="AY62">
            <v>0.79912663755458513</v>
          </cell>
          <cell r="AZ62">
            <v>0.51965065502183405</v>
          </cell>
          <cell r="BG62">
            <v>0.47816593886462883</v>
          </cell>
          <cell r="BH62">
            <v>0.24890829694323144</v>
          </cell>
          <cell r="BI62">
            <v>0.49344978165938863</v>
          </cell>
          <cell r="BJ62">
            <v>0.89301310043668125</v>
          </cell>
          <cell r="BQ62">
            <v>8.5152838427947602E-2</v>
          </cell>
          <cell r="BR62">
            <v>0.46724890829694321</v>
          </cell>
          <cell r="BS62">
            <v>0.73799126637554591</v>
          </cell>
          <cell r="BT62">
            <v>0.28384279475982532</v>
          </cell>
          <cell r="BX62">
            <v>6.5502183406113537E-2</v>
          </cell>
          <cell r="CJ62">
            <v>4.148471615720524E-2</v>
          </cell>
          <cell r="CK62">
            <v>0.84497816593886466</v>
          </cell>
        </row>
        <row r="63">
          <cell r="A63" t="str">
            <v>Brett Leason</v>
          </cell>
          <cell r="B63" t="str">
            <v>ANA</v>
          </cell>
          <cell r="I63">
            <v>3.7117903930131008E-2</v>
          </cell>
          <cell r="J63">
            <v>6.3318777292576414E-2</v>
          </cell>
          <cell r="K63">
            <v>3.2751091703056769E-2</v>
          </cell>
          <cell r="L63">
            <v>5.458515283842795E-2</v>
          </cell>
          <cell r="S63">
            <v>0.42358078602620086</v>
          </cell>
          <cell r="T63">
            <v>4.5851528384279479E-2</v>
          </cell>
          <cell r="U63">
            <v>9.606986899563319E-2</v>
          </cell>
          <cell r="V63">
            <v>7.4235807860262015E-2</v>
          </cell>
          <cell r="AC63">
            <v>4.3668122270742356E-3</v>
          </cell>
          <cell r="AD63">
            <v>1.3100436681222707E-2</v>
          </cell>
          <cell r="AE63">
            <v>3.0567685589519649E-2</v>
          </cell>
          <cell r="AF63">
            <v>8.7336244541484712E-3</v>
          </cell>
          <cell r="AM63">
            <v>0.17903930131004367</v>
          </cell>
          <cell r="AN63">
            <v>0.29039301310043669</v>
          </cell>
          <cell r="AO63">
            <v>8.7336244541484712E-2</v>
          </cell>
          <cell r="AP63">
            <v>0.24454148471615719</v>
          </cell>
          <cell r="AW63">
            <v>6.9868995633187769E-2</v>
          </cell>
          <cell r="AX63">
            <v>0.20087336244541484</v>
          </cell>
          <cell r="AY63">
            <v>0.42794759825327511</v>
          </cell>
          <cell r="AZ63">
            <v>0.14192139737991266</v>
          </cell>
          <cell r="BG63">
            <v>0.24454148471615719</v>
          </cell>
          <cell r="BH63">
            <v>0.20087336244541484</v>
          </cell>
          <cell r="BI63">
            <v>7.8602620087336247E-2</v>
          </cell>
          <cell r="BJ63">
            <v>8.9519650655021835E-2</v>
          </cell>
          <cell r="BQ63">
            <v>4.3668122270742356E-3</v>
          </cell>
          <cell r="BR63">
            <v>1.3100436681222707E-2</v>
          </cell>
          <cell r="BS63">
            <v>1.5283842794759825E-2</v>
          </cell>
          <cell r="BT63">
            <v>6.5502183406113534E-3</v>
          </cell>
          <cell r="BX63">
            <v>1.3100436681222707E-2</v>
          </cell>
          <cell r="CJ63">
            <v>0.50218340611353707</v>
          </cell>
          <cell r="CK63">
            <v>0.48471615720524019</v>
          </cell>
        </row>
        <row r="64">
          <cell r="A64" t="str">
            <v>Brett Ritchie</v>
          </cell>
          <cell r="B64" t="str">
            <v>ARI, CGY</v>
          </cell>
          <cell r="I64">
            <v>0.65502183406113534</v>
          </cell>
          <cell r="J64">
            <v>0.35371179039301309</v>
          </cell>
          <cell r="K64">
            <v>0.32532751091703055</v>
          </cell>
          <cell r="L64">
            <v>0.37336244541484714</v>
          </cell>
          <cell r="S64">
            <v>0.80786026200873362</v>
          </cell>
          <cell r="T64">
            <v>0.10480349344978165</v>
          </cell>
          <cell r="U64">
            <v>4.3668122270742356E-2</v>
          </cell>
          <cell r="V64">
            <v>0.39082969432314413</v>
          </cell>
          <cell r="AC64">
            <v>0.89301310043668125</v>
          </cell>
          <cell r="AD64">
            <v>0.96724890829694321</v>
          </cell>
          <cell r="AE64">
            <v>0.78384279475982532</v>
          </cell>
          <cell r="AF64">
            <v>0.83842794759825323</v>
          </cell>
          <cell r="AM64">
            <v>0.26637554585152839</v>
          </cell>
          <cell r="AN64">
            <v>0.26200873362445415</v>
          </cell>
          <cell r="AO64">
            <v>0.28820960698689957</v>
          </cell>
          <cell r="AP64">
            <v>0.17903930131004367</v>
          </cell>
          <cell r="AW64">
            <v>0.69432314410480345</v>
          </cell>
          <cell r="AX64">
            <v>0.93013100436681218</v>
          </cell>
          <cell r="AY64">
            <v>0.88209606986899558</v>
          </cell>
          <cell r="AZ64">
            <v>0.67248908296943233</v>
          </cell>
          <cell r="BG64">
            <v>0.1222707423580786</v>
          </cell>
          <cell r="BH64">
            <v>0.63755458515283847</v>
          </cell>
          <cell r="BI64">
            <v>0.24890829694323144</v>
          </cell>
          <cell r="BJ64">
            <v>0.35807860262008734</v>
          </cell>
          <cell r="BQ64">
            <v>0.82969432314410485</v>
          </cell>
          <cell r="BR64">
            <v>0.74454148471615722</v>
          </cell>
          <cell r="BS64">
            <v>0.56986899563318782</v>
          </cell>
          <cell r="BT64">
            <v>0.63537117903930129</v>
          </cell>
          <cell r="BX64">
            <v>0.59170305676855894</v>
          </cell>
          <cell r="CJ64">
            <v>0.16593886462882096</v>
          </cell>
          <cell r="CK64">
            <v>0.84497816593886466</v>
          </cell>
        </row>
        <row r="65">
          <cell r="A65" t="str">
            <v>Brock Boeser</v>
          </cell>
          <cell r="B65" t="str">
            <v>VAN</v>
          </cell>
          <cell r="I65">
            <v>0.4366812227074236</v>
          </cell>
          <cell r="J65">
            <v>0.23362445414847161</v>
          </cell>
          <cell r="K65">
            <v>0.84497816593886466</v>
          </cell>
          <cell r="L65">
            <v>0.26637554585152839</v>
          </cell>
          <cell r="S65">
            <v>0.388646288209607</v>
          </cell>
          <cell r="T65">
            <v>0.90174672489082974</v>
          </cell>
          <cell r="U65">
            <v>0.78165938864628826</v>
          </cell>
          <cell r="V65">
            <v>0.80786026200873362</v>
          </cell>
          <cell r="AC65">
            <v>0.28820960698689957</v>
          </cell>
          <cell r="AD65">
            <v>0.1331877729257642</v>
          </cell>
          <cell r="AE65">
            <v>6.5502183406113534E-3</v>
          </cell>
          <cell r="AF65">
            <v>0.12663755458515283</v>
          </cell>
          <cell r="AM65">
            <v>0.74890829694323147</v>
          </cell>
          <cell r="AN65">
            <v>0.27292576419213976</v>
          </cell>
          <cell r="AO65">
            <v>0.86462882096069871</v>
          </cell>
          <cell r="AP65">
            <v>0.42139737991266374</v>
          </cell>
          <cell r="AW65">
            <v>0.15938864628820962</v>
          </cell>
          <cell r="AX65">
            <v>0.16375545851528384</v>
          </cell>
          <cell r="AY65">
            <v>4.3668122270742356E-3</v>
          </cell>
          <cell r="AZ65">
            <v>6.1135371179039298E-2</v>
          </cell>
          <cell r="BG65">
            <v>0.79257641921397382</v>
          </cell>
          <cell r="BH65">
            <v>0.48034934497816595</v>
          </cell>
          <cell r="BI65">
            <v>0.89082969432314407</v>
          </cell>
          <cell r="BJ65">
            <v>0.15938864628820962</v>
          </cell>
          <cell r="BQ65">
            <v>0.34934497816593885</v>
          </cell>
          <cell r="BR65">
            <v>0.16375545851528384</v>
          </cell>
          <cell r="BS65">
            <v>0.26637554585152839</v>
          </cell>
          <cell r="BT65">
            <v>0.14410480349344978</v>
          </cell>
          <cell r="BX65">
            <v>0.28820960698689957</v>
          </cell>
          <cell r="CJ65">
            <v>0.75327510917030571</v>
          </cell>
          <cell r="CK65">
            <v>0.10043668122270742</v>
          </cell>
        </row>
        <row r="66">
          <cell r="A66" t="str">
            <v>Brock McGinn</v>
          </cell>
          <cell r="B66" t="str">
            <v>ANA, PIT</v>
          </cell>
          <cell r="I66">
            <v>0.20742358078602621</v>
          </cell>
          <cell r="J66">
            <v>0.1331877729257642</v>
          </cell>
          <cell r="K66">
            <v>0.14410480349344978</v>
          </cell>
          <cell r="L66">
            <v>0.15283842794759825</v>
          </cell>
          <cell r="S66">
            <v>0.53493449781659386</v>
          </cell>
          <cell r="T66">
            <v>5.8951965065502182E-2</v>
          </cell>
          <cell r="U66">
            <v>6.3318777292576414E-2</v>
          </cell>
          <cell r="V66">
            <v>0.12445414847161572</v>
          </cell>
          <cell r="AC66">
            <v>0.32314410480349343</v>
          </cell>
          <cell r="AD66">
            <v>0.3930131004366812</v>
          </cell>
          <cell r="AE66">
            <v>0.24672489082969432</v>
          </cell>
          <cell r="AF66">
            <v>0.39082969432314413</v>
          </cell>
          <cell r="AM66">
            <v>6.1135371179039298E-2</v>
          </cell>
          <cell r="AN66">
            <v>3.2751091703056769E-2</v>
          </cell>
          <cell r="AO66">
            <v>0.14192139737991266</v>
          </cell>
          <cell r="AP66">
            <v>3.9301310043668124E-2</v>
          </cell>
          <cell r="AW66">
            <v>0.70524017467248912</v>
          </cell>
          <cell r="AX66">
            <v>0.69432314410480345</v>
          </cell>
          <cell r="AY66">
            <v>0.30131004366812225</v>
          </cell>
          <cell r="AZ66">
            <v>0.67903930131004364</v>
          </cell>
          <cell r="BG66">
            <v>0.21179039301310043</v>
          </cell>
          <cell r="BH66">
            <v>3.9301310043668124E-2</v>
          </cell>
          <cell r="BI66">
            <v>0.14410480349344978</v>
          </cell>
          <cell r="BJ66">
            <v>0.10043668122270742</v>
          </cell>
          <cell r="BQ66">
            <v>0.21179039301310043</v>
          </cell>
          <cell r="BR66">
            <v>0.18558951965065501</v>
          </cell>
          <cell r="BS66">
            <v>8.5152838427947602E-2</v>
          </cell>
          <cell r="BT66">
            <v>0.1965065502183406</v>
          </cell>
          <cell r="BX66">
            <v>0.10043668122270742</v>
          </cell>
          <cell r="CJ66">
            <v>0.68995633187772931</v>
          </cell>
          <cell r="CK66">
            <v>0.78165938864628826</v>
          </cell>
        </row>
        <row r="67">
          <cell r="A67" t="str">
            <v>Brock Nelson</v>
          </cell>
          <cell r="B67" t="str">
            <v>NYI</v>
          </cell>
          <cell r="I67">
            <v>0.72925764192139741</v>
          </cell>
          <cell r="J67">
            <v>0.87554585152838427</v>
          </cell>
          <cell r="K67">
            <v>0.97161572052401746</v>
          </cell>
          <cell r="L67">
            <v>0.79475982532751088</v>
          </cell>
          <cell r="S67">
            <v>0.94541484716157209</v>
          </cell>
          <cell r="T67">
            <v>0.79912663755458513</v>
          </cell>
          <cell r="U67">
            <v>0.72925764192139741</v>
          </cell>
          <cell r="V67">
            <v>0.94541484716157209</v>
          </cell>
          <cell r="AC67">
            <v>9.606986899563319E-2</v>
          </cell>
          <cell r="AD67">
            <v>0.14192139737991266</v>
          </cell>
          <cell r="AE67">
            <v>0.59170305676855894</v>
          </cell>
          <cell r="AF67">
            <v>0.1222707423580786</v>
          </cell>
          <cell r="AM67">
            <v>0.77292576419213976</v>
          </cell>
          <cell r="AN67">
            <v>0.91048034934497812</v>
          </cell>
          <cell r="AO67">
            <v>0.98034934497816595</v>
          </cell>
          <cell r="AP67">
            <v>0.81222707423580787</v>
          </cell>
          <cell r="AW67">
            <v>3.7117903930131008E-2</v>
          </cell>
          <cell r="AX67">
            <v>0.17903930131004367</v>
          </cell>
          <cell r="AY67">
            <v>0.25327510917030566</v>
          </cell>
          <cell r="AZ67">
            <v>7.2052401746724892E-2</v>
          </cell>
          <cell r="BG67">
            <v>0.84497816593886466</v>
          </cell>
          <cell r="BH67">
            <v>0.89082969432314407</v>
          </cell>
          <cell r="BI67">
            <v>0.95414847161572047</v>
          </cell>
          <cell r="BJ67">
            <v>0.96943231441048039</v>
          </cell>
          <cell r="BQ67">
            <v>0.40393013100436681</v>
          </cell>
          <cell r="BR67">
            <v>0.62445414847161573</v>
          </cell>
          <cell r="BS67">
            <v>0.91048034934497812</v>
          </cell>
          <cell r="BT67">
            <v>0.44323144104803491</v>
          </cell>
          <cell r="BX67">
            <v>0.5633187772925764</v>
          </cell>
          <cell r="CJ67">
            <v>0.63100436681222705</v>
          </cell>
          <cell r="CK67">
            <v>0.57205240174672489</v>
          </cell>
        </row>
        <row r="68">
          <cell r="A68" t="str">
            <v>Bryan Rust</v>
          </cell>
          <cell r="B68" t="str">
            <v>PIT</v>
          </cell>
          <cell r="I68">
            <v>0.92358078602620086</v>
          </cell>
          <cell r="J68">
            <v>0.8973799126637555</v>
          </cell>
          <cell r="K68">
            <v>0.67685589519650657</v>
          </cell>
          <cell r="L68">
            <v>0.91484716157205237</v>
          </cell>
          <cell r="S68">
            <v>0.64847161572052403</v>
          </cell>
          <cell r="T68">
            <v>0.34716157205240172</v>
          </cell>
          <cell r="U68">
            <v>0.27947598253275108</v>
          </cell>
          <cell r="V68">
            <v>0.46943231441048033</v>
          </cell>
          <cell r="AC68">
            <v>0.39737991266375544</v>
          </cell>
          <cell r="AD68">
            <v>0.44978165938864628</v>
          </cell>
          <cell r="AE68">
            <v>0.62008733624454149</v>
          </cell>
          <cell r="AF68">
            <v>0.37554585152838427</v>
          </cell>
          <cell r="AM68">
            <v>0.8253275109170306</v>
          </cell>
          <cell r="AN68">
            <v>0.76855895196506552</v>
          </cell>
          <cell r="AO68">
            <v>0.70960698689956336</v>
          </cell>
          <cell r="AP68">
            <v>0.79257641921397382</v>
          </cell>
          <cell r="AW68">
            <v>0.48689956331877732</v>
          </cell>
          <cell r="AX68">
            <v>0.58078602620087338</v>
          </cell>
          <cell r="AY68">
            <v>0.75545851528384278</v>
          </cell>
          <cell r="AZ68">
            <v>0.35807860262008734</v>
          </cell>
          <cell r="BG68">
            <v>0.75545851528384278</v>
          </cell>
          <cell r="BH68">
            <v>0.97816593886462877</v>
          </cell>
          <cell r="BI68">
            <v>0.33406113537117904</v>
          </cell>
          <cell r="BJ68">
            <v>0.54803493449781659</v>
          </cell>
          <cell r="BQ68">
            <v>0.8253275109170306</v>
          </cell>
          <cell r="BR68">
            <v>0.82751091703056767</v>
          </cell>
          <cell r="BS68">
            <v>0.72052401746724892</v>
          </cell>
          <cell r="BT68">
            <v>0.83624454148471616</v>
          </cell>
          <cell r="BX68">
            <v>0.72925764192139741</v>
          </cell>
          <cell r="CJ68">
            <v>0.6026200873362445</v>
          </cell>
          <cell r="CK68">
            <v>0.48471615720524019</v>
          </cell>
        </row>
        <row r="69">
          <cell r="A69" t="str">
            <v>Cal Clutterbuck</v>
          </cell>
          <cell r="B69" t="str">
            <v>NYI</v>
          </cell>
          <cell r="I69">
            <v>0.39737991266375544</v>
          </cell>
          <cell r="J69">
            <v>0.11353711790393013</v>
          </cell>
          <cell r="K69">
            <v>0.29475982532751094</v>
          </cell>
          <cell r="L69">
            <v>0.21179039301310043</v>
          </cell>
          <cell r="S69">
            <v>0.388646288209607</v>
          </cell>
          <cell r="T69">
            <v>0.1703056768558952</v>
          </cell>
          <cell r="U69">
            <v>0.12445414847161572</v>
          </cell>
          <cell r="V69">
            <v>0.18558951965065501</v>
          </cell>
          <cell r="AC69">
            <v>0.82751091703056767</v>
          </cell>
          <cell r="AD69">
            <v>0.17248908296943233</v>
          </cell>
          <cell r="AE69">
            <v>0.97816593886462877</v>
          </cell>
          <cell r="AF69">
            <v>0.40174672489082969</v>
          </cell>
          <cell r="AM69">
            <v>0.40611353711790393</v>
          </cell>
          <cell r="AN69">
            <v>0.10262008733624454</v>
          </cell>
          <cell r="AO69">
            <v>0.21615720524017468</v>
          </cell>
          <cell r="AP69">
            <v>0.13537117903930132</v>
          </cell>
          <cell r="AW69">
            <v>0.96943231441048039</v>
          </cell>
          <cell r="AX69">
            <v>0.35152838427947597</v>
          </cell>
          <cell r="AY69">
            <v>0.96288209606986896</v>
          </cell>
          <cell r="AZ69">
            <v>0.75327510917030571</v>
          </cell>
          <cell r="BG69">
            <v>0.17467248908296942</v>
          </cell>
          <cell r="BH69">
            <v>4.3668122270742356E-2</v>
          </cell>
          <cell r="BI69">
            <v>0.38427947598253276</v>
          </cell>
          <cell r="BJ69">
            <v>0.86026200873362446</v>
          </cell>
          <cell r="BQ69">
            <v>0.611353711790393</v>
          </cell>
          <cell r="BR69">
            <v>9.1703056768558958E-2</v>
          </cell>
          <cell r="BS69">
            <v>0.88209606986899558</v>
          </cell>
          <cell r="BT69">
            <v>0.22925764192139739</v>
          </cell>
          <cell r="BX69">
            <v>0.37991266375545851</v>
          </cell>
          <cell r="CJ69">
            <v>0.26419213973799127</v>
          </cell>
          <cell r="CK69">
            <v>6.1135371179039298E-2</v>
          </cell>
        </row>
        <row r="70">
          <cell r="A70" t="str">
            <v>Calle Jarnkrok</v>
          </cell>
          <cell r="B70" t="str">
            <v>TOR</v>
          </cell>
          <cell r="I70">
            <v>0.54585152838427953</v>
          </cell>
          <cell r="J70">
            <v>0.69213973799126638</v>
          </cell>
          <cell r="K70">
            <v>0.74235807860262004</v>
          </cell>
          <cell r="L70">
            <v>0.67030567685589515</v>
          </cell>
          <cell r="S70">
            <v>0.91048034934497812</v>
          </cell>
          <cell r="T70">
            <v>0.54148471615720528</v>
          </cell>
          <cell r="U70">
            <v>0.34934497816593885</v>
          </cell>
          <cell r="V70">
            <v>0.8253275109170306</v>
          </cell>
          <cell r="AC70">
            <v>0.56768558951965065</v>
          </cell>
          <cell r="AD70">
            <v>0.51310043668122274</v>
          </cell>
          <cell r="AE70">
            <v>0.60698689956331875</v>
          </cell>
          <cell r="AF70">
            <v>0.52838427947598254</v>
          </cell>
          <cell r="AM70">
            <v>0.43231441048034935</v>
          </cell>
          <cell r="AN70">
            <v>0.34279475982532753</v>
          </cell>
          <cell r="AO70">
            <v>0.66157205240174677</v>
          </cell>
          <cell r="AP70">
            <v>0.43231441048034935</v>
          </cell>
          <cell r="AW70">
            <v>0.32096069868995636</v>
          </cell>
          <cell r="AX70">
            <v>0.49126637554585151</v>
          </cell>
          <cell r="AY70">
            <v>0.37991266375545851</v>
          </cell>
          <cell r="AZ70">
            <v>0.39082969432314413</v>
          </cell>
          <cell r="BG70">
            <v>0.3056768558951965</v>
          </cell>
          <cell r="BH70">
            <v>0.39082969432314413</v>
          </cell>
          <cell r="BI70">
            <v>0.81659388646288211</v>
          </cell>
          <cell r="BJ70">
            <v>0.74672489082969429</v>
          </cell>
          <cell r="BQ70">
            <v>0.54585152838427953</v>
          </cell>
          <cell r="BR70">
            <v>0.61790393013100442</v>
          </cell>
          <cell r="BS70">
            <v>0.75982532751091703</v>
          </cell>
          <cell r="BT70">
            <v>0.64410480349344978</v>
          </cell>
          <cell r="BX70">
            <v>0.6026200873362445</v>
          </cell>
          <cell r="CJ70">
            <v>0.70960698689956336</v>
          </cell>
          <cell r="CK70">
            <v>0.30349344978165937</v>
          </cell>
        </row>
        <row r="71">
          <cell r="A71" t="str">
            <v>Carl Grundstrom</v>
          </cell>
          <cell r="B71" t="str">
            <v>L.A</v>
          </cell>
          <cell r="I71">
            <v>0.76419213973799127</v>
          </cell>
          <cell r="J71">
            <v>0.81004366812227069</v>
          </cell>
          <cell r="K71">
            <v>0.56550218340611358</v>
          </cell>
          <cell r="L71">
            <v>0.58296943231441045</v>
          </cell>
          <cell r="S71">
            <v>0.89519650655021832</v>
          </cell>
          <cell r="T71">
            <v>0.30786026200873362</v>
          </cell>
          <cell r="U71">
            <v>0.48034934497816595</v>
          </cell>
          <cell r="V71">
            <v>0.6746724890829694</v>
          </cell>
          <cell r="AC71">
            <v>0.73799126637554591</v>
          </cell>
          <cell r="AD71">
            <v>0.80131004366812231</v>
          </cell>
          <cell r="AE71">
            <v>0.30349344978165937</v>
          </cell>
          <cell r="AF71">
            <v>0.89519650655021832</v>
          </cell>
          <cell r="AM71">
            <v>0.55458515283842791</v>
          </cell>
          <cell r="AN71">
            <v>0.70742358078602618</v>
          </cell>
          <cell r="AO71">
            <v>0.5633187772925764</v>
          </cell>
          <cell r="AP71">
            <v>0.45196506550218341</v>
          </cell>
          <cell r="AW71">
            <v>0.27510917030567683</v>
          </cell>
          <cell r="AX71">
            <v>0.52183406113537123</v>
          </cell>
          <cell r="AY71">
            <v>9.3886462882096067E-2</v>
          </cell>
          <cell r="AZ71">
            <v>0.51091703056768556</v>
          </cell>
          <cell r="BG71">
            <v>0.14847161572052403</v>
          </cell>
          <cell r="BH71">
            <v>0.87117903930131002</v>
          </cell>
          <cell r="BI71">
            <v>0.50436681222707425</v>
          </cell>
          <cell r="BJ71">
            <v>0.2183406113537118</v>
          </cell>
          <cell r="BQ71">
            <v>0.81004366812227069</v>
          </cell>
          <cell r="BR71">
            <v>0.88427947598253276</v>
          </cell>
          <cell r="BS71">
            <v>0.40829694323144106</v>
          </cell>
          <cell r="BT71">
            <v>0.80567685589519655</v>
          </cell>
          <cell r="BX71">
            <v>0.73362445414847166</v>
          </cell>
          <cell r="CJ71">
            <v>0.58078602620087338</v>
          </cell>
          <cell r="CK71">
            <v>0.19213973799126638</v>
          </cell>
        </row>
        <row r="72">
          <cell r="A72" t="str">
            <v>Carter Verhaeghe</v>
          </cell>
          <cell r="B72" t="str">
            <v>FLA</v>
          </cell>
          <cell r="I72">
            <v>0.97816593886462877</v>
          </cell>
          <cell r="J72">
            <v>0.98034934497816595</v>
          </cell>
          <cell r="K72">
            <v>0.94323144104803491</v>
          </cell>
          <cell r="L72">
            <v>0.99781659388646293</v>
          </cell>
          <cell r="S72">
            <v>0.98689956331877726</v>
          </cell>
          <cell r="T72">
            <v>0.77074235807860259</v>
          </cell>
          <cell r="U72">
            <v>0.53711790393013104</v>
          </cell>
          <cell r="V72">
            <v>0.9606986899563319</v>
          </cell>
          <cell r="AC72">
            <v>0.27074235807860264</v>
          </cell>
          <cell r="AD72">
            <v>0.12663755458515283</v>
          </cell>
          <cell r="AE72">
            <v>0.72489082969432317</v>
          </cell>
          <cell r="AF72">
            <v>0.18777292576419213</v>
          </cell>
          <cell r="AM72">
            <v>0.90393013100436681</v>
          </cell>
          <cell r="AN72">
            <v>0.89956331877729256</v>
          </cell>
          <cell r="AO72">
            <v>0.8493449781659389</v>
          </cell>
          <cell r="AP72">
            <v>0.97816593886462877</v>
          </cell>
          <cell r="AW72">
            <v>0.25109170305676853</v>
          </cell>
          <cell r="AX72">
            <v>0.14410480349344978</v>
          </cell>
          <cell r="AY72">
            <v>0.79257641921397382</v>
          </cell>
          <cell r="AZ72">
            <v>0.15283842794759825</v>
          </cell>
          <cell r="BG72">
            <v>0.90393013100436681</v>
          </cell>
          <cell r="BH72">
            <v>0.61353711790393017</v>
          </cell>
          <cell r="BI72">
            <v>0.64628820960698685</v>
          </cell>
          <cell r="BJ72">
            <v>0.83406113537117899</v>
          </cell>
          <cell r="BQ72">
            <v>0.87117903930131002</v>
          </cell>
          <cell r="BR72">
            <v>0.77510917030567683</v>
          </cell>
          <cell r="BS72">
            <v>0.93013100436681218</v>
          </cell>
          <cell r="BT72">
            <v>0.90174672489082974</v>
          </cell>
          <cell r="BX72">
            <v>0.88427947598253276</v>
          </cell>
          <cell r="CJ72">
            <v>0.25109170305676853</v>
          </cell>
          <cell r="CK72">
            <v>0.76200873362445409</v>
          </cell>
        </row>
        <row r="73">
          <cell r="A73" t="str">
            <v>Casey Cizikas</v>
          </cell>
          <cell r="B73" t="str">
            <v>NYI</v>
          </cell>
          <cell r="I73">
            <v>0.34497816593886466</v>
          </cell>
          <cell r="J73">
            <v>0.24672489082969432</v>
          </cell>
          <cell r="K73">
            <v>0.13973799126637554</v>
          </cell>
          <cell r="L73">
            <v>0.17685589519650655</v>
          </cell>
          <cell r="S73">
            <v>7.8602620087336247E-2</v>
          </cell>
          <cell r="T73">
            <v>0.24890829694323144</v>
          </cell>
          <cell r="U73">
            <v>0.34279475982532753</v>
          </cell>
          <cell r="V73">
            <v>9.1703056768558958E-2</v>
          </cell>
          <cell r="AC73">
            <v>0.67030567685589515</v>
          </cell>
          <cell r="AD73">
            <v>0.35807860262008734</v>
          </cell>
          <cell r="AE73">
            <v>0.80786026200873362</v>
          </cell>
          <cell r="AF73">
            <v>0.44104803493449779</v>
          </cell>
          <cell r="AM73">
            <v>0.25109170305676853</v>
          </cell>
          <cell r="AN73">
            <v>7.6419213973799124E-2</v>
          </cell>
          <cell r="AO73">
            <v>6.9868995633187769E-2</v>
          </cell>
          <cell r="AP73">
            <v>8.9519650655021835E-2</v>
          </cell>
          <cell r="AW73">
            <v>0.91048034934497812</v>
          </cell>
          <cell r="AX73">
            <v>0.55458515283842791</v>
          </cell>
          <cell r="AY73">
            <v>0.63318777292576423</v>
          </cell>
          <cell r="AZ73">
            <v>0.61790393013100442</v>
          </cell>
          <cell r="BG73">
            <v>0.45633187772925765</v>
          </cell>
          <cell r="BH73">
            <v>3.4934497816593885E-2</v>
          </cell>
          <cell r="BI73">
            <v>0.11790393013100436</v>
          </cell>
          <cell r="BJ73">
            <v>0.35807860262008734</v>
          </cell>
          <cell r="BQ73">
            <v>0.47816593886462883</v>
          </cell>
          <cell r="BR73">
            <v>0.2423580786026201</v>
          </cell>
          <cell r="BS73">
            <v>0.33187772925764192</v>
          </cell>
          <cell r="BT73">
            <v>0.22270742358078602</v>
          </cell>
          <cell r="BX73">
            <v>0.20742358078602621</v>
          </cell>
          <cell r="CJ73">
            <v>0.1943231441048035</v>
          </cell>
          <cell r="CK73">
            <v>0.66375545851528384</v>
          </cell>
        </row>
        <row r="74">
          <cell r="A74" t="str">
            <v>Casey Mittelstadt</v>
          </cell>
          <cell r="B74" t="str">
            <v>BUF</v>
          </cell>
          <cell r="I74">
            <v>0.59388646288209612</v>
          </cell>
          <cell r="J74">
            <v>0.26419213973799127</v>
          </cell>
          <cell r="K74">
            <v>0.81441048034934493</v>
          </cell>
          <cell r="L74">
            <v>0.44323144104803491</v>
          </cell>
          <cell r="S74">
            <v>0.30786026200873362</v>
          </cell>
          <cell r="T74">
            <v>0.97379912663755464</v>
          </cell>
          <cell r="U74">
            <v>0.98908296943231444</v>
          </cell>
          <cell r="V74">
            <v>0.86244541484716153</v>
          </cell>
          <cell r="AC74">
            <v>0.46943231441048033</v>
          </cell>
          <cell r="AD74">
            <v>0.25109170305676853</v>
          </cell>
          <cell r="AE74">
            <v>0.16812227074235808</v>
          </cell>
          <cell r="AF74">
            <v>0.31441048034934499</v>
          </cell>
          <cell r="AM74">
            <v>0.49563318777292575</v>
          </cell>
          <cell r="AN74">
            <v>0.16593886462882096</v>
          </cell>
          <cell r="AO74">
            <v>0.63973799126637554</v>
          </cell>
          <cell r="AP74">
            <v>0.31004366812227074</v>
          </cell>
          <cell r="AW74">
            <v>0.51310043668122274</v>
          </cell>
          <cell r="AX74">
            <v>0.5873362445414847</v>
          </cell>
          <cell r="AY74">
            <v>0.42794759825327511</v>
          </cell>
          <cell r="AZ74">
            <v>0.55240174672489084</v>
          </cell>
          <cell r="BG74">
            <v>0.59170305676855894</v>
          </cell>
          <cell r="BH74">
            <v>0.51091703056768556</v>
          </cell>
          <cell r="BI74">
            <v>0.79257641921397382</v>
          </cell>
          <cell r="BJ74">
            <v>0.52183406113537123</v>
          </cell>
          <cell r="BQ74">
            <v>0.55021834061135366</v>
          </cell>
          <cell r="BR74">
            <v>0.21397379912663755</v>
          </cell>
          <cell r="BS74">
            <v>0.48471615720524019</v>
          </cell>
          <cell r="BT74">
            <v>0.36026200873362446</v>
          </cell>
          <cell r="BX74">
            <v>0.49126637554585151</v>
          </cell>
          <cell r="CJ74">
            <v>0.92358078602620086</v>
          </cell>
          <cell r="CK74">
            <v>0.45851528384279477</v>
          </cell>
        </row>
        <row r="75">
          <cell r="A75" t="str">
            <v>Chandler Stephenson</v>
          </cell>
          <cell r="B75" t="str">
            <v>VGK</v>
          </cell>
          <cell r="I75">
            <v>0.57205240174672489</v>
          </cell>
          <cell r="J75">
            <v>0.63755458515283847</v>
          </cell>
          <cell r="K75">
            <v>0.8253275109170306</v>
          </cell>
          <cell r="L75">
            <v>0.61353711790393017</v>
          </cell>
          <cell r="S75">
            <v>0.1222707423580786</v>
          </cell>
          <cell r="T75">
            <v>0.99563318777292575</v>
          </cell>
          <cell r="U75">
            <v>0.9759825327510917</v>
          </cell>
          <cell r="V75">
            <v>0.88427947598253276</v>
          </cell>
          <cell r="AC75">
            <v>0.31659388646288211</v>
          </cell>
          <cell r="AD75">
            <v>0.73144104803493448</v>
          </cell>
          <cell r="AE75">
            <v>0.61353711790393017</v>
          </cell>
          <cell r="AF75">
            <v>0.60917030567685593</v>
          </cell>
          <cell r="AM75">
            <v>0.64410480349344978</v>
          </cell>
          <cell r="AN75">
            <v>0.58078602620087338</v>
          </cell>
          <cell r="AO75">
            <v>0.79257641921397382</v>
          </cell>
          <cell r="AP75">
            <v>0.58951965065502188</v>
          </cell>
          <cell r="AW75">
            <v>0.31659388646288211</v>
          </cell>
          <cell r="AX75">
            <v>0.45633187772925765</v>
          </cell>
          <cell r="AY75">
            <v>0.46724890829694321</v>
          </cell>
          <cell r="AZ75">
            <v>0.48034934497816595</v>
          </cell>
          <cell r="BG75">
            <v>0.87554585152838427</v>
          </cell>
          <cell r="BH75">
            <v>0.49781659388646288</v>
          </cell>
          <cell r="BI75">
            <v>0.82096069868995636</v>
          </cell>
          <cell r="BJ75">
            <v>0.8493449781659389</v>
          </cell>
          <cell r="BQ75">
            <v>0.4606986899563319</v>
          </cell>
          <cell r="BR75">
            <v>0.71615720524017468</v>
          </cell>
          <cell r="BS75">
            <v>0.82314410480349343</v>
          </cell>
          <cell r="BT75">
            <v>0.64192139737991272</v>
          </cell>
          <cell r="BX75">
            <v>0.57423580786026196</v>
          </cell>
          <cell r="CJ75">
            <v>0.86899563318777295</v>
          </cell>
          <cell r="CK75">
            <v>0.5</v>
          </cell>
        </row>
        <row r="76">
          <cell r="A76" t="str">
            <v>Charlie Coyle</v>
          </cell>
          <cell r="B76" t="str">
            <v>BOS</v>
          </cell>
          <cell r="I76">
            <v>0.53711790393013104</v>
          </cell>
          <cell r="J76">
            <v>0.68995633187772931</v>
          </cell>
          <cell r="K76">
            <v>0.69868995633187769</v>
          </cell>
          <cell r="L76">
            <v>0.55458515283842791</v>
          </cell>
          <cell r="S76">
            <v>0.70960698689956336</v>
          </cell>
          <cell r="T76">
            <v>0.6266375545851528</v>
          </cell>
          <cell r="U76">
            <v>0.52183406113537123</v>
          </cell>
          <cell r="V76">
            <v>0.68122270742358082</v>
          </cell>
          <cell r="AC76">
            <v>0.37554585152838427</v>
          </cell>
          <cell r="AD76">
            <v>0.54803493449781659</v>
          </cell>
          <cell r="AE76">
            <v>0.9126637554585153</v>
          </cell>
          <cell r="AF76">
            <v>0.51310043668122274</v>
          </cell>
          <cell r="AM76">
            <v>0.32532751091703055</v>
          </cell>
          <cell r="AN76">
            <v>0.52620087336244536</v>
          </cell>
          <cell r="AO76">
            <v>0.37991266375545851</v>
          </cell>
          <cell r="AP76">
            <v>0.37772925764192139</v>
          </cell>
          <cell r="AW76">
            <v>0.14847161572052403</v>
          </cell>
          <cell r="AX76">
            <v>0.26200873362445415</v>
          </cell>
          <cell r="AY76">
            <v>0.48034934497816595</v>
          </cell>
          <cell r="AZ76">
            <v>0.21179039301310043</v>
          </cell>
          <cell r="BG76">
            <v>0.68777292576419213</v>
          </cell>
          <cell r="BH76">
            <v>8.7336244541484712E-2</v>
          </cell>
          <cell r="BI76">
            <v>0.72707423580786024</v>
          </cell>
          <cell r="BJ76">
            <v>0.93013100436681218</v>
          </cell>
          <cell r="BQ76">
            <v>0.44541484716157204</v>
          </cell>
          <cell r="BR76">
            <v>0.63755458515283847</v>
          </cell>
          <cell r="BS76">
            <v>0.91921397379912662</v>
          </cell>
          <cell r="BT76">
            <v>0.56113537117903933</v>
          </cell>
          <cell r="BX76">
            <v>0.43013100436681223</v>
          </cell>
          <cell r="CJ76">
            <v>0.50218340611353707</v>
          </cell>
          <cell r="CK76">
            <v>0.70305676855895194</v>
          </cell>
        </row>
        <row r="77">
          <cell r="A77" t="str">
            <v>Chris Kreider</v>
          </cell>
          <cell r="B77" t="str">
            <v>NYR</v>
          </cell>
          <cell r="I77">
            <v>0.68122270742358082</v>
          </cell>
          <cell r="J77">
            <v>0.71615720524017468</v>
          </cell>
          <cell r="K77">
            <v>0.70524017467248912</v>
          </cell>
          <cell r="L77">
            <v>0.69868995633187769</v>
          </cell>
          <cell r="S77">
            <v>0.87991266375545851</v>
          </cell>
          <cell r="T77">
            <v>0.14410480349344978</v>
          </cell>
          <cell r="U77">
            <v>0.23580786026200873</v>
          </cell>
          <cell r="V77">
            <v>0.55240174672489084</v>
          </cell>
          <cell r="AC77">
            <v>0.67030567685589515</v>
          </cell>
          <cell r="AD77">
            <v>0.4126637554585153</v>
          </cell>
          <cell r="AE77">
            <v>0.92139737991266379</v>
          </cell>
          <cell r="AF77">
            <v>0.5873362445414847</v>
          </cell>
          <cell r="AM77">
            <v>0.83406113537117899</v>
          </cell>
          <cell r="AN77">
            <v>0.79257641921397382</v>
          </cell>
          <cell r="AO77">
            <v>0.611353711790393</v>
          </cell>
          <cell r="AP77">
            <v>0.79257641921397382</v>
          </cell>
          <cell r="AW77">
            <v>0.51965065502183405</v>
          </cell>
          <cell r="AX77">
            <v>0.59825327510917026</v>
          </cell>
          <cell r="AY77">
            <v>0.91484716157205237</v>
          </cell>
          <cell r="AZ77">
            <v>0.68995633187772931</v>
          </cell>
          <cell r="BG77">
            <v>0.5873362445414847</v>
          </cell>
          <cell r="BH77">
            <v>0.39082969432314413</v>
          </cell>
          <cell r="BI77">
            <v>0.66375545851528384</v>
          </cell>
          <cell r="BJ77">
            <v>0.89301310043668125</v>
          </cell>
          <cell r="BQ77">
            <v>0.71179039301310043</v>
          </cell>
          <cell r="BR77">
            <v>0.59388646288209612</v>
          </cell>
          <cell r="BS77">
            <v>0.94323144104803491</v>
          </cell>
          <cell r="BT77">
            <v>0.69868995633187769</v>
          </cell>
          <cell r="BX77">
            <v>0.78820960698689957</v>
          </cell>
          <cell r="CJ77">
            <v>0.75327510917030571</v>
          </cell>
          <cell r="CK77">
            <v>0.16157205240174671</v>
          </cell>
        </row>
        <row r="78">
          <cell r="A78" t="str">
            <v>Chris Tierney</v>
          </cell>
          <cell r="B78" t="str">
            <v>FLA, MTL</v>
          </cell>
          <cell r="I78">
            <v>6.5502183406113537E-2</v>
          </cell>
          <cell r="J78">
            <v>2.6200873362445413E-2</v>
          </cell>
          <cell r="K78">
            <v>0.66812227074235808</v>
          </cell>
          <cell r="L78">
            <v>1.9650655021834062E-2</v>
          </cell>
          <cell r="S78">
            <v>0.32096069868995636</v>
          </cell>
          <cell r="T78">
            <v>0.61353711790393017</v>
          </cell>
          <cell r="U78">
            <v>0.48034934497816595</v>
          </cell>
          <cell r="V78">
            <v>0.49344978165938863</v>
          </cell>
          <cell r="AC78">
            <v>0.21179039301310043</v>
          </cell>
          <cell r="AD78">
            <v>0.21615720524017468</v>
          </cell>
          <cell r="AE78">
            <v>2.1834061135371178E-3</v>
          </cell>
          <cell r="AF78">
            <v>0.16157205240174671</v>
          </cell>
          <cell r="AM78">
            <v>3.4934497816593885E-2</v>
          </cell>
          <cell r="AN78">
            <v>2.4017467248908297E-2</v>
          </cell>
          <cell r="AO78">
            <v>0.46724890829694321</v>
          </cell>
          <cell r="AP78">
            <v>8.7336244541484712E-3</v>
          </cell>
          <cell r="AW78">
            <v>0.35807860262008734</v>
          </cell>
          <cell r="AX78">
            <v>0.85152838427947597</v>
          </cell>
          <cell r="AY78">
            <v>6.5502183406113534E-3</v>
          </cell>
          <cell r="AZ78">
            <v>0.51965065502183405</v>
          </cell>
          <cell r="BG78">
            <v>9.1703056768558958E-2</v>
          </cell>
          <cell r="BH78">
            <v>0.34716157205240172</v>
          </cell>
          <cell r="BI78">
            <v>0.91921397379912662</v>
          </cell>
          <cell r="BJ78">
            <v>0.18995633187772926</v>
          </cell>
          <cell r="BQ78">
            <v>8.7336244541484712E-2</v>
          </cell>
          <cell r="BR78">
            <v>3.0567685589519649E-2</v>
          </cell>
          <cell r="BS78">
            <v>0.12663755458515283</v>
          </cell>
          <cell r="BT78">
            <v>1.7467248908296942E-2</v>
          </cell>
          <cell r="BX78">
            <v>4.148471615720524E-2</v>
          </cell>
          <cell r="CJ78">
            <v>0.68995633187772931</v>
          </cell>
          <cell r="CK78">
            <v>8.7336244541484712E-3</v>
          </cell>
        </row>
        <row r="79">
          <cell r="A79" t="str">
            <v>Christian Dvorak</v>
          </cell>
          <cell r="B79" t="str">
            <v>MTL</v>
          </cell>
          <cell r="I79">
            <v>0.11353711790393013</v>
          </cell>
          <cell r="J79">
            <v>0.25982532751091703</v>
          </cell>
          <cell r="K79">
            <v>0.20524017467248909</v>
          </cell>
          <cell r="L79">
            <v>0.15283842794759825</v>
          </cell>
          <cell r="S79">
            <v>0.23144104803493451</v>
          </cell>
          <cell r="T79">
            <v>0.56986899563318782</v>
          </cell>
          <cell r="U79">
            <v>0.11572052401746726</v>
          </cell>
          <cell r="V79">
            <v>0.38209606986899564</v>
          </cell>
          <cell r="AC79">
            <v>0.11135371179039301</v>
          </cell>
          <cell r="AD79">
            <v>9.3886462882096067E-2</v>
          </cell>
          <cell r="AE79">
            <v>0.26419213973799127</v>
          </cell>
          <cell r="AF79">
            <v>3.7117903930131008E-2</v>
          </cell>
          <cell r="AM79">
            <v>0.33187772925764192</v>
          </cell>
          <cell r="AN79">
            <v>0.52620087336244536</v>
          </cell>
          <cell r="AO79">
            <v>0.23144104803493451</v>
          </cell>
          <cell r="AP79">
            <v>0.34934497816593885</v>
          </cell>
          <cell r="AW79">
            <v>9.8253275109170299E-2</v>
          </cell>
          <cell r="AX79">
            <v>0.2816593886462882</v>
          </cell>
          <cell r="AY79">
            <v>0.46288209606986902</v>
          </cell>
          <cell r="AZ79">
            <v>0.11572052401746726</v>
          </cell>
          <cell r="BG79">
            <v>0.50218340611353707</v>
          </cell>
          <cell r="BH79">
            <v>0.15065502183406113</v>
          </cell>
          <cell r="BI79">
            <v>0.32314410480349343</v>
          </cell>
          <cell r="BJ79">
            <v>0.27510917030567683</v>
          </cell>
          <cell r="BQ79">
            <v>8.296943231441048E-2</v>
          </cell>
          <cell r="BR79">
            <v>0.12663755458515283</v>
          </cell>
          <cell r="BS79">
            <v>0.14192139737991266</v>
          </cell>
          <cell r="BT79">
            <v>5.6768558951965066E-2</v>
          </cell>
          <cell r="BX79">
            <v>4.5851528384279479E-2</v>
          </cell>
          <cell r="CJ79">
            <v>0.92358078602620086</v>
          </cell>
          <cell r="CK79">
            <v>0.14410480349344978</v>
          </cell>
        </row>
        <row r="80">
          <cell r="A80" t="str">
            <v>Christian Fischer</v>
          </cell>
          <cell r="B80" t="str">
            <v>ARI</v>
          </cell>
          <cell r="I80">
            <v>6.9868995633187769E-2</v>
          </cell>
          <cell r="J80">
            <v>0.22270742358078602</v>
          </cell>
          <cell r="K80">
            <v>0.19868995633187772</v>
          </cell>
          <cell r="L80">
            <v>0.1331877729257642</v>
          </cell>
          <cell r="S80">
            <v>0.55676855895196509</v>
          </cell>
          <cell r="T80">
            <v>0.1943231441048035</v>
          </cell>
          <cell r="U80">
            <v>0.34934497816593885</v>
          </cell>
          <cell r="V80">
            <v>0.27947598253275108</v>
          </cell>
          <cell r="AC80">
            <v>0.16157205240174671</v>
          </cell>
          <cell r="AD80">
            <v>0.22707423580786026</v>
          </cell>
          <cell r="AE80">
            <v>0.48908296943231439</v>
          </cell>
          <cell r="AF80">
            <v>0.21179039301310043</v>
          </cell>
          <cell r="AM80">
            <v>0.29912663755458513</v>
          </cell>
          <cell r="AN80">
            <v>0.51965065502183405</v>
          </cell>
          <cell r="AO80">
            <v>0.26200873362445415</v>
          </cell>
          <cell r="AP80">
            <v>0.40174672489082969</v>
          </cell>
          <cell r="AW80">
            <v>0.30786026200873362</v>
          </cell>
          <cell r="AX80">
            <v>0.33406113537117904</v>
          </cell>
          <cell r="AY80">
            <v>0.67030567685589515</v>
          </cell>
          <cell r="AZ80">
            <v>0.30131004366812225</v>
          </cell>
          <cell r="BG80">
            <v>0.43013100436681223</v>
          </cell>
          <cell r="BH80">
            <v>0.2423580786026201</v>
          </cell>
          <cell r="BI80">
            <v>0.37117903930131002</v>
          </cell>
          <cell r="BJ80">
            <v>0.57860262008733621</v>
          </cell>
          <cell r="BQ80">
            <v>7.8602620087336247E-2</v>
          </cell>
          <cell r="BR80">
            <v>0.18777292576419213</v>
          </cell>
          <cell r="BS80">
            <v>0.21615720524017468</v>
          </cell>
          <cell r="BT80">
            <v>0.12445414847161572</v>
          </cell>
          <cell r="BX80">
            <v>8.9519650655021835E-2</v>
          </cell>
          <cell r="CJ80">
            <v>0.6506550218340611</v>
          </cell>
          <cell r="CK80">
            <v>0.34497816593886466</v>
          </cell>
        </row>
        <row r="81">
          <cell r="A81" t="str">
            <v>Claude Giroux</v>
          </cell>
          <cell r="B81" t="str">
            <v>OTT</v>
          </cell>
          <cell r="I81">
            <v>0.9606986899563319</v>
          </cell>
          <cell r="J81">
            <v>0.89301310043668125</v>
          </cell>
          <cell r="K81">
            <v>0.75764192139737996</v>
          </cell>
          <cell r="L81">
            <v>0.92794759825327511</v>
          </cell>
          <cell r="S81">
            <v>0.93013100436681218</v>
          </cell>
          <cell r="T81">
            <v>0.56986899563318782</v>
          </cell>
          <cell r="U81">
            <v>0.72925764192139741</v>
          </cell>
          <cell r="V81">
            <v>0.84061135371179041</v>
          </cell>
          <cell r="AC81">
            <v>0.55021834061135366</v>
          </cell>
          <cell r="AD81">
            <v>0.40611353711790393</v>
          </cell>
          <cell r="AE81">
            <v>0.27510917030567683</v>
          </cell>
          <cell r="AF81">
            <v>0.4606986899563319</v>
          </cell>
          <cell r="AM81">
            <v>0.9759825327510917</v>
          </cell>
          <cell r="AN81">
            <v>0.9366812227074236</v>
          </cell>
          <cell r="AO81">
            <v>0.87117903930131002</v>
          </cell>
          <cell r="AP81">
            <v>0.96724890829694321</v>
          </cell>
          <cell r="AW81">
            <v>0.51310043668122274</v>
          </cell>
          <cell r="AX81">
            <v>0.32751091703056767</v>
          </cell>
          <cell r="AY81">
            <v>0.40611353711790393</v>
          </cell>
          <cell r="AZ81">
            <v>0.44978165938864628</v>
          </cell>
          <cell r="BG81">
            <v>0.86681222707423577</v>
          </cell>
          <cell r="BH81">
            <v>0.64410480349344978</v>
          </cell>
          <cell r="BI81">
            <v>0.44978165938864628</v>
          </cell>
          <cell r="BJ81">
            <v>0.27510917030567683</v>
          </cell>
          <cell r="BQ81">
            <v>0.92358078602620086</v>
          </cell>
          <cell r="BR81">
            <v>0.80786026200873362</v>
          </cell>
          <cell r="BS81">
            <v>0.54585152838427953</v>
          </cell>
          <cell r="BT81">
            <v>0.89519650655021832</v>
          </cell>
          <cell r="BX81">
            <v>0.94759825327510916</v>
          </cell>
          <cell r="CJ81">
            <v>0.48689956331877732</v>
          </cell>
          <cell r="CK81">
            <v>0.60043668122270744</v>
          </cell>
        </row>
        <row r="82">
          <cell r="A82" t="str">
            <v>Clayton Keller</v>
          </cell>
          <cell r="B82" t="str">
            <v>ARI</v>
          </cell>
          <cell r="I82">
            <v>0.40829694323144106</v>
          </cell>
          <cell r="J82">
            <v>0.32314410480349343</v>
          </cell>
          <cell r="K82">
            <v>0.76855895196506552</v>
          </cell>
          <cell r="L82">
            <v>0.40611353711790393</v>
          </cell>
          <cell r="S82">
            <v>0.86244541484716153</v>
          </cell>
          <cell r="T82">
            <v>0.8493449781659389</v>
          </cell>
          <cell r="U82">
            <v>0.95633187772925765</v>
          </cell>
          <cell r="V82">
            <v>0.92576419213973804</v>
          </cell>
          <cell r="AC82">
            <v>0.47161572052401746</v>
          </cell>
          <cell r="AD82">
            <v>0.2816593886462882</v>
          </cell>
          <cell r="AE82">
            <v>0.24454148471615719</v>
          </cell>
          <cell r="AF82">
            <v>0.26200873362445415</v>
          </cell>
          <cell r="AM82">
            <v>0.888646288209607</v>
          </cell>
          <cell r="AN82">
            <v>0.72270742358078599</v>
          </cell>
          <cell r="AO82">
            <v>0.93013100436681218</v>
          </cell>
          <cell r="AP82">
            <v>0.83842794759825323</v>
          </cell>
          <cell r="AW82">
            <v>0.90174672489082974</v>
          </cell>
          <cell r="AX82">
            <v>0.48689956331877732</v>
          </cell>
          <cell r="AY82">
            <v>0.28602620087336245</v>
          </cell>
          <cell r="AZ82">
            <v>0.39956331877729256</v>
          </cell>
          <cell r="BG82">
            <v>0.99126637554585151</v>
          </cell>
          <cell r="BH82">
            <v>0.35807860262008734</v>
          </cell>
          <cell r="BI82">
            <v>0.87772925764192145</v>
          </cell>
          <cell r="BJ82">
            <v>0.64628820960698685</v>
          </cell>
          <cell r="BQ82">
            <v>0.4366812227074236</v>
          </cell>
          <cell r="BR82">
            <v>0.26637554585152839</v>
          </cell>
          <cell r="BS82">
            <v>0.53056768558951961</v>
          </cell>
          <cell r="BT82">
            <v>0.32096069868995636</v>
          </cell>
          <cell r="BX82">
            <v>0.74017467248908297</v>
          </cell>
          <cell r="CJ82">
            <v>0.48689956331877732</v>
          </cell>
          <cell r="CK82">
            <v>0.67030567685589515</v>
          </cell>
        </row>
        <row r="83">
          <cell r="A83" t="str">
            <v>Cody Glass</v>
          </cell>
          <cell r="B83" t="str">
            <v>NSH</v>
          </cell>
          <cell r="I83">
            <v>0.41484716157205243</v>
          </cell>
          <cell r="J83">
            <v>0.6506550218340611</v>
          </cell>
          <cell r="K83">
            <v>0.44541484716157204</v>
          </cell>
          <cell r="L83">
            <v>0.51528384279475981</v>
          </cell>
          <cell r="S83">
            <v>0.1965065502183406</v>
          </cell>
          <cell r="T83">
            <v>0.56986899563318782</v>
          </cell>
          <cell r="U83">
            <v>0.44104803493449779</v>
          </cell>
          <cell r="V83">
            <v>0.35589519650655022</v>
          </cell>
          <cell r="AC83">
            <v>0.45633187772925765</v>
          </cell>
          <cell r="AD83">
            <v>0.62008733624454149</v>
          </cell>
          <cell r="AE83">
            <v>0.96724890829694321</v>
          </cell>
          <cell r="AF83">
            <v>0.52838427947598254</v>
          </cell>
          <cell r="AM83">
            <v>0.51091703056768556</v>
          </cell>
          <cell r="AN83">
            <v>0.63755458515283847</v>
          </cell>
          <cell r="AO83">
            <v>0.62008733624454149</v>
          </cell>
          <cell r="AP83">
            <v>0.54148471615720528</v>
          </cell>
          <cell r="AW83">
            <v>0.91484716157205237</v>
          </cell>
          <cell r="AX83">
            <v>0.90829694323144106</v>
          </cell>
          <cell r="AY83">
            <v>0.95414847161572047</v>
          </cell>
          <cell r="AZ83">
            <v>0.92358078602620086</v>
          </cell>
          <cell r="BG83">
            <v>0.40611353711790393</v>
          </cell>
          <cell r="BH83">
            <v>0.60917030567685593</v>
          </cell>
          <cell r="BI83">
            <v>0.47161572052401746</v>
          </cell>
          <cell r="BJ83">
            <v>0.90174672489082974</v>
          </cell>
          <cell r="BQ83">
            <v>0.43231441048034935</v>
          </cell>
          <cell r="BR83">
            <v>0.66157205240174677</v>
          </cell>
          <cell r="BS83">
            <v>0.93013100436681218</v>
          </cell>
          <cell r="BT83">
            <v>0.54366812227074235</v>
          </cell>
          <cell r="BX83">
            <v>0.55458515283842791</v>
          </cell>
          <cell r="CJ83">
            <v>0.6506550218340611</v>
          </cell>
          <cell r="CK83">
            <v>0.22489082969432314</v>
          </cell>
        </row>
        <row r="84">
          <cell r="A84" t="str">
            <v>Cole Caufield</v>
          </cell>
          <cell r="B84" t="str">
            <v>MTL</v>
          </cell>
          <cell r="I84">
            <v>0.5</v>
          </cell>
          <cell r="J84">
            <v>0.1091703056768559</v>
          </cell>
          <cell r="K84">
            <v>0.93013100436681218</v>
          </cell>
          <cell r="L84">
            <v>0.2816593886462882</v>
          </cell>
          <cell r="S84">
            <v>0.99563318777292575</v>
          </cell>
          <cell r="T84">
            <v>0.22707423580786026</v>
          </cell>
          <cell r="U84">
            <v>8.5152838427947602E-2</v>
          </cell>
          <cell r="V84">
            <v>0.8733624454148472</v>
          </cell>
          <cell r="AC84">
            <v>0.4759825327510917</v>
          </cell>
          <cell r="AD84">
            <v>0.23799126637554585</v>
          </cell>
          <cell r="AE84">
            <v>9.8253275109170299E-2</v>
          </cell>
          <cell r="AF84">
            <v>0.11353711790393013</v>
          </cell>
          <cell r="AM84">
            <v>0.79912663755458513</v>
          </cell>
          <cell r="AN84">
            <v>0.22707423580786026</v>
          </cell>
          <cell r="AO84">
            <v>0.98689956331877726</v>
          </cell>
          <cell r="AP84">
            <v>0.5</v>
          </cell>
          <cell r="AW84">
            <v>0.6506550218340611</v>
          </cell>
          <cell r="AX84">
            <v>0.65938864628820959</v>
          </cell>
          <cell r="AY84">
            <v>9.3886462882096067E-2</v>
          </cell>
          <cell r="AZ84">
            <v>0.36462882096069871</v>
          </cell>
          <cell r="BG84">
            <v>0.84061135371179041</v>
          </cell>
          <cell r="BH84">
            <v>0.82969432314410485</v>
          </cell>
          <cell r="BI84">
            <v>0.96724890829694321</v>
          </cell>
          <cell r="BJ84">
            <v>0.70960698689956336</v>
          </cell>
          <cell r="BQ84">
            <v>0.46943231441048033</v>
          </cell>
          <cell r="BR84">
            <v>0.10698689956331878</v>
          </cell>
          <cell r="BS84">
            <v>0.56550218340611358</v>
          </cell>
          <cell r="BT84">
            <v>0.15283842794759825</v>
          </cell>
          <cell r="BX84">
            <v>0.47161572052401746</v>
          </cell>
          <cell r="CJ84">
            <v>0.97816593886462877</v>
          </cell>
          <cell r="CK84">
            <v>0.5633187772925764</v>
          </cell>
        </row>
        <row r="85">
          <cell r="A85" t="str">
            <v>Cole Perfetti</v>
          </cell>
          <cell r="B85" t="str">
            <v>WPG</v>
          </cell>
          <cell r="I85">
            <v>0.6266375545851528</v>
          </cell>
          <cell r="J85">
            <v>0.63755458515283847</v>
          </cell>
          <cell r="K85">
            <v>0.56113537117903933</v>
          </cell>
          <cell r="L85">
            <v>0.53493449781659386</v>
          </cell>
          <cell r="S85">
            <v>0.2205240174672489</v>
          </cell>
          <cell r="T85">
            <v>0.95196506550218341</v>
          </cell>
          <cell r="U85">
            <v>0.70305676855895194</v>
          </cell>
          <cell r="V85">
            <v>0.79694323144104806</v>
          </cell>
          <cell r="AC85">
            <v>0.63973799126637554</v>
          </cell>
          <cell r="AD85">
            <v>0.67685589519650657</v>
          </cell>
          <cell r="AE85">
            <v>0.93231441048034935</v>
          </cell>
          <cell r="AF85">
            <v>0.54585152838427953</v>
          </cell>
          <cell r="AM85">
            <v>0.55895196506550215</v>
          </cell>
          <cell r="AN85">
            <v>0.62008733624454149</v>
          </cell>
          <cell r="AO85">
            <v>0.63318777292576423</v>
          </cell>
          <cell r="AP85">
            <v>0.43231441048034935</v>
          </cell>
          <cell r="AW85">
            <v>0.71834061135371174</v>
          </cell>
          <cell r="AX85">
            <v>0.6746724890829694</v>
          </cell>
          <cell r="AY85">
            <v>0.85589519650655022</v>
          </cell>
          <cell r="AZ85">
            <v>0.65502183406113534</v>
          </cell>
          <cell r="BG85">
            <v>0.66593886462882101</v>
          </cell>
          <cell r="BH85">
            <v>0.94541484716157209</v>
          </cell>
          <cell r="BI85">
            <v>0.64628820960698685</v>
          </cell>
          <cell r="BJ85">
            <v>0.91921397379912662</v>
          </cell>
          <cell r="BQ85">
            <v>0.65502183406113534</v>
          </cell>
          <cell r="BR85">
            <v>0.69868995633187769</v>
          </cell>
          <cell r="BS85">
            <v>0.89956331877729256</v>
          </cell>
          <cell r="BT85">
            <v>0.56768558951965065</v>
          </cell>
          <cell r="BX85">
            <v>0.66375545851528384</v>
          </cell>
          <cell r="CJ85">
            <v>0.51091703056768556</v>
          </cell>
          <cell r="CK85">
            <v>0.12445414847161572</v>
          </cell>
        </row>
        <row r="86">
          <cell r="A86" t="str">
            <v>Cole Sillinger</v>
          </cell>
          <cell r="B86" t="str">
            <v>CBJ</v>
          </cell>
          <cell r="I86">
            <v>0.21179039301310043</v>
          </cell>
          <cell r="J86">
            <v>0.1703056768558952</v>
          </cell>
          <cell r="K86">
            <v>8.5152838427947602E-2</v>
          </cell>
          <cell r="L86">
            <v>0.23362445414847161</v>
          </cell>
          <cell r="S86">
            <v>1.3100436681222707E-2</v>
          </cell>
          <cell r="T86">
            <v>0.10480349344978165</v>
          </cell>
          <cell r="U86">
            <v>0.19868995633187772</v>
          </cell>
          <cell r="V86">
            <v>1.5283842794759825E-2</v>
          </cell>
          <cell r="AC86">
            <v>0.14192139737991266</v>
          </cell>
          <cell r="AD86">
            <v>0.4759825327510917</v>
          </cell>
          <cell r="AE86">
            <v>4.3668122270742356E-2</v>
          </cell>
          <cell r="AF86">
            <v>0.26200873362445415</v>
          </cell>
          <cell r="AM86">
            <v>0.29039301310043669</v>
          </cell>
          <cell r="AN86">
            <v>0.40829694323144106</v>
          </cell>
          <cell r="AO86">
            <v>0.17248908296943233</v>
          </cell>
          <cell r="AP86">
            <v>0.36244541484716158</v>
          </cell>
          <cell r="AW86">
            <v>0.71179039301310043</v>
          </cell>
          <cell r="AX86">
            <v>0.77510917030567683</v>
          </cell>
          <cell r="AY86">
            <v>0.25327510917030566</v>
          </cell>
          <cell r="AZ86">
            <v>0.68995633187772931</v>
          </cell>
          <cell r="BG86">
            <v>0.36899563318777295</v>
          </cell>
          <cell r="BH86">
            <v>0.64628820960698685</v>
          </cell>
          <cell r="BI86">
            <v>0.11572052401746726</v>
          </cell>
          <cell r="BJ86">
            <v>2.6200873362445413E-2</v>
          </cell>
          <cell r="BQ86">
            <v>0.1331877729257642</v>
          </cell>
          <cell r="BR86">
            <v>0.22270742358078602</v>
          </cell>
          <cell r="BS86">
            <v>3.2751091703056769E-2</v>
          </cell>
          <cell r="BT86">
            <v>0.20524017467248909</v>
          </cell>
          <cell r="BX86">
            <v>9.3886462882096067E-2</v>
          </cell>
          <cell r="CJ86">
            <v>0.48689956331877732</v>
          </cell>
          <cell r="CK86">
            <v>2.6200873362445413E-2</v>
          </cell>
        </row>
        <row r="87">
          <cell r="A87" t="str">
            <v>Cole Smith</v>
          </cell>
          <cell r="B87" t="str">
            <v>NSH</v>
          </cell>
          <cell r="I87">
            <v>0.18777292576419213</v>
          </cell>
          <cell r="J87">
            <v>0.18122270742358079</v>
          </cell>
          <cell r="K87">
            <v>5.2401746724890827E-2</v>
          </cell>
          <cell r="L87">
            <v>0.20087336244541484</v>
          </cell>
          <cell r="S87">
            <v>5.6768558951965066E-2</v>
          </cell>
          <cell r="T87">
            <v>0.31877729257641924</v>
          </cell>
          <cell r="U87">
            <v>0.65938864628820959</v>
          </cell>
          <cell r="V87">
            <v>9.8253275109170299E-2</v>
          </cell>
          <cell r="AC87">
            <v>0.49781659388646288</v>
          </cell>
          <cell r="AD87">
            <v>0.63755458515283847</v>
          </cell>
          <cell r="AE87">
            <v>0.73799126637554591</v>
          </cell>
          <cell r="AF87">
            <v>0.47816593886462883</v>
          </cell>
          <cell r="AM87">
            <v>0.13755458515283842</v>
          </cell>
          <cell r="AN87">
            <v>0.13755458515283842</v>
          </cell>
          <cell r="AO87">
            <v>0.15065502183406113</v>
          </cell>
          <cell r="AP87">
            <v>0.13537117903930132</v>
          </cell>
          <cell r="AW87">
            <v>0.84716157205240172</v>
          </cell>
          <cell r="AX87">
            <v>0.85152838427947597</v>
          </cell>
          <cell r="AY87">
            <v>0.61353711790393017</v>
          </cell>
          <cell r="AZ87">
            <v>0.82969432314410485</v>
          </cell>
          <cell r="BG87">
            <v>0.1965065502183406</v>
          </cell>
          <cell r="BH87">
            <v>5.6768558951965066E-2</v>
          </cell>
          <cell r="BI87">
            <v>8.9519650655021835E-2</v>
          </cell>
          <cell r="BJ87">
            <v>0.29039301310043669</v>
          </cell>
          <cell r="BQ87">
            <v>0.27510917030567683</v>
          </cell>
          <cell r="BR87">
            <v>0.30786026200873362</v>
          </cell>
          <cell r="BS87">
            <v>0.1703056768558952</v>
          </cell>
          <cell r="BT87">
            <v>0.2576419213973799</v>
          </cell>
          <cell r="BX87">
            <v>0.1703056768558952</v>
          </cell>
          <cell r="CJ87">
            <v>9.606986899563319E-2</v>
          </cell>
          <cell r="CK87">
            <v>0.90611353711790388</v>
          </cell>
        </row>
        <row r="88">
          <cell r="A88" t="str">
            <v>Colin Blackwell</v>
          </cell>
          <cell r="B88" t="str">
            <v>CHI</v>
          </cell>
          <cell r="I88">
            <v>3.0567685589519649E-2</v>
          </cell>
          <cell r="J88">
            <v>1.5283842794759825E-2</v>
          </cell>
          <cell r="K88">
            <v>6.3318777292576414E-2</v>
          </cell>
          <cell r="L88">
            <v>3.9301310043668124E-2</v>
          </cell>
          <cell r="S88">
            <v>4.148471615720524E-2</v>
          </cell>
          <cell r="T88">
            <v>0.34716157205240172</v>
          </cell>
          <cell r="U88">
            <v>0.65938864628820959</v>
          </cell>
          <cell r="V88">
            <v>0.10262008733624454</v>
          </cell>
          <cell r="AC88">
            <v>0.32096069868995636</v>
          </cell>
          <cell r="AD88">
            <v>0.32314410480349343</v>
          </cell>
          <cell r="AE88">
            <v>8.9519650655021835E-2</v>
          </cell>
          <cell r="AF88">
            <v>0.28384279475982532</v>
          </cell>
          <cell r="AM88">
            <v>0.27947598253275108</v>
          </cell>
          <cell r="AN88">
            <v>0.14192139737991266</v>
          </cell>
          <cell r="AO88">
            <v>0.26637554585152839</v>
          </cell>
          <cell r="AP88">
            <v>0.31222707423580787</v>
          </cell>
          <cell r="AW88">
            <v>0.78165938864628826</v>
          </cell>
          <cell r="AX88">
            <v>0.63537117903930129</v>
          </cell>
          <cell r="AY88">
            <v>0.39737991266375544</v>
          </cell>
          <cell r="AZ88">
            <v>0.68995633187772931</v>
          </cell>
          <cell r="BG88">
            <v>0.16375545851528384</v>
          </cell>
          <cell r="BH88">
            <v>9.3886462882096067E-2</v>
          </cell>
          <cell r="BI88">
            <v>0.2205240174672489</v>
          </cell>
          <cell r="BJ88">
            <v>8.9519650655021835E-2</v>
          </cell>
          <cell r="BQ88">
            <v>6.3318777292576414E-2</v>
          </cell>
          <cell r="BR88">
            <v>2.6200873362445413E-2</v>
          </cell>
          <cell r="BS88">
            <v>3.7117903930131008E-2</v>
          </cell>
          <cell r="BT88">
            <v>5.2401746724890827E-2</v>
          </cell>
          <cell r="BX88">
            <v>9.1703056768558958E-2</v>
          </cell>
          <cell r="CJ88">
            <v>0.93013100436681218</v>
          </cell>
          <cell r="CK88">
            <v>0.90829694323144106</v>
          </cell>
        </row>
        <row r="89">
          <cell r="A89" t="str">
            <v>Colin White</v>
          </cell>
          <cell r="B89" t="str">
            <v>FLA</v>
          </cell>
          <cell r="I89">
            <v>0.24890829694323144</v>
          </cell>
          <cell r="J89">
            <v>0.26855895196506552</v>
          </cell>
          <cell r="K89">
            <v>0.41703056768558949</v>
          </cell>
          <cell r="L89">
            <v>0.14410480349344978</v>
          </cell>
          <cell r="S89">
            <v>0.54585152838427953</v>
          </cell>
          <cell r="T89">
            <v>0.25982532751091703</v>
          </cell>
          <cell r="U89">
            <v>0.42358078602620086</v>
          </cell>
          <cell r="V89">
            <v>0.32096069868995636</v>
          </cell>
          <cell r="AC89">
            <v>0.70960698689956336</v>
          </cell>
          <cell r="AD89">
            <v>0.37772925764192139</v>
          </cell>
          <cell r="AE89">
            <v>0.59825327510917026</v>
          </cell>
          <cell r="AF89">
            <v>0.71834061135371174</v>
          </cell>
          <cell r="AM89">
            <v>2.1834061135371178E-3</v>
          </cell>
          <cell r="AN89">
            <v>6.5502183406113534E-3</v>
          </cell>
          <cell r="AO89">
            <v>0.14192139737991266</v>
          </cell>
          <cell r="AP89">
            <v>2.1834061135371178E-3</v>
          </cell>
          <cell r="AW89">
            <v>0.74672489082969429</v>
          </cell>
          <cell r="AX89">
            <v>0.4126637554585153</v>
          </cell>
          <cell r="AY89">
            <v>0.6026200873362445</v>
          </cell>
          <cell r="AZ89">
            <v>0.77947598253275108</v>
          </cell>
          <cell r="BG89">
            <v>4.148471615720524E-2</v>
          </cell>
          <cell r="BH89">
            <v>0.70524017467248912</v>
          </cell>
          <cell r="BI89">
            <v>0.50436681222707425</v>
          </cell>
          <cell r="BJ89">
            <v>0.53711790393013104</v>
          </cell>
          <cell r="BQ89">
            <v>0.44104803493449779</v>
          </cell>
          <cell r="BR89">
            <v>0.25545851528384278</v>
          </cell>
          <cell r="BS89">
            <v>0.48471615720524019</v>
          </cell>
          <cell r="BT89">
            <v>0.31877729257641924</v>
          </cell>
          <cell r="BX89">
            <v>0.21615720524017468</v>
          </cell>
          <cell r="CJ89">
            <v>0.61572052401746724</v>
          </cell>
          <cell r="CK89">
            <v>0.24017467248908297</v>
          </cell>
        </row>
        <row r="90">
          <cell r="A90" t="str">
            <v>Colton Sissons</v>
          </cell>
          <cell r="B90" t="str">
            <v>NSH</v>
          </cell>
          <cell r="I90">
            <v>0.33187772925764192</v>
          </cell>
          <cell r="J90">
            <v>0.31877729257641924</v>
          </cell>
          <cell r="K90">
            <v>0.29475982532751094</v>
          </cell>
          <cell r="L90">
            <v>0.35807860262008734</v>
          </cell>
          <cell r="S90">
            <v>0.34279475982532753</v>
          </cell>
          <cell r="T90">
            <v>0.5</v>
          </cell>
          <cell r="U90">
            <v>0.13537117903930132</v>
          </cell>
          <cell r="V90">
            <v>0.39956331877729256</v>
          </cell>
          <cell r="AC90">
            <v>0.11353711790393013</v>
          </cell>
          <cell r="AD90">
            <v>0.24017467248908297</v>
          </cell>
          <cell r="AE90">
            <v>0.48908296943231439</v>
          </cell>
          <cell r="AF90">
            <v>0.13755458515283842</v>
          </cell>
          <cell r="AM90">
            <v>0.4126637554585153</v>
          </cell>
          <cell r="AN90">
            <v>0.27729257641921395</v>
          </cell>
          <cell r="AO90">
            <v>0.48471615720524019</v>
          </cell>
          <cell r="AP90">
            <v>0.37117903930131002</v>
          </cell>
          <cell r="AW90">
            <v>0.26637554585152839</v>
          </cell>
          <cell r="AX90">
            <v>0.34279475982532753</v>
          </cell>
          <cell r="AY90">
            <v>0.32751091703056767</v>
          </cell>
          <cell r="AZ90">
            <v>0.24890829694323144</v>
          </cell>
          <cell r="BG90">
            <v>0.43231441048034935</v>
          </cell>
          <cell r="BH90">
            <v>6.9868995633187769E-2</v>
          </cell>
          <cell r="BI90">
            <v>0.37772925764192139</v>
          </cell>
          <cell r="BJ90">
            <v>0.54803493449781659</v>
          </cell>
          <cell r="BQ90">
            <v>0.16593886462882096</v>
          </cell>
          <cell r="BR90">
            <v>0.24890829694323144</v>
          </cell>
          <cell r="BS90">
            <v>0.33624454148471616</v>
          </cell>
          <cell r="BT90">
            <v>0.20742358078602621</v>
          </cell>
          <cell r="BX90">
            <v>0.15502183406113537</v>
          </cell>
          <cell r="CJ90">
            <v>0.66593886462882101</v>
          </cell>
          <cell r="CK90">
            <v>0.59170305676855894</v>
          </cell>
        </row>
        <row r="91">
          <cell r="A91" t="str">
            <v>Connor Dewar</v>
          </cell>
          <cell r="B91" t="str">
            <v>MIN</v>
          </cell>
          <cell r="I91">
            <v>0.16593886462882096</v>
          </cell>
          <cell r="J91">
            <v>8.5152838427947602E-2</v>
          </cell>
          <cell r="K91">
            <v>3.4934497816593885E-2</v>
          </cell>
          <cell r="L91">
            <v>9.3886462882096067E-2</v>
          </cell>
          <cell r="S91">
            <v>4.8034934497816595E-2</v>
          </cell>
          <cell r="T91">
            <v>0.38427947598253276</v>
          </cell>
          <cell r="U91">
            <v>0.31004366812227074</v>
          </cell>
          <cell r="V91">
            <v>0.12445414847161572</v>
          </cell>
          <cell r="AC91">
            <v>0.68122270742358082</v>
          </cell>
          <cell r="AD91">
            <v>0.95633187772925765</v>
          </cell>
          <cell r="AE91">
            <v>0.77292576419213976</v>
          </cell>
          <cell r="AF91">
            <v>0.90393013100436681</v>
          </cell>
          <cell r="AM91">
            <v>0.10043668122270742</v>
          </cell>
          <cell r="AN91">
            <v>0.14410480349344978</v>
          </cell>
          <cell r="AO91">
            <v>0.1091703056768559</v>
          </cell>
          <cell r="AP91">
            <v>0.12445414847161572</v>
          </cell>
          <cell r="AW91">
            <v>0.71397379912663761</v>
          </cell>
          <cell r="AX91">
            <v>0.77729257641921401</v>
          </cell>
          <cell r="AY91">
            <v>0.48908296943231439</v>
          </cell>
          <cell r="AZ91">
            <v>0.81441048034934493</v>
          </cell>
          <cell r="BG91">
            <v>5.6768558951965066E-2</v>
          </cell>
          <cell r="BH91">
            <v>0.14410480349344978</v>
          </cell>
          <cell r="BI91">
            <v>5.6768558951965066E-2</v>
          </cell>
          <cell r="BJ91">
            <v>0.24672489082969432</v>
          </cell>
          <cell r="BQ91">
            <v>0.34061135371179041</v>
          </cell>
          <cell r="BR91">
            <v>0.39956331877729256</v>
          </cell>
          <cell r="BS91">
            <v>0.13537117903930132</v>
          </cell>
          <cell r="BT91">
            <v>0.34279475982532753</v>
          </cell>
          <cell r="BX91">
            <v>0.23799126637554585</v>
          </cell>
          <cell r="CJ91">
            <v>0.31877729257641924</v>
          </cell>
          <cell r="CK91">
            <v>0.29039301310043669</v>
          </cell>
        </row>
        <row r="92">
          <cell r="A92" t="str">
            <v>Connor McDavid</v>
          </cell>
          <cell r="B92" t="str">
            <v>EDM</v>
          </cell>
          <cell r="I92">
            <v>0.89519650655021832</v>
          </cell>
          <cell r="J92">
            <v>0.96724890829694321</v>
          </cell>
          <cell r="K92">
            <v>0.91484716157205237</v>
          </cell>
          <cell r="L92">
            <v>0.96506550218340614</v>
          </cell>
          <cell r="S92">
            <v>0.98908296943231444</v>
          </cell>
          <cell r="T92">
            <v>0.76200873362445409</v>
          </cell>
          <cell r="U92">
            <v>0.88209606986899558</v>
          </cell>
          <cell r="V92">
            <v>0.95851528384279472</v>
          </cell>
          <cell r="AC92">
            <v>0.47379912663755458</v>
          </cell>
          <cell r="AD92">
            <v>0.78820960698689957</v>
          </cell>
          <cell r="AE92">
            <v>0.31004366812227074</v>
          </cell>
          <cell r="AF92">
            <v>0.56113537117903933</v>
          </cell>
          <cell r="AM92">
            <v>0.94759825327510916</v>
          </cell>
          <cell r="AN92">
            <v>0.97161572052401746</v>
          </cell>
          <cell r="AO92">
            <v>0.85152838427947597</v>
          </cell>
          <cell r="AP92">
            <v>0.96724890829694321</v>
          </cell>
          <cell r="AW92">
            <v>0.24017467248908297</v>
          </cell>
          <cell r="AX92">
            <v>0.52183406113537123</v>
          </cell>
          <cell r="AY92">
            <v>0.18995633187772926</v>
          </cell>
          <cell r="AZ92">
            <v>0.41921397379912662</v>
          </cell>
          <cell r="BG92">
            <v>0.99563318777292575</v>
          </cell>
          <cell r="BH92">
            <v>0.84716157205240172</v>
          </cell>
          <cell r="BI92">
            <v>0.77292576419213976</v>
          </cell>
          <cell r="BJ92">
            <v>0.59388646288209612</v>
          </cell>
          <cell r="BQ92">
            <v>0.81877729257641918</v>
          </cell>
          <cell r="BR92">
            <v>0.96724890829694321</v>
          </cell>
          <cell r="BS92">
            <v>0.71179039301310043</v>
          </cell>
          <cell r="BT92">
            <v>0.9366812227074236</v>
          </cell>
          <cell r="BX92">
            <v>0.95414847161572047</v>
          </cell>
          <cell r="CJ92">
            <v>0.53493449781659386</v>
          </cell>
          <cell r="CK92">
            <v>0.86681222707423577</v>
          </cell>
        </row>
        <row r="93">
          <cell r="A93" t="str">
            <v>Conor Garland</v>
          </cell>
          <cell r="B93" t="str">
            <v>VAN</v>
          </cell>
          <cell r="I93">
            <v>0.40393013100436681</v>
          </cell>
          <cell r="J93">
            <v>0.54585152838427953</v>
          </cell>
          <cell r="K93">
            <v>0.37336244541484714</v>
          </cell>
          <cell r="L93">
            <v>0.388646288209607</v>
          </cell>
          <cell r="S93">
            <v>0.54585152838427953</v>
          </cell>
          <cell r="T93">
            <v>0.64410480349344978</v>
          </cell>
          <cell r="U93">
            <v>0.46943231441048033</v>
          </cell>
          <cell r="V93">
            <v>0.611353711790393</v>
          </cell>
          <cell r="AC93">
            <v>0.44104803493449779</v>
          </cell>
          <cell r="AD93">
            <v>0.48471615720524019</v>
          </cell>
          <cell r="AE93">
            <v>0.611353711790393</v>
          </cell>
          <cell r="AF93">
            <v>0.4606986899563319</v>
          </cell>
          <cell r="AM93">
            <v>0.72052401746724892</v>
          </cell>
          <cell r="AN93">
            <v>0.70524017467248912</v>
          </cell>
          <cell r="AO93">
            <v>0.37554585152838427</v>
          </cell>
          <cell r="AP93">
            <v>0.61572052401746724</v>
          </cell>
          <cell r="AW93">
            <v>0.39519650655021832</v>
          </cell>
          <cell r="AX93">
            <v>0.64847161572052403</v>
          </cell>
          <cell r="AY93">
            <v>0.888646288209607</v>
          </cell>
          <cell r="AZ93">
            <v>0.5873362445414847</v>
          </cell>
          <cell r="BG93">
            <v>0.64192139737991272</v>
          </cell>
          <cell r="BH93">
            <v>0.4366812227074236</v>
          </cell>
          <cell r="BI93">
            <v>0.3930131004366812</v>
          </cell>
          <cell r="BJ93">
            <v>0.53711790393013104</v>
          </cell>
          <cell r="BQ93">
            <v>0.41484716157205243</v>
          </cell>
          <cell r="BR93">
            <v>0.49563318777292575</v>
          </cell>
          <cell r="BS93">
            <v>0.4759825327510917</v>
          </cell>
          <cell r="BT93">
            <v>0.388646288209607</v>
          </cell>
          <cell r="BX93">
            <v>0.54148471615720528</v>
          </cell>
          <cell r="CJ93">
            <v>0.6506550218340611</v>
          </cell>
          <cell r="CK93">
            <v>0.85589519650655022</v>
          </cell>
        </row>
        <row r="94">
          <cell r="A94" t="str">
            <v>Conor Sheary</v>
          </cell>
          <cell r="B94" t="str">
            <v>WSH</v>
          </cell>
          <cell r="I94">
            <v>0.72489082969432317</v>
          </cell>
          <cell r="J94">
            <v>0.72052401746724892</v>
          </cell>
          <cell r="K94">
            <v>0.65720524017467252</v>
          </cell>
          <cell r="L94">
            <v>0.73362445414847166</v>
          </cell>
          <cell r="S94">
            <v>0.45414847161572053</v>
          </cell>
          <cell r="T94">
            <v>0.43449781659388648</v>
          </cell>
          <cell r="U94">
            <v>0.61790393013100442</v>
          </cell>
          <cell r="V94">
            <v>0.43886462882096072</v>
          </cell>
          <cell r="AC94">
            <v>0.10262008733624454</v>
          </cell>
          <cell r="AD94">
            <v>0.31877729257641924</v>
          </cell>
          <cell r="AE94">
            <v>0.59170305676855894</v>
          </cell>
          <cell r="AF94">
            <v>0.21179039301310043</v>
          </cell>
          <cell r="AM94">
            <v>0.76419213973799127</v>
          </cell>
          <cell r="AN94">
            <v>0.78384279475982532</v>
          </cell>
          <cell r="AO94">
            <v>0.65283842794759828</v>
          </cell>
          <cell r="AP94">
            <v>0.74017467248908297</v>
          </cell>
          <cell r="AW94">
            <v>4.5851528384279479E-2</v>
          </cell>
          <cell r="AX94">
            <v>0.30349344978165937</v>
          </cell>
          <cell r="AY94">
            <v>0.77947598253275108</v>
          </cell>
          <cell r="AZ94">
            <v>0.20305676855895197</v>
          </cell>
          <cell r="BG94">
            <v>0.58296943231441045</v>
          </cell>
          <cell r="BH94">
            <v>0.74672489082969429</v>
          </cell>
          <cell r="BI94">
            <v>0.63973799126637554</v>
          </cell>
          <cell r="BJ94">
            <v>0.78820960698689957</v>
          </cell>
          <cell r="BQ94">
            <v>0.41484716157205243</v>
          </cell>
          <cell r="BR94">
            <v>0.54585152838427953</v>
          </cell>
          <cell r="BS94">
            <v>0.66812227074235808</v>
          </cell>
          <cell r="BT94">
            <v>0.50218340611353707</v>
          </cell>
          <cell r="BX94">
            <v>0.41048034934497818</v>
          </cell>
          <cell r="CJ94">
            <v>0.63100436681222705</v>
          </cell>
          <cell r="CK94">
            <v>0.40174672489082969</v>
          </cell>
        </row>
        <row r="95">
          <cell r="A95" t="str">
            <v>Corey Perry</v>
          </cell>
          <cell r="B95" t="str">
            <v>T.B</v>
          </cell>
          <cell r="I95">
            <v>0.52620087336244536</v>
          </cell>
          <cell r="J95">
            <v>0.75764192139737996</v>
          </cell>
          <cell r="K95">
            <v>0.16157205240174671</v>
          </cell>
          <cell r="L95">
            <v>0.51528384279475981</v>
          </cell>
          <cell r="S95">
            <v>0.24454148471615719</v>
          </cell>
          <cell r="T95">
            <v>9.1703056768558958E-2</v>
          </cell>
          <cell r="U95">
            <v>0.17903930131004367</v>
          </cell>
          <cell r="V95">
            <v>7.6419213973799124E-2</v>
          </cell>
          <cell r="AC95">
            <v>0.75545851528384278</v>
          </cell>
          <cell r="AD95">
            <v>0.94323144104803491</v>
          </cell>
          <cell r="AE95">
            <v>0.35371179039301309</v>
          </cell>
          <cell r="AF95">
            <v>0.95633187772925765</v>
          </cell>
          <cell r="AM95">
            <v>0.33842794759825329</v>
          </cell>
          <cell r="AN95">
            <v>0.31441048034934499</v>
          </cell>
          <cell r="AO95">
            <v>8.5152838427947602E-2</v>
          </cell>
          <cell r="AP95">
            <v>0.26200873362445415</v>
          </cell>
          <cell r="AW95">
            <v>0.79475982532751088</v>
          </cell>
          <cell r="AX95">
            <v>0.96288209606986896</v>
          </cell>
          <cell r="AY95">
            <v>0.22270742358078602</v>
          </cell>
          <cell r="AZ95">
            <v>0.9759825327510917</v>
          </cell>
          <cell r="BG95">
            <v>8.0786026200873357E-2</v>
          </cell>
          <cell r="BH95">
            <v>0.69650655021834063</v>
          </cell>
          <cell r="BI95">
            <v>0.1091703056768559</v>
          </cell>
          <cell r="BJ95">
            <v>7.8602620087336247E-2</v>
          </cell>
          <cell r="BQ95">
            <v>0.63755458515283847</v>
          </cell>
          <cell r="BR95">
            <v>0.91921397379912662</v>
          </cell>
          <cell r="BS95">
            <v>0.13973799126637554</v>
          </cell>
          <cell r="BT95">
            <v>0.83406113537117899</v>
          </cell>
          <cell r="BX95">
            <v>0.58296943231441045</v>
          </cell>
          <cell r="CJ95">
            <v>8.5152838427947602E-2</v>
          </cell>
          <cell r="CK95">
            <v>0.92576419213973804</v>
          </cell>
        </row>
        <row r="96">
          <cell r="A96" t="str">
            <v>Craig Smith</v>
          </cell>
          <cell r="B96" t="str">
            <v>BOS, WSH</v>
          </cell>
          <cell r="I96">
            <v>0.69213973799126638</v>
          </cell>
          <cell r="J96">
            <v>0.54366812227074235</v>
          </cell>
          <cell r="K96">
            <v>0.51965065502183405</v>
          </cell>
          <cell r="L96">
            <v>0.69868995633187769</v>
          </cell>
          <cell r="S96">
            <v>0.67685589519650657</v>
          </cell>
          <cell r="T96">
            <v>0.13973799126637554</v>
          </cell>
          <cell r="U96">
            <v>3.0567685589519649E-2</v>
          </cell>
          <cell r="V96">
            <v>0.28602620087336245</v>
          </cell>
          <cell r="AC96">
            <v>0.44104803493449779</v>
          </cell>
          <cell r="AD96">
            <v>0.59170305676855894</v>
          </cell>
          <cell r="AE96">
            <v>0.84716157205240172</v>
          </cell>
          <cell r="AF96">
            <v>0.44104803493449779</v>
          </cell>
          <cell r="AM96">
            <v>0.66593886462882101</v>
          </cell>
          <cell r="AN96">
            <v>0.38427947598253276</v>
          </cell>
          <cell r="AO96">
            <v>0.1943231441048035</v>
          </cell>
          <cell r="AP96">
            <v>0.6026200873362445</v>
          </cell>
          <cell r="AW96">
            <v>0.45851528384279477</v>
          </cell>
          <cell r="AX96">
            <v>0.66157205240174677</v>
          </cell>
          <cell r="AY96">
            <v>0.72052401746724892</v>
          </cell>
          <cell r="AZ96">
            <v>0.39956331877729256</v>
          </cell>
          <cell r="BG96">
            <v>0.20960698689956331</v>
          </cell>
          <cell r="BH96">
            <v>0.36899563318777295</v>
          </cell>
          <cell r="BI96">
            <v>0.4126637554585153</v>
          </cell>
          <cell r="BJ96">
            <v>0.70960698689956336</v>
          </cell>
          <cell r="BQ96">
            <v>0.60698689956331875</v>
          </cell>
          <cell r="BR96">
            <v>0.56768558951965065</v>
          </cell>
          <cell r="BS96">
            <v>0.81004366812227069</v>
          </cell>
          <cell r="BT96">
            <v>0.60698689956331875</v>
          </cell>
          <cell r="BX96">
            <v>0.55895196506550215</v>
          </cell>
          <cell r="CJ96">
            <v>0.44978165938864628</v>
          </cell>
          <cell r="CK96">
            <v>0.12445414847161572</v>
          </cell>
        </row>
        <row r="97">
          <cell r="A97" t="str">
            <v>Curtis Lazar</v>
          </cell>
          <cell r="B97" t="str">
            <v>N.J, VAN</v>
          </cell>
          <cell r="I97">
            <v>8.7336244541484712E-2</v>
          </cell>
          <cell r="J97">
            <v>0.37772925764192139</v>
          </cell>
          <cell r="K97">
            <v>8.0786026200873357E-2</v>
          </cell>
          <cell r="L97">
            <v>0.23362445414847161</v>
          </cell>
          <cell r="S97">
            <v>0.10480349344978165</v>
          </cell>
          <cell r="T97">
            <v>3.2751091703056769E-2</v>
          </cell>
          <cell r="U97">
            <v>4.3668122270742356E-2</v>
          </cell>
          <cell r="V97">
            <v>1.7467248908296942E-2</v>
          </cell>
          <cell r="AC97">
            <v>0.55895196506550215</v>
          </cell>
          <cell r="AD97">
            <v>0.15720524017467249</v>
          </cell>
          <cell r="AE97">
            <v>0.63318777292576423</v>
          </cell>
          <cell r="AF97">
            <v>0.43013100436681223</v>
          </cell>
          <cell r="AM97">
            <v>9.8253275109170299E-2</v>
          </cell>
          <cell r="AN97">
            <v>0.44104803493449779</v>
          </cell>
          <cell r="AO97">
            <v>4.3668122270742356E-2</v>
          </cell>
          <cell r="AP97">
            <v>0.28602620087336245</v>
          </cell>
          <cell r="AW97">
            <v>0.46288209606986902</v>
          </cell>
          <cell r="AX97">
            <v>0.37336244541484714</v>
          </cell>
          <cell r="AY97">
            <v>0.9759825327510917</v>
          </cell>
          <cell r="AZ97">
            <v>0.53493449781659386</v>
          </cell>
          <cell r="BG97">
            <v>0.2205240174672489</v>
          </cell>
          <cell r="BH97">
            <v>0.16157205240174671</v>
          </cell>
          <cell r="BI97">
            <v>8.0786026200873357E-2</v>
          </cell>
          <cell r="BJ97">
            <v>0.2183406113537118</v>
          </cell>
          <cell r="BQ97">
            <v>0.18558951965065501</v>
          </cell>
          <cell r="BR97">
            <v>0.23362445414847161</v>
          </cell>
          <cell r="BS97">
            <v>0.17903930131004367</v>
          </cell>
          <cell r="BT97">
            <v>0.26855895196506552</v>
          </cell>
          <cell r="BX97">
            <v>9.606986899563319E-2</v>
          </cell>
          <cell r="CJ97">
            <v>0.27292576419213976</v>
          </cell>
          <cell r="CK97">
            <v>0.45851528384279477</v>
          </cell>
        </row>
        <row r="98">
          <cell r="A98" t="str">
            <v>Dakota Joshua</v>
          </cell>
          <cell r="B98" t="str">
            <v>VAN</v>
          </cell>
          <cell r="I98">
            <v>6.768558951965066E-2</v>
          </cell>
          <cell r="J98">
            <v>0.46724890829694321</v>
          </cell>
          <cell r="K98">
            <v>0.15283842794759825</v>
          </cell>
          <cell r="L98">
            <v>0.26637554585152839</v>
          </cell>
          <cell r="S98">
            <v>0.51528384279475981</v>
          </cell>
          <cell r="T98">
            <v>0.38427947598253276</v>
          </cell>
          <cell r="U98">
            <v>0.25545851528384278</v>
          </cell>
          <cell r="V98">
            <v>0.39956331877729256</v>
          </cell>
          <cell r="AC98">
            <v>0.46724890829694321</v>
          </cell>
          <cell r="AD98">
            <v>0.32314410480349343</v>
          </cell>
          <cell r="AE98">
            <v>0.32314410480349343</v>
          </cell>
          <cell r="AF98">
            <v>0.40174672489082969</v>
          </cell>
          <cell r="AM98">
            <v>0.18777292576419213</v>
          </cell>
          <cell r="AN98">
            <v>0.60698689956331875</v>
          </cell>
          <cell r="AO98">
            <v>0.1222707423580786</v>
          </cell>
          <cell r="AP98">
            <v>0.45196506550218341</v>
          </cell>
          <cell r="AW98">
            <v>0.43231441048034935</v>
          </cell>
          <cell r="AX98">
            <v>0.43231441048034935</v>
          </cell>
          <cell r="AY98">
            <v>0.51965065502183405</v>
          </cell>
          <cell r="AZ98">
            <v>0.46288209606986902</v>
          </cell>
          <cell r="BG98">
            <v>0.18340611353711792</v>
          </cell>
          <cell r="BH98">
            <v>0.26200873362445415</v>
          </cell>
          <cell r="BI98">
            <v>0.18777292576419213</v>
          </cell>
          <cell r="BJ98">
            <v>0.14628820960698691</v>
          </cell>
          <cell r="BQ98">
            <v>0.14192139737991266</v>
          </cell>
          <cell r="BR98">
            <v>0.37991266375545851</v>
          </cell>
          <cell r="BS98">
            <v>0.11790393013100436</v>
          </cell>
          <cell r="BT98">
            <v>0.27947598253275108</v>
          </cell>
          <cell r="BX98">
            <v>0.22489082969432314</v>
          </cell>
          <cell r="CJ98">
            <v>0.14410480349344978</v>
          </cell>
          <cell r="CK98">
            <v>0.85152838427947597</v>
          </cell>
        </row>
        <row r="99">
          <cell r="A99" t="str">
            <v>Daniel Sprong</v>
          </cell>
          <cell r="B99" t="str">
            <v>SEA</v>
          </cell>
          <cell r="I99">
            <v>0.79257641921397382</v>
          </cell>
          <cell r="J99">
            <v>0.59825327510917026</v>
          </cell>
          <cell r="K99">
            <v>0.98253275109170302</v>
          </cell>
          <cell r="L99">
            <v>0.75109170305676853</v>
          </cell>
          <cell r="S99">
            <v>0.98034934497816595</v>
          </cell>
          <cell r="T99">
            <v>0.96724890829694321</v>
          </cell>
          <cell r="U99">
            <v>0.99344978165938869</v>
          </cell>
          <cell r="V99">
            <v>0.99344978165938869</v>
          </cell>
          <cell r="AC99">
            <v>0.95851528384279472</v>
          </cell>
          <cell r="AD99">
            <v>0.79039301310043664</v>
          </cell>
          <cell r="AE99">
            <v>0.80786026200873362</v>
          </cell>
          <cell r="AF99">
            <v>0.93886462882096067</v>
          </cell>
          <cell r="AM99">
            <v>0.76855895196506552</v>
          </cell>
          <cell r="AN99">
            <v>0.83624454148471616</v>
          </cell>
          <cell r="AO99">
            <v>0.80131004366812231</v>
          </cell>
          <cell r="AP99">
            <v>0.82096069868995636</v>
          </cell>
          <cell r="AW99">
            <v>0.70960698689956336</v>
          </cell>
          <cell r="AX99">
            <v>0.42139737991266374</v>
          </cell>
          <cell r="AY99">
            <v>0.70524017467248912</v>
          </cell>
          <cell r="AZ99">
            <v>0.72052401746724892</v>
          </cell>
          <cell r="BG99">
            <v>7.6419213973799124E-2</v>
          </cell>
          <cell r="BH99">
            <v>0.95633187772925765</v>
          </cell>
          <cell r="BI99">
            <v>0.98253275109170302</v>
          </cell>
          <cell r="BJ99">
            <v>0.9759825327510917</v>
          </cell>
          <cell r="BQ99">
            <v>0.93449781659388642</v>
          </cell>
          <cell r="BR99">
            <v>0.72925764192139741</v>
          </cell>
          <cell r="BS99">
            <v>0.9759825327510917</v>
          </cell>
          <cell r="BT99">
            <v>0.91048034934497812</v>
          </cell>
          <cell r="BX99">
            <v>0.99563318777292575</v>
          </cell>
          <cell r="CJ99">
            <v>0.54366812227074235</v>
          </cell>
          <cell r="CK99">
            <v>0.23144104803493451</v>
          </cell>
        </row>
        <row r="100">
          <cell r="A100" t="str">
            <v>Danton Heinen</v>
          </cell>
          <cell r="B100" t="str">
            <v>PIT</v>
          </cell>
          <cell r="I100">
            <v>0.58951965065502188</v>
          </cell>
          <cell r="J100">
            <v>0.66375545851528384</v>
          </cell>
          <cell r="K100">
            <v>0.39519650655021832</v>
          </cell>
          <cell r="L100">
            <v>0.78384279475982532</v>
          </cell>
          <cell r="S100">
            <v>0.46724890829694321</v>
          </cell>
          <cell r="T100">
            <v>0.73580786026200873</v>
          </cell>
          <cell r="U100">
            <v>0.74235807860262004</v>
          </cell>
          <cell r="V100">
            <v>0.65938864628820959</v>
          </cell>
          <cell r="AC100">
            <v>0.5</v>
          </cell>
          <cell r="AD100">
            <v>0.59170305676855894</v>
          </cell>
          <cell r="AE100">
            <v>0.38209606986899564</v>
          </cell>
          <cell r="AF100">
            <v>0.56550218340611358</v>
          </cell>
          <cell r="AM100">
            <v>0.18122270742358079</v>
          </cell>
          <cell r="AN100">
            <v>0.22925764192139739</v>
          </cell>
          <cell r="AO100">
            <v>0.35152838427947597</v>
          </cell>
          <cell r="AP100">
            <v>0.37772925764192139</v>
          </cell>
          <cell r="AW100">
            <v>0.58296943231441045</v>
          </cell>
          <cell r="AX100">
            <v>0.67030567685589515</v>
          </cell>
          <cell r="AY100">
            <v>0.41484716157205243</v>
          </cell>
          <cell r="AZ100">
            <v>0.55240174672489084</v>
          </cell>
          <cell r="BG100">
            <v>0.13537117903930132</v>
          </cell>
          <cell r="BH100">
            <v>0.15720524017467249</v>
          </cell>
          <cell r="BI100">
            <v>0.2816593886462882</v>
          </cell>
          <cell r="BJ100">
            <v>0.20524017467248909</v>
          </cell>
          <cell r="BQ100">
            <v>0.56113537117903933</v>
          </cell>
          <cell r="BR100">
            <v>0.65938864628820959</v>
          </cell>
          <cell r="BS100">
            <v>0.35152838427947597</v>
          </cell>
          <cell r="BT100">
            <v>0.75545851528384278</v>
          </cell>
          <cell r="BX100">
            <v>0.57860262008733621</v>
          </cell>
          <cell r="CJ100">
            <v>0.66593886462882101</v>
          </cell>
          <cell r="CK100">
            <v>7.2052401746724892E-2</v>
          </cell>
        </row>
        <row r="101">
          <cell r="A101" t="str">
            <v>David Gustafsson</v>
          </cell>
          <cell r="B101" t="str">
            <v>WPG</v>
          </cell>
          <cell r="I101">
            <v>0.23799126637554585</v>
          </cell>
          <cell r="J101">
            <v>9.3886462882096067E-2</v>
          </cell>
          <cell r="K101">
            <v>0.18558951965065501</v>
          </cell>
          <cell r="L101">
            <v>0.1943231441048035</v>
          </cell>
          <cell r="S101">
            <v>2.1834061135371178E-3</v>
          </cell>
          <cell r="T101">
            <v>0.34716157205240172</v>
          </cell>
          <cell r="U101">
            <v>0.60043668122270744</v>
          </cell>
          <cell r="V101">
            <v>4.5851528384279479E-2</v>
          </cell>
          <cell r="AC101">
            <v>0.57641921397379914</v>
          </cell>
          <cell r="AD101">
            <v>0.80131004366812231</v>
          </cell>
          <cell r="AE101">
            <v>0.89082969432314407</v>
          </cell>
          <cell r="AF101">
            <v>0.69213973799126638</v>
          </cell>
          <cell r="AM101">
            <v>0.20524017467248909</v>
          </cell>
          <cell r="AN101">
            <v>5.0218340611353711E-2</v>
          </cell>
          <cell r="AO101">
            <v>0.2423580786026201</v>
          </cell>
          <cell r="AP101">
            <v>0.15502183406113537</v>
          </cell>
          <cell r="AW101">
            <v>0.62882096069868998</v>
          </cell>
          <cell r="AX101">
            <v>0.79475982532751088</v>
          </cell>
          <cell r="AY101">
            <v>0.77947598253275108</v>
          </cell>
          <cell r="AZ101">
            <v>0.70960698689956336</v>
          </cell>
          <cell r="BG101">
            <v>1.7467248908296942E-2</v>
          </cell>
          <cell r="BH101">
            <v>0.20742358078602621</v>
          </cell>
          <cell r="BI101">
            <v>0.2183406113537118</v>
          </cell>
          <cell r="BJ101">
            <v>0.61790393013100442</v>
          </cell>
          <cell r="BQ101">
            <v>0.35371179039301309</v>
          </cell>
          <cell r="BR101">
            <v>0.27510917030567683</v>
          </cell>
          <cell r="BS101">
            <v>0.48471615720524019</v>
          </cell>
          <cell r="BT101">
            <v>0.3296943231441048</v>
          </cell>
          <cell r="BX101">
            <v>0.20087336244541484</v>
          </cell>
          <cell r="CJ101">
            <v>0.8733624454148472</v>
          </cell>
          <cell r="CK101">
            <v>0.42358078602620086</v>
          </cell>
        </row>
        <row r="102">
          <cell r="A102" t="str">
            <v>David Kampf</v>
          </cell>
          <cell r="B102" t="str">
            <v>TOR</v>
          </cell>
          <cell r="I102">
            <v>0.26200873362445415</v>
          </cell>
          <cell r="J102">
            <v>0.44541484716157204</v>
          </cell>
          <cell r="K102">
            <v>0.33624454148471616</v>
          </cell>
          <cell r="L102">
            <v>0.31659388646288211</v>
          </cell>
          <cell r="S102">
            <v>0.18340611353711792</v>
          </cell>
          <cell r="T102">
            <v>0.54148471615720528</v>
          </cell>
          <cell r="U102">
            <v>0.32751091703056767</v>
          </cell>
          <cell r="V102">
            <v>0.32096069868995636</v>
          </cell>
          <cell r="AC102">
            <v>0.62227074235807855</v>
          </cell>
          <cell r="AD102">
            <v>0.42139737991266374</v>
          </cell>
          <cell r="AE102">
            <v>0.6506550218340611</v>
          </cell>
          <cell r="AF102">
            <v>0.62008733624454149</v>
          </cell>
          <cell r="AM102">
            <v>8.7336244541484712E-2</v>
          </cell>
          <cell r="AN102">
            <v>6.1135371179039298E-2</v>
          </cell>
          <cell r="AO102">
            <v>0.18558951965065501</v>
          </cell>
          <cell r="AP102">
            <v>7.4235807860262015E-2</v>
          </cell>
          <cell r="AW102">
            <v>0.40829694323144106</v>
          </cell>
          <cell r="AX102">
            <v>0.30349344978165937</v>
          </cell>
          <cell r="AY102">
            <v>0.37991266375545851</v>
          </cell>
          <cell r="AZ102">
            <v>0.48034934497816595</v>
          </cell>
          <cell r="BG102">
            <v>0.49344978165938863</v>
          </cell>
          <cell r="BH102">
            <v>2.4017467248908297E-2</v>
          </cell>
          <cell r="BI102">
            <v>0.34934497816593885</v>
          </cell>
          <cell r="BJ102">
            <v>0.49126637554585151</v>
          </cell>
          <cell r="BQ102">
            <v>0.39082969432314413</v>
          </cell>
          <cell r="BR102">
            <v>0.39737991266375544</v>
          </cell>
          <cell r="BS102">
            <v>0.47379912663755458</v>
          </cell>
          <cell r="BT102">
            <v>0.40174672489082969</v>
          </cell>
          <cell r="BX102">
            <v>0.22707423580786026</v>
          </cell>
          <cell r="CJ102">
            <v>0.91921397379912662</v>
          </cell>
          <cell r="CK102">
            <v>0.20305676855895197</v>
          </cell>
        </row>
        <row r="103">
          <cell r="A103" t="str">
            <v>David Krejci</v>
          </cell>
          <cell r="B103" t="str">
            <v>BOS</v>
          </cell>
          <cell r="I103">
            <v>0.47816593886462883</v>
          </cell>
          <cell r="J103">
            <v>0.34497816593886466</v>
          </cell>
          <cell r="K103">
            <v>0.9606986899563319</v>
          </cell>
          <cell r="L103">
            <v>0.4126637554585153</v>
          </cell>
          <cell r="S103">
            <v>0.63318777292576423</v>
          </cell>
          <cell r="T103">
            <v>0.98689956331877726</v>
          </cell>
          <cell r="U103">
            <v>0.98471615720524019</v>
          </cell>
          <cell r="V103">
            <v>0.94541484716157209</v>
          </cell>
          <cell r="AC103">
            <v>0.27729257641921395</v>
          </cell>
          <cell r="AD103">
            <v>0.24890829694323144</v>
          </cell>
          <cell r="AE103">
            <v>0.73799126637554591</v>
          </cell>
          <cell r="AF103">
            <v>0.26200873362445415</v>
          </cell>
          <cell r="AM103">
            <v>0.2576419213973799</v>
          </cell>
          <cell r="AN103">
            <v>8.0786026200873357E-2</v>
          </cell>
          <cell r="AO103">
            <v>0.92139737991266379</v>
          </cell>
          <cell r="AP103">
            <v>0.21179039301310043</v>
          </cell>
          <cell r="AW103">
            <v>6.1135371179039298E-2</v>
          </cell>
          <cell r="AX103">
            <v>3.0567685589519649E-2</v>
          </cell>
          <cell r="AY103">
            <v>0.12008733624454149</v>
          </cell>
          <cell r="AZ103">
            <v>2.1834061135371178E-2</v>
          </cell>
          <cell r="BG103">
            <v>0.77292576419213976</v>
          </cell>
          <cell r="BH103">
            <v>0.83406113537117899</v>
          </cell>
          <cell r="BI103">
            <v>0.9759825327510917</v>
          </cell>
          <cell r="BJ103">
            <v>0.98689956331877726</v>
          </cell>
          <cell r="BQ103">
            <v>0.36244541484716158</v>
          </cell>
          <cell r="BR103">
            <v>0.2576419213973799</v>
          </cell>
          <cell r="BS103">
            <v>0.95414847161572047</v>
          </cell>
          <cell r="BT103">
            <v>0.3296943231441048</v>
          </cell>
          <cell r="BX103">
            <v>0.30786026200873362</v>
          </cell>
          <cell r="CJ103">
            <v>0.71834061135371174</v>
          </cell>
          <cell r="CK103">
            <v>0.27729257641921395</v>
          </cell>
        </row>
        <row r="104">
          <cell r="A104" t="str">
            <v>David Pastrnak</v>
          </cell>
          <cell r="B104" t="str">
            <v>BOS</v>
          </cell>
          <cell r="I104">
            <v>0.75109170305676853</v>
          </cell>
          <cell r="J104">
            <v>0.72925764192139741</v>
          </cell>
          <cell r="K104">
            <v>0.95633187772925765</v>
          </cell>
          <cell r="L104">
            <v>0.76855895196506552</v>
          </cell>
          <cell r="S104">
            <v>0.99781659388646293</v>
          </cell>
          <cell r="T104">
            <v>0.86026200873362446</v>
          </cell>
          <cell r="U104">
            <v>0.69650655021834063</v>
          </cell>
          <cell r="V104">
            <v>0.98908296943231444</v>
          </cell>
          <cell r="AC104">
            <v>0.64192139737991272</v>
          </cell>
          <cell r="AD104">
            <v>0.46724890829694321</v>
          </cell>
          <cell r="AE104">
            <v>0.79475982532751088</v>
          </cell>
          <cell r="AF104">
            <v>0.51310043668122274</v>
          </cell>
          <cell r="AM104">
            <v>0.68340611353711789</v>
          </cell>
          <cell r="AN104">
            <v>0.60698689956331875</v>
          </cell>
          <cell r="AO104">
            <v>0.87117903930131002</v>
          </cell>
          <cell r="AP104">
            <v>0.69650655021834063</v>
          </cell>
          <cell r="AW104">
            <v>0.48908296943231439</v>
          </cell>
          <cell r="AX104">
            <v>0.18558951965065501</v>
          </cell>
          <cell r="AY104">
            <v>0.18995633187772926</v>
          </cell>
          <cell r="AZ104">
            <v>0.1965065502183406</v>
          </cell>
          <cell r="BG104">
            <v>0.92139737991266379</v>
          </cell>
          <cell r="BH104">
            <v>0.9366812227074236</v>
          </cell>
          <cell r="BI104">
            <v>0.90393013100436681</v>
          </cell>
          <cell r="BJ104">
            <v>0.95196506550218341</v>
          </cell>
          <cell r="BQ104">
            <v>0.75109170305676853</v>
          </cell>
          <cell r="BR104">
            <v>0.65720524017467252</v>
          </cell>
          <cell r="BS104">
            <v>0.96506550218340614</v>
          </cell>
          <cell r="BT104">
            <v>0.72925764192139741</v>
          </cell>
          <cell r="BX104">
            <v>0.86026200873362446</v>
          </cell>
          <cell r="CJ104">
            <v>0.6026200873362445</v>
          </cell>
          <cell r="CK104">
            <v>0.68340611353711789</v>
          </cell>
        </row>
        <row r="105">
          <cell r="A105" t="str">
            <v>David Perron</v>
          </cell>
          <cell r="B105" t="str">
            <v>DET</v>
          </cell>
          <cell r="I105">
            <v>0.55895196506550215</v>
          </cell>
          <cell r="J105">
            <v>0.38646288209606988</v>
          </cell>
          <cell r="K105">
            <v>0.71397379912663761</v>
          </cell>
          <cell r="L105">
            <v>0.49344978165938863</v>
          </cell>
          <cell r="S105">
            <v>0.73580786026200873</v>
          </cell>
          <cell r="T105">
            <v>0.31877729257641924</v>
          </cell>
          <cell r="U105">
            <v>0.61790393013100442</v>
          </cell>
          <cell r="V105">
            <v>0.50873362445414849</v>
          </cell>
          <cell r="AC105">
            <v>0.53493449781659386</v>
          </cell>
          <cell r="AD105">
            <v>0.37336244541484714</v>
          </cell>
          <cell r="AE105">
            <v>0.16812227074235808</v>
          </cell>
          <cell r="AF105">
            <v>0.49563318777292575</v>
          </cell>
          <cell r="AM105">
            <v>0.92358078602620086</v>
          </cell>
          <cell r="AN105">
            <v>0.82096069868995636</v>
          </cell>
          <cell r="AO105">
            <v>0.88646288209606983</v>
          </cell>
          <cell r="AP105">
            <v>0.89519650655021832</v>
          </cell>
          <cell r="AW105">
            <v>0.56113537117903933</v>
          </cell>
          <cell r="AX105">
            <v>0.4366812227074236</v>
          </cell>
          <cell r="AY105">
            <v>0.17467248908296942</v>
          </cell>
          <cell r="AZ105">
            <v>0.39956331877729256</v>
          </cell>
          <cell r="BG105">
            <v>0.58951965065502188</v>
          </cell>
          <cell r="BH105">
            <v>0.41921397379912662</v>
          </cell>
          <cell r="BI105">
            <v>0.74235807860262004</v>
          </cell>
          <cell r="BJ105">
            <v>0.34061135371179041</v>
          </cell>
          <cell r="BQ105">
            <v>0.5393013100436681</v>
          </cell>
          <cell r="BR105">
            <v>0.35152838427947597</v>
          </cell>
          <cell r="BS105">
            <v>0.40829694323144106</v>
          </cell>
          <cell r="BT105">
            <v>0.49563318777292575</v>
          </cell>
          <cell r="BX105">
            <v>0.71397379912663761</v>
          </cell>
          <cell r="CJ105">
            <v>0.19868995633187772</v>
          </cell>
          <cell r="CK105">
            <v>0.86681222707423577</v>
          </cell>
        </row>
        <row r="106">
          <cell r="A106" t="str">
            <v>Dawson Mercer</v>
          </cell>
          <cell r="B106" t="str">
            <v>N.J</v>
          </cell>
          <cell r="I106">
            <v>0.6506550218340611</v>
          </cell>
          <cell r="J106">
            <v>0.77074235807860259</v>
          </cell>
          <cell r="K106">
            <v>0.77510917030567683</v>
          </cell>
          <cell r="L106">
            <v>0.82969432314410485</v>
          </cell>
          <cell r="S106">
            <v>0.85807860262008728</v>
          </cell>
          <cell r="T106">
            <v>0.51528384279475981</v>
          </cell>
          <cell r="U106">
            <v>0.64847161572052403</v>
          </cell>
          <cell r="V106">
            <v>0.77510917030567683</v>
          </cell>
          <cell r="AC106">
            <v>0.70305676855895194</v>
          </cell>
          <cell r="AD106">
            <v>0.94759825327510916</v>
          </cell>
          <cell r="AE106">
            <v>0.63318777292576423</v>
          </cell>
          <cell r="AF106">
            <v>0.78602620087336239</v>
          </cell>
          <cell r="AM106">
            <v>0.17467248908296942</v>
          </cell>
          <cell r="AN106">
            <v>0.24017467248908297</v>
          </cell>
          <cell r="AO106">
            <v>0.59388646288209612</v>
          </cell>
          <cell r="AP106">
            <v>0.34061135371179041</v>
          </cell>
          <cell r="AW106">
            <v>0.40393013100436681</v>
          </cell>
          <cell r="AX106">
            <v>0.73362445414847166</v>
          </cell>
          <cell r="AY106">
            <v>0.46724890829694321</v>
          </cell>
          <cell r="AZ106">
            <v>0.55240174672489084</v>
          </cell>
          <cell r="BG106">
            <v>0.73144104803493448</v>
          </cell>
          <cell r="BH106">
            <v>0.50655021834061131</v>
          </cell>
          <cell r="BI106">
            <v>0.69868995633187769</v>
          </cell>
          <cell r="BJ106">
            <v>0.64628820960698685</v>
          </cell>
          <cell r="BQ106">
            <v>0.70305676855895194</v>
          </cell>
          <cell r="BR106">
            <v>0.92576419213973804</v>
          </cell>
          <cell r="BS106">
            <v>0.79912663755458513</v>
          </cell>
          <cell r="BT106">
            <v>0.888646288209607</v>
          </cell>
          <cell r="BX106">
            <v>0.71615720524017468</v>
          </cell>
          <cell r="CJ106">
            <v>0.89519650655021832</v>
          </cell>
          <cell r="CK106">
            <v>4.3668122270742356E-2</v>
          </cell>
        </row>
        <row r="107">
          <cell r="A107" t="str">
            <v>Denis Gurianov</v>
          </cell>
          <cell r="B107" t="str">
            <v>DAL, MTL</v>
          </cell>
          <cell r="I107">
            <v>0.23799126637554585</v>
          </cell>
          <cell r="J107">
            <v>0.10043668122270742</v>
          </cell>
          <cell r="K107">
            <v>0.15938864628820962</v>
          </cell>
          <cell r="L107">
            <v>8.5152838427947602E-2</v>
          </cell>
          <cell r="S107">
            <v>0.24454148471615719</v>
          </cell>
          <cell r="T107">
            <v>0.18777292576419213</v>
          </cell>
          <cell r="U107">
            <v>0.51091703056768556</v>
          </cell>
          <cell r="V107">
            <v>0.13755458515283842</v>
          </cell>
          <cell r="AC107">
            <v>0.11790393013100436</v>
          </cell>
          <cell r="AD107">
            <v>0.29039301310043669</v>
          </cell>
          <cell r="AE107">
            <v>0.51965065502183405</v>
          </cell>
          <cell r="AF107">
            <v>0.20087336244541484</v>
          </cell>
          <cell r="AM107">
            <v>0.30131004366812225</v>
          </cell>
          <cell r="AN107">
            <v>0.1331877729257642</v>
          </cell>
          <cell r="AO107">
            <v>0.10262008733624454</v>
          </cell>
          <cell r="AP107">
            <v>9.606986899563319E-2</v>
          </cell>
          <cell r="AW107">
            <v>0.12008733624454149</v>
          </cell>
          <cell r="AX107">
            <v>0.37991266375545851</v>
          </cell>
          <cell r="AY107">
            <v>0.53275109170305679</v>
          </cell>
          <cell r="AZ107">
            <v>0.18995633187772926</v>
          </cell>
          <cell r="BG107">
            <v>0.40393013100436681</v>
          </cell>
          <cell r="BH107">
            <v>0.33406113537117904</v>
          </cell>
          <cell r="BI107">
            <v>0.18122270742358079</v>
          </cell>
          <cell r="BJ107">
            <v>0.388646288209607</v>
          </cell>
          <cell r="BQ107">
            <v>0.13973799126637554</v>
          </cell>
          <cell r="BR107">
            <v>0.11572052401746726</v>
          </cell>
          <cell r="BS107">
            <v>0.1943231441048035</v>
          </cell>
          <cell r="BT107">
            <v>7.8602620087336247E-2</v>
          </cell>
          <cell r="BX107">
            <v>3.0567685589519649E-2</v>
          </cell>
          <cell r="CJ107">
            <v>0.83842794759825323</v>
          </cell>
          <cell r="CK107">
            <v>0.14847161572052403</v>
          </cell>
        </row>
        <row r="108">
          <cell r="A108" t="str">
            <v>Denis Malgin</v>
          </cell>
          <cell r="B108" t="str">
            <v>COL, TOR</v>
          </cell>
          <cell r="I108">
            <v>0.75982532751091703</v>
          </cell>
          <cell r="J108">
            <v>0.48908296943231439</v>
          </cell>
          <cell r="K108">
            <v>0.36244541484716158</v>
          </cell>
          <cell r="L108">
            <v>0.66375545851528384</v>
          </cell>
          <cell r="S108">
            <v>0.91048034934497812</v>
          </cell>
          <cell r="T108">
            <v>0.20524017467248909</v>
          </cell>
          <cell r="U108">
            <v>0.36244541484716158</v>
          </cell>
          <cell r="V108">
            <v>0.62227074235807855</v>
          </cell>
          <cell r="AC108">
            <v>0.89082969432314407</v>
          </cell>
          <cell r="AD108">
            <v>0.60480349344978168</v>
          </cell>
          <cell r="AE108">
            <v>0.82969432314410485</v>
          </cell>
          <cell r="AF108">
            <v>0.83842794759825323</v>
          </cell>
          <cell r="AM108">
            <v>0.65283842794759828</v>
          </cell>
          <cell r="AN108">
            <v>0.36244541484716158</v>
          </cell>
          <cell r="AO108">
            <v>0.16157205240174671</v>
          </cell>
          <cell r="AP108">
            <v>0.5240174672489083</v>
          </cell>
          <cell r="AW108">
            <v>0.82751091703056767</v>
          </cell>
          <cell r="AX108">
            <v>0.51746724890829698</v>
          </cell>
          <cell r="AY108">
            <v>0.73799126637554591</v>
          </cell>
          <cell r="AZ108">
            <v>0.63100436681222705</v>
          </cell>
          <cell r="BG108">
            <v>0.1703056768558952</v>
          </cell>
          <cell r="BH108">
            <v>0.43886462882096072</v>
          </cell>
          <cell r="BI108">
            <v>0.16812227074235808</v>
          </cell>
          <cell r="BJ108">
            <v>0.388646288209607</v>
          </cell>
          <cell r="BQ108">
            <v>0.88209606986899558</v>
          </cell>
          <cell r="BR108">
            <v>0.51746724890829698</v>
          </cell>
          <cell r="BS108">
            <v>0.64192139737991272</v>
          </cell>
          <cell r="BT108">
            <v>0.81877729257641918</v>
          </cell>
          <cell r="BX108">
            <v>0.86899563318777295</v>
          </cell>
          <cell r="CJ108">
            <v>0.85807860262008728</v>
          </cell>
          <cell r="CK108">
            <v>0.37336244541484714</v>
          </cell>
        </row>
        <row r="109">
          <cell r="A109" t="str">
            <v>Derek Grant</v>
          </cell>
          <cell r="B109" t="str">
            <v>ANA</v>
          </cell>
          <cell r="I109">
            <v>7.8602620087336247E-2</v>
          </cell>
          <cell r="J109">
            <v>0.2183406113537118</v>
          </cell>
          <cell r="K109">
            <v>0.33842794759825329</v>
          </cell>
          <cell r="L109">
            <v>0.21179039301310043</v>
          </cell>
          <cell r="S109">
            <v>0.10480349344978165</v>
          </cell>
          <cell r="T109">
            <v>0.81222707423580787</v>
          </cell>
          <cell r="U109">
            <v>0.8253275109170306</v>
          </cell>
          <cell r="V109">
            <v>0.52838427947598254</v>
          </cell>
          <cell r="AC109">
            <v>1.0917030567685589E-2</v>
          </cell>
          <cell r="AD109">
            <v>3.9301310043668124E-2</v>
          </cell>
          <cell r="AE109">
            <v>0.32096069868995636</v>
          </cell>
          <cell r="AF109">
            <v>2.4017467248908297E-2</v>
          </cell>
          <cell r="AM109">
            <v>0.50218340611353707</v>
          </cell>
          <cell r="AN109">
            <v>0.6746724890829694</v>
          </cell>
          <cell r="AO109">
            <v>0.48471615720524019</v>
          </cell>
          <cell r="AP109">
            <v>0.61572052401746724</v>
          </cell>
          <cell r="AW109">
            <v>0.16812227074235808</v>
          </cell>
          <cell r="AX109">
            <v>0.53056768558951961</v>
          </cell>
          <cell r="AY109">
            <v>0.85152838427947597</v>
          </cell>
          <cell r="AZ109">
            <v>0.30786026200873362</v>
          </cell>
          <cell r="BG109">
            <v>0.30131004366812225</v>
          </cell>
          <cell r="BH109">
            <v>1.3100436681222707E-2</v>
          </cell>
          <cell r="BI109">
            <v>0.59388646288209612</v>
          </cell>
          <cell r="BJ109">
            <v>0.78820960698689957</v>
          </cell>
          <cell r="BQ109">
            <v>1.5283842794759825E-2</v>
          </cell>
          <cell r="BR109">
            <v>6.5502183406113537E-2</v>
          </cell>
          <cell r="BS109">
            <v>0.26855895196506552</v>
          </cell>
          <cell r="BT109">
            <v>4.5851528384279479E-2</v>
          </cell>
          <cell r="BX109">
            <v>0.12663755458515283</v>
          </cell>
          <cell r="CJ109">
            <v>0.33624454148471616</v>
          </cell>
          <cell r="CK109">
            <v>0.24017467248908297</v>
          </cell>
        </row>
        <row r="110">
          <cell r="A110" t="str">
            <v>Derek Ryan</v>
          </cell>
          <cell r="B110" t="str">
            <v>EDM</v>
          </cell>
          <cell r="I110">
            <v>0.38209606986899564</v>
          </cell>
          <cell r="J110">
            <v>0.70305676855895194</v>
          </cell>
          <cell r="K110">
            <v>0.43231441048034935</v>
          </cell>
          <cell r="L110">
            <v>0.65283842794759828</v>
          </cell>
          <cell r="S110">
            <v>0.72489082969432317</v>
          </cell>
          <cell r="T110">
            <v>9.1703056768558958E-2</v>
          </cell>
          <cell r="U110">
            <v>0.11572052401746726</v>
          </cell>
          <cell r="V110">
            <v>0.27510917030567683</v>
          </cell>
          <cell r="AC110">
            <v>0.888646288209607</v>
          </cell>
          <cell r="AD110">
            <v>0.99126637554585151</v>
          </cell>
          <cell r="AE110">
            <v>0.89956331877729256</v>
          </cell>
          <cell r="AF110">
            <v>0.96506550218340614</v>
          </cell>
          <cell r="AM110">
            <v>0.26419213973799127</v>
          </cell>
          <cell r="AN110">
            <v>0.36899563318777295</v>
          </cell>
          <cell r="AO110">
            <v>0.24672489082969432</v>
          </cell>
          <cell r="AP110">
            <v>0.36244541484716158</v>
          </cell>
          <cell r="AW110">
            <v>0.89082969432314407</v>
          </cell>
          <cell r="AX110">
            <v>0.96943231441048039</v>
          </cell>
          <cell r="AY110">
            <v>0.92576419213973804</v>
          </cell>
          <cell r="AZ110">
            <v>0.96943231441048039</v>
          </cell>
          <cell r="BG110">
            <v>0.11135371179039301</v>
          </cell>
          <cell r="BH110">
            <v>0.26419213973799127</v>
          </cell>
          <cell r="BI110">
            <v>0.48253275109170307</v>
          </cell>
          <cell r="BJ110">
            <v>0.78820960698689957</v>
          </cell>
          <cell r="BQ110">
            <v>0.6506550218340611</v>
          </cell>
          <cell r="BR110">
            <v>0.94323144104803491</v>
          </cell>
          <cell r="BS110">
            <v>0.78820960698689957</v>
          </cell>
          <cell r="BT110">
            <v>0.90829694323144106</v>
          </cell>
          <cell r="BX110">
            <v>0.75327510917030571</v>
          </cell>
          <cell r="CJ110">
            <v>0.39519650655021832</v>
          </cell>
          <cell r="CK110">
            <v>0.2576419213973799</v>
          </cell>
        </row>
        <row r="111">
          <cell r="A111" t="str">
            <v>Derek Stepan</v>
          </cell>
          <cell r="B111" t="str">
            <v>CAR</v>
          </cell>
          <cell r="I111">
            <v>0.99781659388646293</v>
          </cell>
          <cell r="J111">
            <v>0.88646288209606983</v>
          </cell>
          <cell r="K111">
            <v>0.30349344978165937</v>
          </cell>
          <cell r="L111">
            <v>0.96943231441048039</v>
          </cell>
          <cell r="S111">
            <v>0.26419213973799127</v>
          </cell>
          <cell r="T111">
            <v>0.10480349344978165</v>
          </cell>
          <cell r="U111">
            <v>0.29475982532751094</v>
          </cell>
          <cell r="V111">
            <v>9.1703056768558958E-2</v>
          </cell>
          <cell r="AC111">
            <v>0.99563318777292575</v>
          </cell>
          <cell r="AD111">
            <v>0.98253275109170302</v>
          </cell>
          <cell r="AE111">
            <v>0.97161572052401746</v>
          </cell>
          <cell r="AF111">
            <v>0.99344978165938869</v>
          </cell>
          <cell r="AM111">
            <v>0.95851528384279472</v>
          </cell>
          <cell r="AN111">
            <v>0.65283842794759828</v>
          </cell>
          <cell r="AO111">
            <v>0.31004366812227074</v>
          </cell>
          <cell r="AP111">
            <v>0.83842794759825323</v>
          </cell>
          <cell r="AW111">
            <v>0.86462882096069871</v>
          </cell>
          <cell r="AX111">
            <v>0.77074235807860259</v>
          </cell>
          <cell r="AY111">
            <v>0.88646288209606983</v>
          </cell>
          <cell r="AZ111">
            <v>0.84279475982532748</v>
          </cell>
          <cell r="BG111">
            <v>1.5283842794759825E-2</v>
          </cell>
          <cell r="BH111">
            <v>0.89519650655021832</v>
          </cell>
          <cell r="BI111">
            <v>6.1135371179039298E-2</v>
          </cell>
          <cell r="BJ111">
            <v>0.35807860262008734</v>
          </cell>
          <cell r="BQ111">
            <v>0.99781659388646293</v>
          </cell>
          <cell r="BR111">
            <v>0.98908296943231444</v>
          </cell>
          <cell r="BS111">
            <v>0.87772925764192145</v>
          </cell>
          <cell r="BT111">
            <v>0.99781659388646293</v>
          </cell>
          <cell r="BX111">
            <v>0.93886462882096067</v>
          </cell>
          <cell r="CJ111">
            <v>0.83187772925764192</v>
          </cell>
          <cell r="CK111">
            <v>0.16812227074235808</v>
          </cell>
        </row>
        <row r="112">
          <cell r="A112" t="str">
            <v>Derick Brassard</v>
          </cell>
          <cell r="B112" t="str">
            <v>OTT</v>
          </cell>
          <cell r="I112">
            <v>0.59388646288209612</v>
          </cell>
          <cell r="J112">
            <v>0.52620087336244536</v>
          </cell>
          <cell r="K112">
            <v>0.40393013100436681</v>
          </cell>
          <cell r="L112">
            <v>0.50436681222707425</v>
          </cell>
          <cell r="S112">
            <v>0.64847161572052403</v>
          </cell>
          <cell r="T112">
            <v>0.10480349344978165</v>
          </cell>
          <cell r="U112">
            <v>0.27947598253275108</v>
          </cell>
          <cell r="V112">
            <v>0.24454148471615719</v>
          </cell>
          <cell r="AC112">
            <v>0.66157205240174677</v>
          </cell>
          <cell r="AD112">
            <v>0.4606986899563319</v>
          </cell>
          <cell r="AE112">
            <v>0.89956331877729256</v>
          </cell>
          <cell r="AF112">
            <v>0.40174672489082969</v>
          </cell>
          <cell r="AM112">
            <v>0.23580786026200873</v>
          </cell>
          <cell r="AN112">
            <v>0.38427947598253276</v>
          </cell>
          <cell r="AO112">
            <v>0.51310043668122274</v>
          </cell>
          <cell r="AP112">
            <v>0.31659388646288211</v>
          </cell>
          <cell r="AW112">
            <v>0.72270742358078599</v>
          </cell>
          <cell r="AX112">
            <v>0.53056768558951961</v>
          </cell>
          <cell r="AY112">
            <v>0.98471615720524019</v>
          </cell>
          <cell r="AZ112">
            <v>0.48034934497816595</v>
          </cell>
          <cell r="BG112">
            <v>0.1331877729257642</v>
          </cell>
          <cell r="BH112">
            <v>0.20305676855895197</v>
          </cell>
          <cell r="BI112">
            <v>0.33406113537117904</v>
          </cell>
          <cell r="BJ112">
            <v>0.74672489082969429</v>
          </cell>
          <cell r="BQ112">
            <v>0.64192139737991272</v>
          </cell>
          <cell r="BR112">
            <v>0.4759825327510917</v>
          </cell>
          <cell r="BS112">
            <v>0.77729257641921401</v>
          </cell>
          <cell r="BT112">
            <v>0.45414847161572053</v>
          </cell>
          <cell r="BX112">
            <v>0.42139737991266374</v>
          </cell>
          <cell r="CJ112">
            <v>0.2205240174672489</v>
          </cell>
          <cell r="CK112">
            <v>0.42358078602620086</v>
          </cell>
        </row>
        <row r="113">
          <cell r="A113" t="str">
            <v>Devin Shore</v>
          </cell>
          <cell r="B113" t="str">
            <v>EDM</v>
          </cell>
          <cell r="I113">
            <v>0.27729257641921395</v>
          </cell>
          <cell r="J113">
            <v>0.53711790393013104</v>
          </cell>
          <cell r="K113">
            <v>0.20960698689956331</v>
          </cell>
          <cell r="L113">
            <v>0.48689956331877732</v>
          </cell>
          <cell r="S113">
            <v>2.6200873362445413E-2</v>
          </cell>
          <cell r="T113">
            <v>0.72052401746724892</v>
          </cell>
          <cell r="U113">
            <v>0.86244541484716153</v>
          </cell>
          <cell r="V113">
            <v>0.28602620087336245</v>
          </cell>
          <cell r="AC113">
            <v>0.50873362445414849</v>
          </cell>
          <cell r="AD113">
            <v>0.63100436681222705</v>
          </cell>
          <cell r="AE113">
            <v>1</v>
          </cell>
          <cell r="AF113">
            <v>0.40174672489082969</v>
          </cell>
          <cell r="AM113">
            <v>0.10698689956331878</v>
          </cell>
          <cell r="AN113">
            <v>0.12882096069868995</v>
          </cell>
          <cell r="AO113">
            <v>5.8951965065502182E-2</v>
          </cell>
          <cell r="AP113">
            <v>0.21179039301310043</v>
          </cell>
          <cell r="AW113">
            <v>0.45414847161572053</v>
          </cell>
          <cell r="AX113">
            <v>0.36026200873362446</v>
          </cell>
          <cell r="AY113">
            <v>1</v>
          </cell>
          <cell r="AZ113">
            <v>0.34061135371179041</v>
          </cell>
          <cell r="BG113">
            <v>2.1834061135371178E-2</v>
          </cell>
          <cell r="BH113">
            <v>0.6026200873362445</v>
          </cell>
          <cell r="BI113">
            <v>0.21397379912663755</v>
          </cell>
          <cell r="BJ113">
            <v>0.93449781659388642</v>
          </cell>
          <cell r="BQ113">
            <v>0.34279475982532753</v>
          </cell>
          <cell r="BR113">
            <v>0.58296943231441045</v>
          </cell>
          <cell r="BS113">
            <v>0.97161572052401746</v>
          </cell>
          <cell r="BT113">
            <v>0.42576419213973798</v>
          </cell>
          <cell r="BX113">
            <v>0.23362445414847161</v>
          </cell>
          <cell r="CJ113">
            <v>0.88209606986899558</v>
          </cell>
          <cell r="CK113">
            <v>0.51528384279475981</v>
          </cell>
        </row>
        <row r="114">
          <cell r="A114" t="str">
            <v>Dillon Dube</v>
          </cell>
          <cell r="B114" t="str">
            <v>CGY</v>
          </cell>
          <cell r="I114">
            <v>0.85152838427947597</v>
          </cell>
          <cell r="J114">
            <v>0.31877729257641924</v>
          </cell>
          <cell r="K114">
            <v>0.79912663755458513</v>
          </cell>
          <cell r="L114">
            <v>0.66375545851528384</v>
          </cell>
          <cell r="S114">
            <v>0.64847161572052403</v>
          </cell>
          <cell r="T114">
            <v>0.88646288209606983</v>
          </cell>
          <cell r="U114">
            <v>0.70305676855895194</v>
          </cell>
          <cell r="V114">
            <v>0.85152838427947597</v>
          </cell>
          <cell r="AC114">
            <v>0.69432314410480345</v>
          </cell>
          <cell r="AD114">
            <v>0.38209606986899564</v>
          </cell>
          <cell r="AE114">
            <v>9.8253275109170299E-2</v>
          </cell>
          <cell r="AF114">
            <v>0.34934497816593885</v>
          </cell>
          <cell r="AM114">
            <v>0.35371179039301309</v>
          </cell>
          <cell r="AN114">
            <v>0.15283842794759825</v>
          </cell>
          <cell r="AO114">
            <v>0.70960698689956336</v>
          </cell>
          <cell r="AP114">
            <v>0.26200873362445415</v>
          </cell>
          <cell r="AW114">
            <v>0.13537117903930132</v>
          </cell>
          <cell r="AX114">
            <v>5.8951965065502182E-2</v>
          </cell>
          <cell r="AY114">
            <v>2.8384279475982533E-2</v>
          </cell>
          <cell r="AZ114">
            <v>6.1135371179039298E-2</v>
          </cell>
          <cell r="BG114">
            <v>0.48253275109170307</v>
          </cell>
          <cell r="BH114">
            <v>0.77510917030567683</v>
          </cell>
          <cell r="BI114">
            <v>0.70742358078602618</v>
          </cell>
          <cell r="BJ114">
            <v>0.15938864628820962</v>
          </cell>
          <cell r="BQ114">
            <v>0.85371179039301315</v>
          </cell>
          <cell r="BR114">
            <v>0.29912663755458513</v>
          </cell>
          <cell r="BS114">
            <v>0.4126637554585153</v>
          </cell>
          <cell r="BT114">
            <v>0.52620087336244536</v>
          </cell>
          <cell r="BX114">
            <v>0.56550218340611358</v>
          </cell>
          <cell r="CJ114">
            <v>0.27947598253275108</v>
          </cell>
          <cell r="CK114">
            <v>0.64192139737991272</v>
          </cell>
        </row>
        <row r="115">
          <cell r="A115" t="str">
            <v>Dominik Kubalik</v>
          </cell>
          <cell r="B115" t="str">
            <v>DET</v>
          </cell>
          <cell r="I115">
            <v>0.25327510917030566</v>
          </cell>
          <cell r="J115">
            <v>0.11572052401746726</v>
          </cell>
          <cell r="K115">
            <v>0.60043668122270744</v>
          </cell>
          <cell r="L115">
            <v>0.27729257641921395</v>
          </cell>
          <cell r="S115">
            <v>0.62227074235807855</v>
          </cell>
          <cell r="T115">
            <v>0.31877729257641924</v>
          </cell>
          <cell r="U115">
            <v>0.52183406113537123</v>
          </cell>
          <cell r="V115">
            <v>0.43013100436681223</v>
          </cell>
          <cell r="AC115">
            <v>0.27947598253275108</v>
          </cell>
          <cell r="AD115">
            <v>0.29475982532751094</v>
          </cell>
          <cell r="AE115">
            <v>0.1943231441048035</v>
          </cell>
          <cell r="AF115">
            <v>0.32532751091703055</v>
          </cell>
          <cell r="AM115">
            <v>0.63100436681222705</v>
          </cell>
          <cell r="AN115">
            <v>0.39082969432314413</v>
          </cell>
          <cell r="AO115">
            <v>0.78820960698689957</v>
          </cell>
          <cell r="AP115">
            <v>0.66375545851528384</v>
          </cell>
          <cell r="AW115">
            <v>0.19868995633187772</v>
          </cell>
          <cell r="AX115">
            <v>0.34934497816593885</v>
          </cell>
          <cell r="AY115">
            <v>0.24890829694323144</v>
          </cell>
          <cell r="AZ115">
            <v>0.21179039301310043</v>
          </cell>
          <cell r="BG115">
            <v>0.41921397379912662</v>
          </cell>
          <cell r="BH115">
            <v>0.46506550218340609</v>
          </cell>
          <cell r="BI115">
            <v>0.75982532751091703</v>
          </cell>
          <cell r="BJ115">
            <v>0.46288209606986902</v>
          </cell>
          <cell r="BQ115">
            <v>0.23580786026200873</v>
          </cell>
          <cell r="BR115">
            <v>0.12882096069868995</v>
          </cell>
          <cell r="BS115">
            <v>0.37772925764192139</v>
          </cell>
          <cell r="BT115">
            <v>0.26637554585152839</v>
          </cell>
          <cell r="BX115">
            <v>0.27947598253275108</v>
          </cell>
          <cell r="CJ115">
            <v>0.58078602620087338</v>
          </cell>
          <cell r="CK115">
            <v>0.54803493449781659</v>
          </cell>
        </row>
        <row r="116">
          <cell r="A116" t="str">
            <v>Drake Batherson</v>
          </cell>
          <cell r="B116" t="str">
            <v>OTT</v>
          </cell>
          <cell r="I116">
            <v>0.84061135371179041</v>
          </cell>
          <cell r="J116">
            <v>0.61790393013100442</v>
          </cell>
          <cell r="K116">
            <v>0.34934497816593885</v>
          </cell>
          <cell r="L116">
            <v>0.70960698689956336</v>
          </cell>
          <cell r="S116">
            <v>0.1222707423580786</v>
          </cell>
          <cell r="T116">
            <v>0.69868995633187769</v>
          </cell>
          <cell r="U116">
            <v>0.79475982532751088</v>
          </cell>
          <cell r="V116">
            <v>0.43886462882096072</v>
          </cell>
          <cell r="AC116">
            <v>0.44759825327510916</v>
          </cell>
          <cell r="AD116">
            <v>0.33842794759825329</v>
          </cell>
          <cell r="AE116">
            <v>8.9519650655021835E-2</v>
          </cell>
          <cell r="AF116">
            <v>0.31441048034934499</v>
          </cell>
          <cell r="AM116">
            <v>0.70305676855895194</v>
          </cell>
          <cell r="AN116">
            <v>0.43013100436681223</v>
          </cell>
          <cell r="AO116">
            <v>0.44323144104803491</v>
          </cell>
          <cell r="AP116">
            <v>0.55021834061135366</v>
          </cell>
          <cell r="AW116">
            <v>0.36681222707423583</v>
          </cell>
          <cell r="AX116">
            <v>0.22707423580786026</v>
          </cell>
          <cell r="AY116">
            <v>6.1135371179039298E-2</v>
          </cell>
          <cell r="AZ116">
            <v>0.22707423580786026</v>
          </cell>
          <cell r="BG116">
            <v>0.87772925764192145</v>
          </cell>
          <cell r="BH116">
            <v>0.94323144104803491</v>
          </cell>
          <cell r="BI116">
            <v>0.15938864628820962</v>
          </cell>
          <cell r="BJ116">
            <v>3.2751091703056769E-2</v>
          </cell>
          <cell r="BQ116">
            <v>0.74017467248908297</v>
          </cell>
          <cell r="BR116">
            <v>0.47379912663755458</v>
          </cell>
          <cell r="BS116">
            <v>0.15720524017467249</v>
          </cell>
          <cell r="BT116">
            <v>0.55240174672489084</v>
          </cell>
          <cell r="BX116">
            <v>0.50873362445414849</v>
          </cell>
          <cell r="CJ116">
            <v>0.54366812227074235</v>
          </cell>
          <cell r="CK116">
            <v>0.51528384279475981</v>
          </cell>
        </row>
        <row r="117">
          <cell r="A117" t="str">
            <v>Drew O'Connor</v>
          </cell>
          <cell r="B117" t="str">
            <v>PIT</v>
          </cell>
          <cell r="I117">
            <v>0.77074235807860259</v>
          </cell>
          <cell r="J117">
            <v>0.8253275109170306</v>
          </cell>
          <cell r="K117">
            <v>0.28384279475982532</v>
          </cell>
          <cell r="L117">
            <v>0.76855895196506552</v>
          </cell>
          <cell r="S117">
            <v>0.56986899563318782</v>
          </cell>
          <cell r="T117">
            <v>0.42139737991266374</v>
          </cell>
          <cell r="U117">
            <v>0.34279475982532753</v>
          </cell>
          <cell r="V117">
            <v>0.48689956331877732</v>
          </cell>
          <cell r="AC117">
            <v>0.59388646288209612</v>
          </cell>
          <cell r="AD117">
            <v>0.15720524017467249</v>
          </cell>
          <cell r="AE117">
            <v>0.47816593886462883</v>
          </cell>
          <cell r="AF117">
            <v>0.62008733624454149</v>
          </cell>
          <cell r="AM117">
            <v>0.22925764192139739</v>
          </cell>
          <cell r="AN117">
            <v>0.26419213973799127</v>
          </cell>
          <cell r="AO117">
            <v>0.31004366812227074</v>
          </cell>
          <cell r="AP117">
            <v>0.17903930131004367</v>
          </cell>
          <cell r="AW117">
            <v>0.75764192139737996</v>
          </cell>
          <cell r="AX117">
            <v>0.42576419213973798</v>
          </cell>
          <cell r="AY117">
            <v>0.73799126637554591</v>
          </cell>
          <cell r="AZ117">
            <v>0.86681222707423577</v>
          </cell>
          <cell r="BG117">
            <v>6.3318777292576414E-2</v>
          </cell>
          <cell r="BH117">
            <v>6.5502183406113537E-2</v>
          </cell>
          <cell r="BI117">
            <v>0.15502183406113537</v>
          </cell>
          <cell r="BJ117">
            <v>0.20524017467248909</v>
          </cell>
          <cell r="BQ117">
            <v>0.73580786026200873</v>
          </cell>
          <cell r="BR117">
            <v>0.58296943231441045</v>
          </cell>
          <cell r="BS117">
            <v>0.3056768558951965</v>
          </cell>
          <cell r="BT117">
            <v>0.77074235807860259</v>
          </cell>
          <cell r="BX117">
            <v>0.63100436681222705</v>
          </cell>
          <cell r="CJ117">
            <v>0.39519650655021832</v>
          </cell>
          <cell r="CK117">
            <v>0.5</v>
          </cell>
        </row>
        <row r="118">
          <cell r="A118" t="str">
            <v>Dryden Hunt</v>
          </cell>
          <cell r="B118" t="str">
            <v>COL, NYR, TOR</v>
          </cell>
          <cell r="I118">
            <v>0.10043668122270742</v>
          </cell>
          <cell r="J118">
            <v>3.9301310043668124E-2</v>
          </cell>
          <cell r="K118">
            <v>1.9650655021834062E-2</v>
          </cell>
          <cell r="L118">
            <v>2.6200873362445413E-2</v>
          </cell>
          <cell r="S118">
            <v>0.4126637554585153</v>
          </cell>
          <cell r="T118">
            <v>2.1834061135371178E-3</v>
          </cell>
          <cell r="U118">
            <v>2.1834061135371178E-3</v>
          </cell>
          <cell r="V118">
            <v>2.1834061135371178E-2</v>
          </cell>
          <cell r="AC118">
            <v>0.95414847161572047</v>
          </cell>
          <cell r="AD118">
            <v>0.81877729257641918</v>
          </cell>
          <cell r="AE118">
            <v>0.20742358078602621</v>
          </cell>
          <cell r="AF118">
            <v>0.87772925764192145</v>
          </cell>
          <cell r="AM118">
            <v>6.3318777292576414E-2</v>
          </cell>
          <cell r="AN118">
            <v>2.1834061135371178E-2</v>
          </cell>
          <cell r="AO118">
            <v>3.2751091703056769E-2</v>
          </cell>
          <cell r="AP118">
            <v>2.4017467248908297E-2</v>
          </cell>
          <cell r="AW118">
            <v>0.95196506550218341</v>
          </cell>
          <cell r="AX118">
            <v>0.75327510917030571</v>
          </cell>
          <cell r="AY118">
            <v>5.0218340611353711E-2</v>
          </cell>
          <cell r="AZ118">
            <v>0.68995633187772931</v>
          </cell>
          <cell r="BG118">
            <v>6.5502183406113534E-3</v>
          </cell>
          <cell r="BH118">
            <v>0.79912663755458513</v>
          </cell>
          <cell r="BI118">
            <v>1.7467248908296942E-2</v>
          </cell>
          <cell r="BJ118">
            <v>2.1834061135371178E-3</v>
          </cell>
          <cell r="BQ118">
            <v>0.4759825327510917</v>
          </cell>
          <cell r="BR118">
            <v>0.1943231441048035</v>
          </cell>
          <cell r="BS118">
            <v>8.7336244541484712E-3</v>
          </cell>
          <cell r="BT118">
            <v>0.15502183406113537</v>
          </cell>
          <cell r="BX118">
            <v>0.23144104803493451</v>
          </cell>
          <cell r="CJ118">
            <v>0.10262008733624454</v>
          </cell>
          <cell r="CK118">
            <v>0.93013100436681218</v>
          </cell>
        </row>
        <row r="119">
          <cell r="A119" t="str">
            <v>Dylan Cozens</v>
          </cell>
          <cell r="B119" t="str">
            <v>BUF</v>
          </cell>
          <cell r="I119">
            <v>0.75545851528384278</v>
          </cell>
          <cell r="J119">
            <v>0.68558951965065507</v>
          </cell>
          <cell r="K119">
            <v>0.85371179039301315</v>
          </cell>
          <cell r="L119">
            <v>0.85152838427947597</v>
          </cell>
          <cell r="S119">
            <v>0.95851528384279472</v>
          </cell>
          <cell r="T119">
            <v>0.68995633187772931</v>
          </cell>
          <cell r="U119">
            <v>0.8253275109170306</v>
          </cell>
          <cell r="V119">
            <v>0.93013100436681218</v>
          </cell>
          <cell r="AC119">
            <v>8.9519650655021835E-2</v>
          </cell>
          <cell r="AD119">
            <v>7.4235807860262015E-2</v>
          </cell>
          <cell r="AE119">
            <v>7.8602620087336247E-2</v>
          </cell>
          <cell r="AF119">
            <v>0.11353711790393013</v>
          </cell>
          <cell r="AM119">
            <v>0.70742358078602618</v>
          </cell>
          <cell r="AN119">
            <v>0.73799126637554591</v>
          </cell>
          <cell r="AO119">
            <v>0.69213973799126638</v>
          </cell>
          <cell r="AP119">
            <v>0.82096069868995636</v>
          </cell>
          <cell r="AW119">
            <v>2.8384279475982533E-2</v>
          </cell>
          <cell r="AX119">
            <v>0.11572052401746726</v>
          </cell>
          <cell r="AY119">
            <v>0.18995633187772926</v>
          </cell>
          <cell r="AZ119">
            <v>0.14192139737991266</v>
          </cell>
          <cell r="BG119">
            <v>0.40829694323144106</v>
          </cell>
          <cell r="BH119">
            <v>0.54148471615720528</v>
          </cell>
          <cell r="BI119">
            <v>0.80786026200873362</v>
          </cell>
          <cell r="BJ119">
            <v>0.54803493449781659</v>
          </cell>
          <cell r="BQ119">
            <v>0.41484716157205243</v>
          </cell>
          <cell r="BR119">
            <v>0.34061135371179041</v>
          </cell>
          <cell r="BS119">
            <v>0.43449781659388648</v>
          </cell>
          <cell r="BT119">
            <v>0.50873362445414849</v>
          </cell>
          <cell r="BX119">
            <v>0.56113537117903933</v>
          </cell>
          <cell r="CJ119">
            <v>0.42794759825327511</v>
          </cell>
          <cell r="CK119">
            <v>0.76637554585152834</v>
          </cell>
        </row>
        <row r="120">
          <cell r="A120" t="str">
            <v>Dylan Gambrell</v>
          </cell>
          <cell r="B120" t="str">
            <v>OTT</v>
          </cell>
          <cell r="I120">
            <v>7.2052401746724892E-2</v>
          </cell>
          <cell r="J120">
            <v>9.1703056768558958E-2</v>
          </cell>
          <cell r="K120">
            <v>8.9519650655021835E-2</v>
          </cell>
          <cell r="L120">
            <v>5.0218340611353711E-2</v>
          </cell>
          <cell r="S120">
            <v>0.20742358078602621</v>
          </cell>
          <cell r="T120">
            <v>7.4235807860262015E-2</v>
          </cell>
          <cell r="U120">
            <v>0.19868995633187772</v>
          </cell>
          <cell r="V120">
            <v>6.768558951965066E-2</v>
          </cell>
          <cell r="AC120">
            <v>0.59825327510917026</v>
          </cell>
          <cell r="AD120">
            <v>0.41484716157205243</v>
          </cell>
          <cell r="AE120">
            <v>0.72052401746724892</v>
          </cell>
          <cell r="AF120">
            <v>0.50436681222707425</v>
          </cell>
          <cell r="AM120">
            <v>6.5502183406113534E-3</v>
          </cell>
          <cell r="AN120">
            <v>4.5851528384279479E-2</v>
          </cell>
          <cell r="AO120">
            <v>7.4235807860262015E-2</v>
          </cell>
          <cell r="AP120">
            <v>1.5283842794759825E-2</v>
          </cell>
          <cell r="AW120">
            <v>0.39956331877729256</v>
          </cell>
          <cell r="AX120">
            <v>0.31222707423580787</v>
          </cell>
          <cell r="AY120">
            <v>0.9366812227074236</v>
          </cell>
          <cell r="AZ120">
            <v>0.46288209606986902</v>
          </cell>
          <cell r="BG120">
            <v>5.458515283842795E-2</v>
          </cell>
          <cell r="BH120">
            <v>0.10043668122270742</v>
          </cell>
          <cell r="BI120">
            <v>0.17903930131004367</v>
          </cell>
          <cell r="BJ120">
            <v>0.388646288209607</v>
          </cell>
          <cell r="BQ120">
            <v>0.17903930131004367</v>
          </cell>
          <cell r="BR120">
            <v>0.15502183406113537</v>
          </cell>
          <cell r="BS120">
            <v>0.21615720524017468</v>
          </cell>
          <cell r="BT120">
            <v>0.10262008733624454</v>
          </cell>
          <cell r="BX120">
            <v>4.8034934497816595E-2</v>
          </cell>
          <cell r="CJ120">
            <v>0.25109170305676853</v>
          </cell>
          <cell r="CK120">
            <v>1.5283842794759825E-2</v>
          </cell>
        </row>
        <row r="121">
          <cell r="A121" t="str">
            <v>Dylan Guenther</v>
          </cell>
          <cell r="B121" t="str">
            <v>ARI</v>
          </cell>
          <cell r="I121">
            <v>8.9519650655021835E-2</v>
          </cell>
          <cell r="J121">
            <v>4.148471615720524E-2</v>
          </cell>
          <cell r="K121">
            <v>0.10262008733624454</v>
          </cell>
          <cell r="L121">
            <v>3.0567685589519649E-2</v>
          </cell>
          <cell r="S121">
            <v>8.9519650655021835E-2</v>
          </cell>
          <cell r="T121">
            <v>0.71179039301310043</v>
          </cell>
          <cell r="U121">
            <v>0.19868995633187772</v>
          </cell>
          <cell r="V121">
            <v>0.43013100436681223</v>
          </cell>
          <cell r="AC121">
            <v>0.2205240174672489</v>
          </cell>
          <cell r="AD121">
            <v>0.18995633187772926</v>
          </cell>
          <cell r="AE121">
            <v>0.40611353711790393</v>
          </cell>
          <cell r="AF121">
            <v>0.22925764192139739</v>
          </cell>
          <cell r="AM121">
            <v>0.4606986899563319</v>
          </cell>
          <cell r="AN121">
            <v>0.26637554585152839</v>
          </cell>
          <cell r="AO121">
            <v>0.38646288209606988</v>
          </cell>
          <cell r="AP121">
            <v>0.25327510917030566</v>
          </cell>
          <cell r="AW121">
            <v>0.44104803493449779</v>
          </cell>
          <cell r="AX121">
            <v>0.49781659388646288</v>
          </cell>
          <cell r="AY121">
            <v>0.59825327510917026</v>
          </cell>
          <cell r="AZ121">
            <v>0.46288209606986902</v>
          </cell>
          <cell r="BG121">
            <v>0.27729257641921395</v>
          </cell>
          <cell r="BH121">
            <v>0.37772925764192139</v>
          </cell>
          <cell r="BI121">
            <v>0.16375545851528384</v>
          </cell>
          <cell r="BJ121">
            <v>0.27510917030567683</v>
          </cell>
          <cell r="BQ121">
            <v>9.606986899563319E-2</v>
          </cell>
          <cell r="BR121">
            <v>5.0218340611353711E-2</v>
          </cell>
          <cell r="BS121">
            <v>0.11135371179039301</v>
          </cell>
          <cell r="BT121">
            <v>3.7117903930131008E-2</v>
          </cell>
          <cell r="BX121">
            <v>0.1091703056768559</v>
          </cell>
          <cell r="CJ121">
            <v>0.41484716157205243</v>
          </cell>
          <cell r="CK121">
            <v>6.5502183406113534E-3</v>
          </cell>
        </row>
        <row r="122">
          <cell r="A122" t="str">
            <v>Dylan Holloway</v>
          </cell>
          <cell r="B122" t="str">
            <v>EDM</v>
          </cell>
          <cell r="I122">
            <v>0.51528384279475981</v>
          </cell>
          <cell r="J122">
            <v>0.55458515283842791</v>
          </cell>
          <cell r="K122">
            <v>0.36244541484716158</v>
          </cell>
          <cell r="L122">
            <v>0.46943231441048033</v>
          </cell>
          <cell r="S122">
            <v>0.16593886462882096</v>
          </cell>
          <cell r="T122">
            <v>0.37336244541484714</v>
          </cell>
          <cell r="U122">
            <v>0.15065502183406113</v>
          </cell>
          <cell r="V122">
            <v>0.18558951965065501</v>
          </cell>
          <cell r="AC122">
            <v>0.56768558951965065</v>
          </cell>
          <cell r="AD122">
            <v>0.95851528384279472</v>
          </cell>
          <cell r="AE122">
            <v>0.65938864628820959</v>
          </cell>
          <cell r="AF122">
            <v>0.85371179039301315</v>
          </cell>
          <cell r="AM122">
            <v>0.40174672489082969</v>
          </cell>
          <cell r="AN122">
            <v>0.31004366812227074</v>
          </cell>
          <cell r="AO122">
            <v>0.27074235807860264</v>
          </cell>
          <cell r="AP122">
            <v>0.22925764192139739</v>
          </cell>
          <cell r="AW122">
            <v>0.53493449781659386</v>
          </cell>
          <cell r="AX122">
            <v>0.91703056768558955</v>
          </cell>
          <cell r="AY122">
            <v>0.77729257641921401</v>
          </cell>
          <cell r="AZ122">
            <v>0.88427947598253276</v>
          </cell>
          <cell r="BG122">
            <v>2.8384279475982533E-2</v>
          </cell>
          <cell r="BH122">
            <v>0.84061135371179041</v>
          </cell>
          <cell r="BI122">
            <v>0.30349344978165937</v>
          </cell>
          <cell r="BJ122">
            <v>0.50436681222707425</v>
          </cell>
          <cell r="BQ122">
            <v>0.51746724890829698</v>
          </cell>
          <cell r="BR122">
            <v>0.84497816593886466</v>
          </cell>
          <cell r="BS122">
            <v>0.48471615720524019</v>
          </cell>
          <cell r="BT122">
            <v>0.72489082969432317</v>
          </cell>
          <cell r="BX122">
            <v>0.48034934497816595</v>
          </cell>
          <cell r="CJ122">
            <v>0.21179039301310043</v>
          </cell>
          <cell r="CK122">
            <v>0.93886462882096067</v>
          </cell>
        </row>
        <row r="123">
          <cell r="A123" t="str">
            <v>Dylan Larkin</v>
          </cell>
          <cell r="B123" t="str">
            <v>DET</v>
          </cell>
          <cell r="I123">
            <v>0.63100436681222705</v>
          </cell>
          <cell r="J123">
            <v>0.44759825327510916</v>
          </cell>
          <cell r="K123">
            <v>0.5873362445414847</v>
          </cell>
          <cell r="L123">
            <v>0.53493449781659386</v>
          </cell>
          <cell r="S123">
            <v>0.30786026200873362</v>
          </cell>
          <cell r="T123">
            <v>0.83624454148471616</v>
          </cell>
          <cell r="U123">
            <v>0.89519650655021832</v>
          </cell>
          <cell r="V123">
            <v>0.64410480349344978</v>
          </cell>
          <cell r="AC123">
            <v>0.39737991266375544</v>
          </cell>
          <cell r="AD123">
            <v>0.26200873362445415</v>
          </cell>
          <cell r="AE123">
            <v>7.2052401746724892E-2</v>
          </cell>
          <cell r="AF123">
            <v>0.34279475982532753</v>
          </cell>
          <cell r="AM123">
            <v>0.95851528384279472</v>
          </cell>
          <cell r="AN123">
            <v>0.86462882096069871</v>
          </cell>
          <cell r="AO123">
            <v>0.77510917030567683</v>
          </cell>
          <cell r="AP123">
            <v>0.9126637554585153</v>
          </cell>
          <cell r="AW123">
            <v>0.38646288209606988</v>
          </cell>
          <cell r="AX123">
            <v>0.29475982532751094</v>
          </cell>
          <cell r="AY123">
            <v>5.0218340611353711E-2</v>
          </cell>
          <cell r="AZ123">
            <v>0.24454148471615719</v>
          </cell>
          <cell r="BG123">
            <v>0.65283842794759828</v>
          </cell>
          <cell r="BH123">
            <v>0.53056768558951961</v>
          </cell>
          <cell r="BI123">
            <v>0.48253275109170307</v>
          </cell>
          <cell r="BJ123">
            <v>0.14628820960698691</v>
          </cell>
          <cell r="BQ123">
            <v>0.5393013100436681</v>
          </cell>
          <cell r="BR123">
            <v>0.34279475982532753</v>
          </cell>
          <cell r="BS123">
            <v>0.25327510917030566</v>
          </cell>
          <cell r="BT123">
            <v>0.42576419213973798</v>
          </cell>
          <cell r="BX123">
            <v>0.67903930131004364</v>
          </cell>
          <cell r="CJ123">
            <v>0.43886462882096072</v>
          </cell>
          <cell r="CK123">
            <v>0.50873362445414849</v>
          </cell>
        </row>
        <row r="124">
          <cell r="A124" t="str">
            <v>Dylan Strome</v>
          </cell>
          <cell r="B124" t="str">
            <v>WSH</v>
          </cell>
          <cell r="I124">
            <v>0.80567685589519655</v>
          </cell>
          <cell r="J124">
            <v>0.74672489082969429</v>
          </cell>
          <cell r="K124">
            <v>0.85807860262008728</v>
          </cell>
          <cell r="L124">
            <v>0.86026200873362446</v>
          </cell>
          <cell r="S124">
            <v>0.80786026200873362</v>
          </cell>
          <cell r="T124">
            <v>0.78602620087336239</v>
          </cell>
          <cell r="U124">
            <v>0.61790393013100442</v>
          </cell>
          <cell r="V124">
            <v>0.86244541484716153</v>
          </cell>
          <cell r="AC124">
            <v>0.16375545851528384</v>
          </cell>
          <cell r="AD124">
            <v>0.1703056768558952</v>
          </cell>
          <cell r="AE124">
            <v>0.31004366812227074</v>
          </cell>
          <cell r="AF124">
            <v>0.27510917030567683</v>
          </cell>
          <cell r="AM124">
            <v>0.85807860262008728</v>
          </cell>
          <cell r="AN124">
            <v>0.86244541484716153</v>
          </cell>
          <cell r="AO124">
            <v>0.86462882096069871</v>
          </cell>
          <cell r="AP124">
            <v>0.92139737991266379</v>
          </cell>
          <cell r="AW124">
            <v>0.15065502183406113</v>
          </cell>
          <cell r="AX124">
            <v>0.1091703056768559</v>
          </cell>
          <cell r="AY124">
            <v>0.39737991266375544</v>
          </cell>
          <cell r="AZ124">
            <v>0.30786026200873362</v>
          </cell>
          <cell r="BG124">
            <v>0.6266375545851528</v>
          </cell>
          <cell r="BH124">
            <v>0.96943231441048039</v>
          </cell>
          <cell r="BI124">
            <v>0.81004366812227069</v>
          </cell>
          <cell r="BJ124">
            <v>0.68340611353711789</v>
          </cell>
          <cell r="BQ124">
            <v>0.51528384279475981</v>
          </cell>
          <cell r="BR124">
            <v>0.48689956331877732</v>
          </cell>
          <cell r="BS124">
            <v>0.64410480349344978</v>
          </cell>
          <cell r="BT124">
            <v>0.70524017467248912</v>
          </cell>
          <cell r="BX124">
            <v>0.76855895196506552</v>
          </cell>
          <cell r="CJ124">
            <v>0.63100436681222705</v>
          </cell>
          <cell r="CK124">
            <v>5.458515283842795E-2</v>
          </cell>
        </row>
        <row r="125">
          <cell r="A125" t="str">
            <v>Eeli Tolvanen</v>
          </cell>
          <cell r="B125" t="str">
            <v>NSH, SEA</v>
          </cell>
          <cell r="I125">
            <v>0.72052401746724892</v>
          </cell>
          <cell r="J125">
            <v>0.1703056768558952</v>
          </cell>
          <cell r="K125">
            <v>0.90393013100436681</v>
          </cell>
          <cell r="L125">
            <v>0.31659388646288211</v>
          </cell>
          <cell r="S125">
            <v>0.89519650655021832</v>
          </cell>
          <cell r="T125">
            <v>0.22707423580786026</v>
          </cell>
          <cell r="U125">
            <v>0.32751091703056767</v>
          </cell>
          <cell r="V125">
            <v>0.62882096069868998</v>
          </cell>
          <cell r="AC125">
            <v>0.83406113537117899</v>
          </cell>
          <cell r="AD125">
            <v>0.76637554585152834</v>
          </cell>
          <cell r="AE125">
            <v>0.57860262008733621</v>
          </cell>
          <cell r="AF125">
            <v>0.82751091703056767</v>
          </cell>
          <cell r="AM125">
            <v>0.67685589519650657</v>
          </cell>
          <cell r="AN125">
            <v>0.37336244541484714</v>
          </cell>
          <cell r="AO125">
            <v>0.75327510917030571</v>
          </cell>
          <cell r="AP125">
            <v>0.37117903930131002</v>
          </cell>
          <cell r="AW125">
            <v>0.50218340611353707</v>
          </cell>
          <cell r="AX125">
            <v>0.51310043668122274</v>
          </cell>
          <cell r="AY125">
            <v>0.58296943231441045</v>
          </cell>
          <cell r="AZ125">
            <v>0.63100436681222705</v>
          </cell>
          <cell r="BG125">
            <v>0.42358078602620086</v>
          </cell>
          <cell r="BH125">
            <v>0.69213973799126638</v>
          </cell>
          <cell r="BI125">
            <v>0.94104803493449785</v>
          </cell>
          <cell r="BJ125">
            <v>0.74672489082969429</v>
          </cell>
          <cell r="BQ125">
            <v>0.82314410480349343</v>
          </cell>
          <cell r="BR125">
            <v>0.36244541484716158</v>
          </cell>
          <cell r="BS125">
            <v>0.86681222707423577</v>
          </cell>
          <cell r="BT125">
            <v>0.56986899563318782</v>
          </cell>
          <cell r="BX125">
            <v>0.72052401746724892</v>
          </cell>
          <cell r="CJ125">
            <v>0.63100436681222705</v>
          </cell>
          <cell r="CK125">
            <v>0.10043668122270742</v>
          </cell>
        </row>
        <row r="126">
          <cell r="A126" t="str">
            <v>Eetu Luostarinen</v>
          </cell>
          <cell r="B126" t="str">
            <v>FLA</v>
          </cell>
          <cell r="I126">
            <v>0.86462882096069871</v>
          </cell>
          <cell r="J126">
            <v>0.90829694323144106</v>
          </cell>
          <cell r="K126">
            <v>0.87772925764192145</v>
          </cell>
          <cell r="L126">
            <v>0.86899563318777295</v>
          </cell>
          <cell r="S126">
            <v>0.75764192139737996</v>
          </cell>
          <cell r="T126">
            <v>0.68122270742358082</v>
          </cell>
          <cell r="U126">
            <v>0.32751091703056767</v>
          </cell>
          <cell r="V126">
            <v>0.75764192139737996</v>
          </cell>
          <cell r="AC126">
            <v>0.63318777292576423</v>
          </cell>
          <cell r="AD126">
            <v>0.50655021834061131</v>
          </cell>
          <cell r="AE126">
            <v>0.79039301310043664</v>
          </cell>
          <cell r="AF126">
            <v>0.65502183406113534</v>
          </cell>
          <cell r="AM126">
            <v>0.42794759825327511</v>
          </cell>
          <cell r="AN126">
            <v>0.63973799126637554</v>
          </cell>
          <cell r="AO126">
            <v>0.72270742358078599</v>
          </cell>
          <cell r="AP126">
            <v>0.54148471615720528</v>
          </cell>
          <cell r="AW126">
            <v>0.81441048034934493</v>
          </cell>
          <cell r="AX126">
            <v>0.79694323144104806</v>
          </cell>
          <cell r="AY126">
            <v>0.83624454148471616</v>
          </cell>
          <cell r="AZ126">
            <v>0.81441048034934493</v>
          </cell>
          <cell r="BG126">
            <v>0.53493449781659386</v>
          </cell>
          <cell r="BH126">
            <v>0.69868995633187769</v>
          </cell>
          <cell r="BI126">
            <v>0.78820960698689957</v>
          </cell>
          <cell r="BJ126">
            <v>0.85589519650655022</v>
          </cell>
          <cell r="BQ126">
            <v>0.84497816593886466</v>
          </cell>
          <cell r="BR126">
            <v>0.85371179039301315</v>
          </cell>
          <cell r="BS126">
            <v>0.92139737991266379</v>
          </cell>
          <cell r="BT126">
            <v>0.88427947598253276</v>
          </cell>
          <cell r="BX126">
            <v>0.89519650655021832</v>
          </cell>
          <cell r="CJ126">
            <v>0.61572052401746724</v>
          </cell>
          <cell r="CK126">
            <v>0.40829694323144106</v>
          </cell>
        </row>
        <row r="127">
          <cell r="A127" t="str">
            <v>Elias Lindholm</v>
          </cell>
          <cell r="B127" t="str">
            <v>CGY</v>
          </cell>
          <cell r="I127">
            <v>0.89301310043668125</v>
          </cell>
          <cell r="J127">
            <v>0.48689956331877732</v>
          </cell>
          <cell r="K127">
            <v>0.8253275109170306</v>
          </cell>
          <cell r="L127">
            <v>0.84279475982532748</v>
          </cell>
          <cell r="S127">
            <v>0.388646288209607</v>
          </cell>
          <cell r="T127">
            <v>0.90611353711790388</v>
          </cell>
          <cell r="U127">
            <v>0.8733624454148472</v>
          </cell>
          <cell r="V127">
            <v>0.81222707423580787</v>
          </cell>
          <cell r="AC127">
            <v>0.74890829694323147</v>
          </cell>
          <cell r="AD127">
            <v>0.84497816593886466</v>
          </cell>
          <cell r="AE127">
            <v>0.33624454148471616</v>
          </cell>
          <cell r="AF127">
            <v>0.71834061135371174</v>
          </cell>
          <cell r="AM127">
            <v>0.4759825327510917</v>
          </cell>
          <cell r="AN127">
            <v>0.29912663755458513</v>
          </cell>
          <cell r="AO127">
            <v>0.72270742358078599</v>
          </cell>
          <cell r="AP127">
            <v>0.5633187772925764</v>
          </cell>
          <cell r="AW127">
            <v>0.22489082969432314</v>
          </cell>
          <cell r="AX127">
            <v>0.611353711790393</v>
          </cell>
          <cell r="AY127">
            <v>0.34716157205240172</v>
          </cell>
          <cell r="AZ127">
            <v>0.39956331877729256</v>
          </cell>
          <cell r="BG127">
            <v>0.55021834061135366</v>
          </cell>
          <cell r="BH127">
            <v>0.44323144104803491</v>
          </cell>
          <cell r="BI127">
            <v>0.72489082969432317</v>
          </cell>
          <cell r="BJ127">
            <v>0.35807860262008734</v>
          </cell>
          <cell r="BQ127">
            <v>0.91921397379912662</v>
          </cell>
          <cell r="BR127">
            <v>0.69213973799126638</v>
          </cell>
          <cell r="BS127">
            <v>0.62882096069868998</v>
          </cell>
          <cell r="BT127">
            <v>0.85807860262008728</v>
          </cell>
          <cell r="BX127">
            <v>0.78165938864628826</v>
          </cell>
          <cell r="CJ127">
            <v>0.91921397379912662</v>
          </cell>
          <cell r="CK127">
            <v>0.30349344978165937</v>
          </cell>
        </row>
        <row r="128">
          <cell r="A128" t="str">
            <v>Elias Pettersson</v>
          </cell>
          <cell r="B128" t="str">
            <v>VAN</v>
          </cell>
          <cell r="I128">
            <v>0.4126637554585153</v>
          </cell>
          <cell r="J128">
            <v>0.56550218340611358</v>
          </cell>
          <cell r="K128">
            <v>0.93886462882096067</v>
          </cell>
          <cell r="L128">
            <v>0.64192139737991272</v>
          </cell>
          <cell r="S128">
            <v>0.87991266375545851</v>
          </cell>
          <cell r="T128">
            <v>0.98908296943231444</v>
          </cell>
          <cell r="U128">
            <v>0.9606986899563319</v>
          </cell>
          <cell r="V128">
            <v>0.98689956331877726</v>
          </cell>
          <cell r="AC128">
            <v>0.74890829694323147</v>
          </cell>
          <cell r="AD128">
            <v>0.54585152838427953</v>
          </cell>
          <cell r="AE128">
            <v>0.27947598253275108</v>
          </cell>
          <cell r="AF128">
            <v>0.78602620087336239</v>
          </cell>
          <cell r="AM128">
            <v>0.74454148471615722</v>
          </cell>
          <cell r="AN128">
            <v>0.74672489082969429</v>
          </cell>
          <cell r="AO128">
            <v>0.9606986899563319</v>
          </cell>
          <cell r="AP128">
            <v>0.87554585152838427</v>
          </cell>
          <cell r="AW128">
            <v>0.888646288209607</v>
          </cell>
          <cell r="AX128">
            <v>0.76200873362445409</v>
          </cell>
          <cell r="AY128">
            <v>0.46724890829694321</v>
          </cell>
          <cell r="AZ128">
            <v>0.94104803493449785</v>
          </cell>
          <cell r="BG128">
            <v>0.84279475982532748</v>
          </cell>
          <cell r="BH128">
            <v>0.70305676855895194</v>
          </cell>
          <cell r="BI128">
            <v>0.97161572052401746</v>
          </cell>
          <cell r="BJ128">
            <v>0.80349344978165937</v>
          </cell>
          <cell r="BQ128">
            <v>0.59170305676855894</v>
          </cell>
          <cell r="BR128">
            <v>0.53275109170305679</v>
          </cell>
          <cell r="BS128">
            <v>0.74235807860262004</v>
          </cell>
          <cell r="BT128">
            <v>0.77729257641921401</v>
          </cell>
          <cell r="BX128">
            <v>0.94978165938864634</v>
          </cell>
          <cell r="CJ128">
            <v>0.89956331877729256</v>
          </cell>
          <cell r="CK128">
            <v>0.9366812227074236</v>
          </cell>
        </row>
        <row r="129">
          <cell r="A129" t="str">
            <v>Elmer Soderblom</v>
          </cell>
          <cell r="B129" t="str">
            <v>DET</v>
          </cell>
          <cell r="I129">
            <v>0.35589519650655022</v>
          </cell>
          <cell r="J129">
            <v>0.22925764192139739</v>
          </cell>
          <cell r="K129">
            <v>0.83842794759825323</v>
          </cell>
          <cell r="L129">
            <v>0.39956331877729256</v>
          </cell>
          <cell r="S129">
            <v>0.95414847161572047</v>
          </cell>
          <cell r="T129">
            <v>0.36026200873362446</v>
          </cell>
          <cell r="U129">
            <v>0.13755458515283842</v>
          </cell>
          <cell r="V129">
            <v>0.81877729257641918</v>
          </cell>
          <cell r="AC129">
            <v>0.79694323144104806</v>
          </cell>
          <cell r="AD129">
            <v>0.98471615720524019</v>
          </cell>
          <cell r="AE129">
            <v>0.14847161572052403</v>
          </cell>
          <cell r="AF129">
            <v>0.9606986899563319</v>
          </cell>
          <cell r="AM129">
            <v>0.75764192139737996</v>
          </cell>
          <cell r="AN129">
            <v>0.49563318777292575</v>
          </cell>
          <cell r="AO129">
            <v>0.89519650655021832</v>
          </cell>
          <cell r="AP129">
            <v>0.75545851528384278</v>
          </cell>
          <cell r="AW129">
            <v>0.93449781659388642</v>
          </cell>
          <cell r="AX129">
            <v>0.98689956331877726</v>
          </cell>
          <cell r="AY129">
            <v>0.10480349344978165</v>
          </cell>
          <cell r="AZ129">
            <v>0.97161572052401746</v>
          </cell>
          <cell r="BG129">
            <v>0.25109170305676853</v>
          </cell>
          <cell r="BH129">
            <v>0.76419213973799127</v>
          </cell>
          <cell r="BI129">
            <v>0.87772925764192145</v>
          </cell>
          <cell r="BJ129">
            <v>0.53711790393013104</v>
          </cell>
          <cell r="BQ129">
            <v>0.5633187772925764</v>
          </cell>
          <cell r="BR129">
            <v>0.69432314410480345</v>
          </cell>
          <cell r="BS129">
            <v>0.48471615720524019</v>
          </cell>
          <cell r="BT129">
            <v>0.79475982532751088</v>
          </cell>
          <cell r="BX129">
            <v>0.88646288209606983</v>
          </cell>
          <cell r="CJ129">
            <v>0.45633187772925765</v>
          </cell>
          <cell r="CK129">
            <v>0.62882096069868998</v>
          </cell>
        </row>
        <row r="130">
          <cell r="A130" t="str">
            <v>Emil Bemstrom</v>
          </cell>
          <cell r="B130" t="str">
            <v>CBJ</v>
          </cell>
          <cell r="I130">
            <v>0.55676855895196509</v>
          </cell>
          <cell r="J130">
            <v>0.39082969432314413</v>
          </cell>
          <cell r="K130">
            <v>0.40393013100436681</v>
          </cell>
          <cell r="L130">
            <v>0.44323144104803491</v>
          </cell>
          <cell r="S130">
            <v>7.8602620087336247E-2</v>
          </cell>
          <cell r="T130">
            <v>0.75545851528384278</v>
          </cell>
          <cell r="U130">
            <v>0.70305676855895194</v>
          </cell>
          <cell r="V130">
            <v>0.44978165938864628</v>
          </cell>
          <cell r="AC130">
            <v>8.5152838427947602E-2</v>
          </cell>
          <cell r="AD130">
            <v>0.37117903930131002</v>
          </cell>
          <cell r="AE130">
            <v>6.1135371179039298E-2</v>
          </cell>
          <cell r="AF130">
            <v>0.19213973799126638</v>
          </cell>
          <cell r="AM130">
            <v>0.77729257641921401</v>
          </cell>
          <cell r="AN130">
            <v>0.67248908296943233</v>
          </cell>
          <cell r="AO130">
            <v>0.66812227074235808</v>
          </cell>
          <cell r="AP130">
            <v>0.6506550218340611</v>
          </cell>
          <cell r="AW130">
            <v>0.69213973799126638</v>
          </cell>
          <cell r="AX130">
            <v>0.80349344978165937</v>
          </cell>
          <cell r="AY130">
            <v>0.41484716157205243</v>
          </cell>
          <cell r="AZ130">
            <v>0.81441048034934493</v>
          </cell>
          <cell r="BG130">
            <v>0.23362445414847161</v>
          </cell>
          <cell r="BH130">
            <v>0.64847161572052403</v>
          </cell>
          <cell r="BI130">
            <v>0.37772925764192139</v>
          </cell>
          <cell r="BJ130">
            <v>0.15938864628820962</v>
          </cell>
          <cell r="BQ130">
            <v>0.24672489082969432</v>
          </cell>
          <cell r="BR130">
            <v>0.35589519650655022</v>
          </cell>
          <cell r="BS130">
            <v>0.16375545851528384</v>
          </cell>
          <cell r="BT130">
            <v>0.30786026200873362</v>
          </cell>
          <cell r="BX130">
            <v>0.45196506550218341</v>
          </cell>
          <cell r="CJ130">
            <v>0.94541484716157209</v>
          </cell>
          <cell r="CK130">
            <v>0.36244541484716158</v>
          </cell>
        </row>
        <row r="131">
          <cell r="A131" t="str">
            <v>Eric Robinson</v>
          </cell>
          <cell r="B131" t="str">
            <v>CBJ</v>
          </cell>
          <cell r="I131">
            <v>0.13973799126637554</v>
          </cell>
          <cell r="J131">
            <v>0.24454148471615719</v>
          </cell>
          <cell r="K131">
            <v>7.8602620087336247E-2</v>
          </cell>
          <cell r="L131">
            <v>0.24672489082969432</v>
          </cell>
          <cell r="S131">
            <v>0.6026200873362445</v>
          </cell>
          <cell r="T131">
            <v>0.29694323144104806</v>
          </cell>
          <cell r="U131">
            <v>0.16157205240174671</v>
          </cell>
          <cell r="V131">
            <v>0.37117903930131002</v>
          </cell>
          <cell r="AC131">
            <v>4.148471615720524E-2</v>
          </cell>
          <cell r="AD131">
            <v>0.10698689956331878</v>
          </cell>
          <cell r="AE131">
            <v>7.2052401746724892E-2</v>
          </cell>
          <cell r="AF131">
            <v>6.9868995633187769E-2</v>
          </cell>
          <cell r="AM131">
            <v>0.2205240174672489</v>
          </cell>
          <cell r="AN131">
            <v>0.55240174672489084</v>
          </cell>
          <cell r="AO131">
            <v>0.18558951965065501</v>
          </cell>
          <cell r="AP131">
            <v>0.388646288209607</v>
          </cell>
          <cell r="AW131">
            <v>0.20742358078602621</v>
          </cell>
          <cell r="AX131">
            <v>0.20960698689956331</v>
          </cell>
          <cell r="AY131">
            <v>0.53711790393013104</v>
          </cell>
          <cell r="AZ131">
            <v>0.1965065502183406</v>
          </cell>
          <cell r="BG131">
            <v>0.36462882096069871</v>
          </cell>
          <cell r="BH131">
            <v>7.6419213973799124E-2</v>
          </cell>
          <cell r="BI131">
            <v>9.3886462882096067E-2</v>
          </cell>
          <cell r="BJ131">
            <v>0.10043668122270742</v>
          </cell>
          <cell r="BQ131">
            <v>4.3668122270742356E-2</v>
          </cell>
          <cell r="BR131">
            <v>0.13537117903930132</v>
          </cell>
          <cell r="BS131">
            <v>4.148471615720524E-2</v>
          </cell>
          <cell r="BT131">
            <v>9.3886462882096067E-2</v>
          </cell>
          <cell r="BX131">
            <v>8.296943231441048E-2</v>
          </cell>
          <cell r="CJ131">
            <v>0.93013100436681218</v>
          </cell>
          <cell r="CK131">
            <v>0.17903930131004367</v>
          </cell>
        </row>
        <row r="132">
          <cell r="A132" t="str">
            <v>Eric Staal</v>
          </cell>
          <cell r="B132" t="str">
            <v>FLA</v>
          </cell>
          <cell r="I132">
            <v>0.81877729257641918</v>
          </cell>
          <cell r="J132">
            <v>0.8493449781659389</v>
          </cell>
          <cell r="K132">
            <v>0.44541484716157204</v>
          </cell>
          <cell r="L132">
            <v>0.76200873362445409</v>
          </cell>
          <cell r="S132">
            <v>0.74890829694323147</v>
          </cell>
          <cell r="T132">
            <v>0.59606986899563319</v>
          </cell>
          <cell r="U132">
            <v>0.55458515283842791</v>
          </cell>
          <cell r="V132">
            <v>0.68122270742358082</v>
          </cell>
          <cell r="AC132">
            <v>0.13973799126637554</v>
          </cell>
          <cell r="AD132">
            <v>0.21615720524017468</v>
          </cell>
          <cell r="AE132">
            <v>0.42358078602620086</v>
          </cell>
          <cell r="AF132">
            <v>0.24017467248908297</v>
          </cell>
          <cell r="AM132">
            <v>0.20742358078602621</v>
          </cell>
          <cell r="AN132">
            <v>0.39082969432314413</v>
          </cell>
          <cell r="AO132">
            <v>0.20087336244541484</v>
          </cell>
          <cell r="AP132">
            <v>0.20305676855895197</v>
          </cell>
          <cell r="AW132">
            <v>9.1703056768558958E-2</v>
          </cell>
          <cell r="AX132">
            <v>0.36899563318777295</v>
          </cell>
          <cell r="AY132">
            <v>0.36244541484716158</v>
          </cell>
          <cell r="AZ132">
            <v>0.2816593886462882</v>
          </cell>
          <cell r="BG132">
            <v>0.34934497816593885</v>
          </cell>
          <cell r="BH132">
            <v>0.48908296943231439</v>
          </cell>
          <cell r="BI132">
            <v>0.26419213973799127</v>
          </cell>
          <cell r="BJ132">
            <v>0.35807860262008734</v>
          </cell>
          <cell r="BQ132">
            <v>0.50218340611353707</v>
          </cell>
          <cell r="BR132">
            <v>0.66157205240174677</v>
          </cell>
          <cell r="BS132">
            <v>0.40174672489082969</v>
          </cell>
          <cell r="BT132">
            <v>0.56550218340611358</v>
          </cell>
          <cell r="BX132">
            <v>0.40611353711790393</v>
          </cell>
          <cell r="CJ132">
            <v>0.43886462882096072</v>
          </cell>
          <cell r="CK132">
            <v>0.11353711790393013</v>
          </cell>
        </row>
        <row r="133">
          <cell r="A133" t="str">
            <v>Erik Haula</v>
          </cell>
          <cell r="B133" t="str">
            <v>N.J</v>
          </cell>
          <cell r="I133">
            <v>0.8733624454148472</v>
          </cell>
          <cell r="J133">
            <v>0.8973799126637555</v>
          </cell>
          <cell r="K133">
            <v>0.70524017467248912</v>
          </cell>
          <cell r="L133">
            <v>0.89082969432314407</v>
          </cell>
          <cell r="S133">
            <v>0.36681222707423583</v>
          </cell>
          <cell r="T133">
            <v>0.55458515283842791</v>
          </cell>
          <cell r="U133">
            <v>0.54803493449781659</v>
          </cell>
          <cell r="V133">
            <v>0.47816593886462883</v>
          </cell>
          <cell r="AC133">
            <v>0.72925764192139741</v>
          </cell>
          <cell r="AD133">
            <v>0.91921397379912662</v>
          </cell>
          <cell r="AE133">
            <v>0.51965065502183405</v>
          </cell>
          <cell r="AF133">
            <v>0.75109170305676853</v>
          </cell>
          <cell r="AM133">
            <v>0.62227074235807855</v>
          </cell>
          <cell r="AN133">
            <v>0.61572052401746724</v>
          </cell>
          <cell r="AO133">
            <v>0.50873362445414849</v>
          </cell>
          <cell r="AP133">
            <v>0.58951965065502188</v>
          </cell>
          <cell r="AW133">
            <v>0.43231441048034935</v>
          </cell>
          <cell r="AX133">
            <v>0.61790393013100442</v>
          </cell>
          <cell r="AY133">
            <v>0.3056768558951965</v>
          </cell>
          <cell r="AZ133">
            <v>0.41921397379912662</v>
          </cell>
          <cell r="BG133">
            <v>0.66375545851528384</v>
          </cell>
          <cell r="BH133">
            <v>0.54585152838427953</v>
          </cell>
          <cell r="BI133">
            <v>0.44978165938864628</v>
          </cell>
          <cell r="BJ133">
            <v>0.35807860262008734</v>
          </cell>
          <cell r="BQ133">
            <v>0.89956331877729256</v>
          </cell>
          <cell r="BR133">
            <v>0.96506550218340614</v>
          </cell>
          <cell r="BS133">
            <v>0.66375545851528384</v>
          </cell>
          <cell r="BT133">
            <v>0.92794759825327511</v>
          </cell>
          <cell r="BX133">
            <v>0.77729257641921401</v>
          </cell>
          <cell r="CJ133">
            <v>0.25109170305676853</v>
          </cell>
          <cell r="CK133">
            <v>0.23144104803493451</v>
          </cell>
        </row>
        <row r="134">
          <cell r="A134" t="str">
            <v>Evan Rodrigues</v>
          </cell>
          <cell r="B134" t="str">
            <v>COL</v>
          </cell>
          <cell r="I134">
            <v>0.85371179039301315</v>
          </cell>
          <cell r="J134">
            <v>0.70960698689956336</v>
          </cell>
          <cell r="K134">
            <v>0.75764192139737996</v>
          </cell>
          <cell r="L134">
            <v>0.81222707423580787</v>
          </cell>
          <cell r="S134">
            <v>0.24454148471615719</v>
          </cell>
          <cell r="T134">
            <v>0.51528384279475981</v>
          </cell>
          <cell r="U134">
            <v>0.48034934497816595</v>
          </cell>
          <cell r="V134">
            <v>0.35371179039301309</v>
          </cell>
          <cell r="AC134">
            <v>0.84497816593886466</v>
          </cell>
          <cell r="AD134">
            <v>0.61790393013100442</v>
          </cell>
          <cell r="AE134">
            <v>0.5393013100436681</v>
          </cell>
          <cell r="AF134">
            <v>0.62008733624454149</v>
          </cell>
          <cell r="AM134">
            <v>0.86462882096069871</v>
          </cell>
          <cell r="AN134">
            <v>0.8253275109170306</v>
          </cell>
          <cell r="AO134">
            <v>0.63973799126637554</v>
          </cell>
          <cell r="AP134">
            <v>0.83187772925764192</v>
          </cell>
          <cell r="AW134">
            <v>0.83842794759825323</v>
          </cell>
          <cell r="AX134">
            <v>0.62008733624454149</v>
          </cell>
          <cell r="AY134">
            <v>0.15283842794759825</v>
          </cell>
          <cell r="AZ134">
            <v>0.38209606986899564</v>
          </cell>
          <cell r="BG134">
            <v>0.94541484716157209</v>
          </cell>
          <cell r="BH134">
            <v>0.6266375545851528</v>
          </cell>
          <cell r="BI134">
            <v>0.48034934497816595</v>
          </cell>
          <cell r="BJ134">
            <v>0.42794759825327511</v>
          </cell>
          <cell r="BQ134">
            <v>0.90829694323144106</v>
          </cell>
          <cell r="BR134">
            <v>0.71397379912663761</v>
          </cell>
          <cell r="BS134">
            <v>0.72052401746724892</v>
          </cell>
          <cell r="BT134">
            <v>0.80131004366812231</v>
          </cell>
          <cell r="BX134">
            <v>0.83842794759825323</v>
          </cell>
          <cell r="CJ134">
            <v>0.47379912663755458</v>
          </cell>
          <cell r="CK134">
            <v>0.54803493449781659</v>
          </cell>
        </row>
        <row r="135">
          <cell r="A135" t="str">
            <v>Evander Kane</v>
          </cell>
          <cell r="B135" t="str">
            <v>EDM</v>
          </cell>
          <cell r="I135">
            <v>0.61572052401746724</v>
          </cell>
          <cell r="J135">
            <v>0.70742358078602618</v>
          </cell>
          <cell r="K135">
            <v>0.45196506550218341</v>
          </cell>
          <cell r="L135">
            <v>0.6266375545851528</v>
          </cell>
          <cell r="S135">
            <v>0.94978165938864634</v>
          </cell>
          <cell r="T135">
            <v>0.21615720524017468</v>
          </cell>
          <cell r="U135">
            <v>0.15938864628820962</v>
          </cell>
          <cell r="V135">
            <v>0.71397379912663761</v>
          </cell>
          <cell r="AC135">
            <v>0.39519650655021832</v>
          </cell>
          <cell r="AD135">
            <v>0.52183406113537123</v>
          </cell>
          <cell r="AE135">
            <v>0.23362445414847161</v>
          </cell>
          <cell r="AF135">
            <v>0.15720524017467249</v>
          </cell>
          <cell r="AM135">
            <v>0.46506550218340609</v>
          </cell>
          <cell r="AN135">
            <v>0.20305676855895197</v>
          </cell>
          <cell r="AO135">
            <v>0.16157205240174671</v>
          </cell>
          <cell r="AP135">
            <v>0.19213973799126638</v>
          </cell>
          <cell r="AW135">
            <v>0.13973799126637554</v>
          </cell>
          <cell r="AX135">
            <v>0.23362445414847161</v>
          </cell>
          <cell r="AY135">
            <v>3.9301310043668124E-2</v>
          </cell>
          <cell r="AZ135">
            <v>5.0218340611353711E-2</v>
          </cell>
          <cell r="BG135">
            <v>0.98908296943231444</v>
          </cell>
          <cell r="BH135">
            <v>0.58296943231441045</v>
          </cell>
          <cell r="BI135">
            <v>0.34934497816593885</v>
          </cell>
          <cell r="BJ135">
            <v>0.31877729257641924</v>
          </cell>
          <cell r="BQ135">
            <v>0.51746724890829698</v>
          </cell>
          <cell r="BR135">
            <v>0.63318777292576423</v>
          </cell>
          <cell r="BS135">
            <v>0.27729257641921395</v>
          </cell>
          <cell r="BT135">
            <v>0.36681222707423583</v>
          </cell>
          <cell r="BX135">
            <v>0.32314410480349343</v>
          </cell>
          <cell r="CJ135">
            <v>4.8034934497816595E-2</v>
          </cell>
          <cell r="CK135">
            <v>0.888646288209607</v>
          </cell>
        </row>
        <row r="136">
          <cell r="A136" t="str">
            <v>Evgeni Malkin</v>
          </cell>
          <cell r="B136" t="str">
            <v>PIT</v>
          </cell>
          <cell r="I136">
            <v>0.9366812227074236</v>
          </cell>
          <cell r="J136">
            <v>0.91703056768558955</v>
          </cell>
          <cell r="K136">
            <v>0.67685589519650657</v>
          </cell>
          <cell r="L136">
            <v>0.9606986899563319</v>
          </cell>
          <cell r="S136">
            <v>0.67685589519650657</v>
          </cell>
          <cell r="T136">
            <v>0.92794759825327511</v>
          </cell>
          <cell r="U136">
            <v>0.95633187772925765</v>
          </cell>
          <cell r="V136">
            <v>0.888646288209607</v>
          </cell>
          <cell r="AC136">
            <v>0.54366812227074235</v>
          </cell>
          <cell r="AD136">
            <v>0.4759825327510917</v>
          </cell>
          <cell r="AE136">
            <v>0.40611353711790393</v>
          </cell>
          <cell r="AF136">
            <v>0.39082969432314413</v>
          </cell>
          <cell r="AM136">
            <v>0.85589519650655022</v>
          </cell>
          <cell r="AN136">
            <v>0.81441048034934493</v>
          </cell>
          <cell r="AO136">
            <v>0.69650655021834063</v>
          </cell>
          <cell r="AP136">
            <v>0.90611353711790388</v>
          </cell>
          <cell r="AW136">
            <v>0.69650655021834063</v>
          </cell>
          <cell r="AX136">
            <v>0.60480349344978168</v>
          </cell>
          <cell r="AY136">
            <v>0.46288209606986902</v>
          </cell>
          <cell r="AZ136">
            <v>0.36462882096069871</v>
          </cell>
          <cell r="BG136">
            <v>0.82751091703056767</v>
          </cell>
          <cell r="BH136">
            <v>0.98253275109170302</v>
          </cell>
          <cell r="BI136">
            <v>0.3296943231441048</v>
          </cell>
          <cell r="BJ136">
            <v>0.35807860262008734</v>
          </cell>
          <cell r="BQ136">
            <v>0.88209606986899558</v>
          </cell>
          <cell r="BR136">
            <v>0.8733624454148472</v>
          </cell>
          <cell r="BS136">
            <v>0.57423580786026196</v>
          </cell>
          <cell r="BT136">
            <v>0.89956331877729256</v>
          </cell>
          <cell r="BX136">
            <v>0.92794759825327511</v>
          </cell>
          <cell r="CJ136">
            <v>0.12882096069868995</v>
          </cell>
          <cell r="CK136">
            <v>0.69868995633187769</v>
          </cell>
        </row>
        <row r="137">
          <cell r="A137" t="str">
            <v>Evgenii Dadonov</v>
          </cell>
          <cell r="B137" t="str">
            <v>DAL, MTL</v>
          </cell>
          <cell r="I137">
            <v>0.44759825327510916</v>
          </cell>
          <cell r="J137">
            <v>0.72270742358078599</v>
          </cell>
          <cell r="K137">
            <v>0.48471615720524019</v>
          </cell>
          <cell r="L137">
            <v>0.67030567685589515</v>
          </cell>
          <cell r="S137">
            <v>0.23144104803493451</v>
          </cell>
          <cell r="T137">
            <v>0.56113537117903933</v>
          </cell>
          <cell r="U137">
            <v>0.48034934497816595</v>
          </cell>
          <cell r="V137">
            <v>0.37117903930131002</v>
          </cell>
          <cell r="AC137">
            <v>0.38427947598253276</v>
          </cell>
          <cell r="AD137">
            <v>0.51310043668122274</v>
          </cell>
          <cell r="AE137">
            <v>0.31004366812227074</v>
          </cell>
          <cell r="AF137">
            <v>0.22707423580786026</v>
          </cell>
          <cell r="AM137">
            <v>0.68995633187772931</v>
          </cell>
          <cell r="AN137">
            <v>0.88427947598253276</v>
          </cell>
          <cell r="AO137">
            <v>0.49126637554585151</v>
          </cell>
          <cell r="AP137">
            <v>0.86244541484716153</v>
          </cell>
          <cell r="AW137">
            <v>0.1943231441048035</v>
          </cell>
          <cell r="AX137">
            <v>0.38209606986899564</v>
          </cell>
          <cell r="AY137">
            <v>0.35589519650655022</v>
          </cell>
          <cell r="AZ137">
            <v>0.18122270742358079</v>
          </cell>
          <cell r="BG137">
            <v>0.55240174672489084</v>
          </cell>
          <cell r="BH137">
            <v>0.57641921397379914</v>
          </cell>
          <cell r="BI137">
            <v>0.53493449781659386</v>
          </cell>
          <cell r="BJ137">
            <v>0.46288209606986902</v>
          </cell>
          <cell r="BQ137">
            <v>0.39519650655021832</v>
          </cell>
          <cell r="BR137">
            <v>0.66157205240174677</v>
          </cell>
          <cell r="BS137">
            <v>0.38646288209606988</v>
          </cell>
          <cell r="BT137">
            <v>0.4606986899563319</v>
          </cell>
          <cell r="BX137">
            <v>0.44104803493449779</v>
          </cell>
          <cell r="CJ137">
            <v>0.61572052401746724</v>
          </cell>
          <cell r="CK137">
            <v>0.19213973799126638</v>
          </cell>
        </row>
        <row r="138">
          <cell r="A138" t="str">
            <v>Evgeny Kuznetsov</v>
          </cell>
          <cell r="B138" t="str">
            <v>WSH</v>
          </cell>
          <cell r="I138">
            <v>0.41921397379912662</v>
          </cell>
          <cell r="J138">
            <v>0.3056768558951965</v>
          </cell>
          <cell r="K138">
            <v>0.56550218340611358</v>
          </cell>
          <cell r="L138">
            <v>0.3056768558951965</v>
          </cell>
          <cell r="S138">
            <v>9.8253275109170299E-2</v>
          </cell>
          <cell r="T138">
            <v>0.88209606986899558</v>
          </cell>
          <cell r="U138">
            <v>0.91921397379912662</v>
          </cell>
          <cell r="V138">
            <v>0.611353711790393</v>
          </cell>
          <cell r="AC138">
            <v>0.17467248908296942</v>
          </cell>
          <cell r="AD138">
            <v>6.1135371179039298E-2</v>
          </cell>
          <cell r="AE138">
            <v>0.26200873362445415</v>
          </cell>
          <cell r="AF138">
            <v>4.8034934497816595E-2</v>
          </cell>
          <cell r="AM138">
            <v>0.31222707423580787</v>
          </cell>
          <cell r="AN138">
            <v>0.20087336244541484</v>
          </cell>
          <cell r="AO138">
            <v>0.53056768558951961</v>
          </cell>
          <cell r="AP138">
            <v>0.18777292576419213</v>
          </cell>
          <cell r="AW138">
            <v>0.14410480349344978</v>
          </cell>
          <cell r="AX138">
            <v>2.1834061135371178E-2</v>
          </cell>
          <cell r="AY138">
            <v>0.31441048034934499</v>
          </cell>
          <cell r="AZ138">
            <v>1.0917030567685589E-2</v>
          </cell>
          <cell r="BG138">
            <v>0.63755458515283847</v>
          </cell>
          <cell r="BH138">
            <v>0.90611353711790388</v>
          </cell>
          <cell r="BI138">
            <v>0.76200873362445409</v>
          </cell>
          <cell r="BJ138">
            <v>0.57860262008733621</v>
          </cell>
          <cell r="BQ138">
            <v>0.27729257641921395</v>
          </cell>
          <cell r="BR138">
            <v>0.12445414847161572</v>
          </cell>
          <cell r="BS138">
            <v>0.39956331877729256</v>
          </cell>
          <cell r="BT138">
            <v>0.10480349344978165</v>
          </cell>
          <cell r="BX138">
            <v>0.1222707423580786</v>
          </cell>
          <cell r="CJ138">
            <v>0.15502183406113537</v>
          </cell>
          <cell r="CK138">
            <v>0.3296943231441048</v>
          </cell>
        </row>
        <row r="139">
          <cell r="A139" t="str">
            <v>Evgeny Svechnikov</v>
          </cell>
          <cell r="B139" t="str">
            <v>S.J</v>
          </cell>
          <cell r="I139">
            <v>0.29694323144104806</v>
          </cell>
          <cell r="J139">
            <v>0.77292576419213976</v>
          </cell>
          <cell r="K139">
            <v>0.51965065502183405</v>
          </cell>
          <cell r="L139">
            <v>0.48689956331877732</v>
          </cell>
          <cell r="S139">
            <v>0.65938864628820959</v>
          </cell>
          <cell r="T139">
            <v>0.1703056768558952</v>
          </cell>
          <cell r="U139">
            <v>0.44104803493449779</v>
          </cell>
          <cell r="V139">
            <v>0.34061135371179041</v>
          </cell>
          <cell r="AC139">
            <v>0.35589519650655022</v>
          </cell>
          <cell r="AD139">
            <v>0.16812227074235808</v>
          </cell>
          <cell r="AE139">
            <v>0.18995633187772926</v>
          </cell>
          <cell r="AF139">
            <v>0.36244541484716158</v>
          </cell>
          <cell r="AM139">
            <v>0.32314410480349343</v>
          </cell>
          <cell r="AN139">
            <v>0.34061135371179041</v>
          </cell>
          <cell r="AO139">
            <v>0.66157205240174677</v>
          </cell>
          <cell r="AP139">
            <v>0.2205240174672489</v>
          </cell>
          <cell r="AW139">
            <v>0.44323144104803491</v>
          </cell>
          <cell r="AX139">
            <v>0.15720524017467249</v>
          </cell>
          <cell r="AY139">
            <v>0.71179039301310043</v>
          </cell>
          <cell r="AZ139">
            <v>0.49563318777292575</v>
          </cell>
          <cell r="BG139">
            <v>0.17685589519650655</v>
          </cell>
          <cell r="BH139">
            <v>0.29912663755458513</v>
          </cell>
          <cell r="BI139">
            <v>0.79694323144104806</v>
          </cell>
          <cell r="BJ139">
            <v>0.50436681222707425</v>
          </cell>
          <cell r="BQ139">
            <v>0.29257641921397382</v>
          </cell>
          <cell r="BR139">
            <v>0.50873362445414849</v>
          </cell>
          <cell r="BS139">
            <v>0.31441048034934499</v>
          </cell>
          <cell r="BT139">
            <v>0.40393013100436681</v>
          </cell>
          <cell r="BX139">
            <v>0.25327510917030566</v>
          </cell>
          <cell r="CJ139">
            <v>0.17248908296943233</v>
          </cell>
          <cell r="CK139">
            <v>0.64192139737991272</v>
          </cell>
        </row>
        <row r="140">
          <cell r="A140" t="str">
            <v>Fabian Zetterlund</v>
          </cell>
          <cell r="B140" t="str">
            <v>N.J, S.J</v>
          </cell>
          <cell r="I140">
            <v>0.63973799126637554</v>
          </cell>
          <cell r="J140">
            <v>0.69213973799126638</v>
          </cell>
          <cell r="K140">
            <v>0.40393013100436681</v>
          </cell>
          <cell r="L140">
            <v>0.67030567685589515</v>
          </cell>
          <cell r="S140">
            <v>0.1222707423580786</v>
          </cell>
          <cell r="T140">
            <v>0.6506550218340611</v>
          </cell>
          <cell r="U140">
            <v>0.81441048034934493</v>
          </cell>
          <cell r="V140">
            <v>0.39082969432314413</v>
          </cell>
          <cell r="AC140">
            <v>0.27510917030567683</v>
          </cell>
          <cell r="AD140">
            <v>0.49563318777292575</v>
          </cell>
          <cell r="AE140">
            <v>0.51528384279475981</v>
          </cell>
          <cell r="AF140">
            <v>0.22925764192139739</v>
          </cell>
          <cell r="AM140">
            <v>0.48689956331877732</v>
          </cell>
          <cell r="AN140">
            <v>0.43449781659388648</v>
          </cell>
          <cell r="AO140">
            <v>0.34279475982532753</v>
          </cell>
          <cell r="AP140">
            <v>0.41048034934497818</v>
          </cell>
          <cell r="AW140">
            <v>0.18995633187772926</v>
          </cell>
          <cell r="AX140">
            <v>0.45196506550218341</v>
          </cell>
          <cell r="AY140">
            <v>0.68558951965065507</v>
          </cell>
          <cell r="AZ140">
            <v>0.26637554585152839</v>
          </cell>
          <cell r="BG140">
            <v>0.5</v>
          </cell>
          <cell r="BH140">
            <v>0.32751091703056767</v>
          </cell>
          <cell r="BI140">
            <v>0.31004366812227074</v>
          </cell>
          <cell r="BJ140">
            <v>0.388646288209607</v>
          </cell>
          <cell r="BQ140">
            <v>0.48034934497816595</v>
          </cell>
          <cell r="BR140">
            <v>0.60480349344978168</v>
          </cell>
          <cell r="BS140">
            <v>0.43013100436681223</v>
          </cell>
          <cell r="BT140">
            <v>0.45633187772925765</v>
          </cell>
          <cell r="BX140">
            <v>0.31222707423580787</v>
          </cell>
          <cell r="CJ140">
            <v>0.71834061135371174</v>
          </cell>
          <cell r="CK140">
            <v>0.30349344978165937</v>
          </cell>
        </row>
        <row r="141">
          <cell r="A141" t="str">
            <v>Filip Chytil</v>
          </cell>
          <cell r="B141" t="str">
            <v>NYR</v>
          </cell>
          <cell r="I141">
            <v>0.38427947598253276</v>
          </cell>
          <cell r="J141">
            <v>0.49563318777292575</v>
          </cell>
          <cell r="K141">
            <v>0.79912663755458513</v>
          </cell>
          <cell r="L141">
            <v>0.4606986899563319</v>
          </cell>
          <cell r="S141">
            <v>0.84716157205240172</v>
          </cell>
          <cell r="T141">
            <v>0.69868995633187769</v>
          </cell>
          <cell r="U141">
            <v>0.83406113537117899</v>
          </cell>
          <cell r="V141">
            <v>0.85807860262008728</v>
          </cell>
          <cell r="AC141">
            <v>0.70087336244541487</v>
          </cell>
          <cell r="AD141">
            <v>0.36026200873362446</v>
          </cell>
          <cell r="AE141">
            <v>0.67903930131004364</v>
          </cell>
          <cell r="AF141">
            <v>0.47816593886462883</v>
          </cell>
          <cell r="AM141">
            <v>0.51965065502183405</v>
          </cell>
          <cell r="AN141">
            <v>0.54366812227074235</v>
          </cell>
          <cell r="AO141">
            <v>0.72925764192139741</v>
          </cell>
          <cell r="AP141">
            <v>0.57641921397379914</v>
          </cell>
          <cell r="AW141">
            <v>0.58951965065502188</v>
          </cell>
          <cell r="AX141">
            <v>0.55021834061135366</v>
          </cell>
          <cell r="AY141">
            <v>0.52620087336244536</v>
          </cell>
          <cell r="AZ141">
            <v>0.53493449781659386</v>
          </cell>
          <cell r="BG141">
            <v>0.59388646288209612</v>
          </cell>
          <cell r="BH141">
            <v>0.73362445414847166</v>
          </cell>
          <cell r="BI141">
            <v>0.8733624454148472</v>
          </cell>
          <cell r="BJ141">
            <v>0.87117903930131002</v>
          </cell>
          <cell r="BQ141">
            <v>0.53056768558951961</v>
          </cell>
          <cell r="BR141">
            <v>0.40393013100436681</v>
          </cell>
          <cell r="BS141">
            <v>0.84279475982532748</v>
          </cell>
          <cell r="BT141">
            <v>0.46506550218340609</v>
          </cell>
          <cell r="BX141">
            <v>0.66157205240174677</v>
          </cell>
          <cell r="CJ141">
            <v>0.41484716157205243</v>
          </cell>
          <cell r="CK141">
            <v>0.57205240174672489</v>
          </cell>
        </row>
        <row r="142">
          <cell r="A142" t="str">
            <v>Filip Forsberg</v>
          </cell>
          <cell r="B142" t="str">
            <v>NSH</v>
          </cell>
          <cell r="I142">
            <v>0.75327510917030571</v>
          </cell>
          <cell r="J142">
            <v>0.82096069868995636</v>
          </cell>
          <cell r="K142">
            <v>0.87772925764192145</v>
          </cell>
          <cell r="L142">
            <v>0.84279475982532748</v>
          </cell>
          <cell r="S142">
            <v>0.94759825327510916</v>
          </cell>
          <cell r="T142">
            <v>0.65938864628820959</v>
          </cell>
          <cell r="U142">
            <v>0.72925764192139741</v>
          </cell>
          <cell r="V142">
            <v>0.90611353711790388</v>
          </cell>
          <cell r="AC142">
            <v>0.18558951965065501</v>
          </cell>
          <cell r="AD142">
            <v>0.22489082969432314</v>
          </cell>
          <cell r="AE142">
            <v>0.25545851528384278</v>
          </cell>
          <cell r="AF142">
            <v>0.17248908296943233</v>
          </cell>
          <cell r="AM142">
            <v>0.69650655021834063</v>
          </cell>
          <cell r="AN142">
            <v>0.84497816593886466</v>
          </cell>
          <cell r="AO142">
            <v>0.95414847161572047</v>
          </cell>
          <cell r="AP142">
            <v>0.76419213973799127</v>
          </cell>
          <cell r="AW142">
            <v>0.42794759825327511</v>
          </cell>
          <cell r="AX142">
            <v>0.2816593886462882</v>
          </cell>
          <cell r="AY142">
            <v>3.4934497816593885E-2</v>
          </cell>
          <cell r="AZ142">
            <v>0.32532751091703055</v>
          </cell>
          <cell r="BG142">
            <v>0.67685589519650657</v>
          </cell>
          <cell r="BH142">
            <v>0.87991266375545851</v>
          </cell>
          <cell r="BI142">
            <v>0.89082969432314407</v>
          </cell>
          <cell r="BJ142">
            <v>0.72925764192139741</v>
          </cell>
          <cell r="BQ142">
            <v>0.51310043668122274</v>
          </cell>
          <cell r="BR142">
            <v>0.60917030567685593</v>
          </cell>
          <cell r="BS142">
            <v>0.62445414847161573</v>
          </cell>
          <cell r="BT142">
            <v>0.58296943231441045</v>
          </cell>
          <cell r="BX142">
            <v>0.68558951965065507</v>
          </cell>
          <cell r="CJ142">
            <v>0.56550218340611358</v>
          </cell>
          <cell r="CK142">
            <v>0.81441048034934493</v>
          </cell>
        </row>
        <row r="143">
          <cell r="A143" t="str">
            <v>Filip Zadina</v>
          </cell>
          <cell r="B143" t="str">
            <v>DET</v>
          </cell>
          <cell r="I143">
            <v>0.53493449781659386</v>
          </cell>
          <cell r="J143">
            <v>0.57860262008733621</v>
          </cell>
          <cell r="K143">
            <v>3.0567685589519649E-2</v>
          </cell>
          <cell r="L143">
            <v>0.50436681222707425</v>
          </cell>
          <cell r="S143">
            <v>0.27510917030567683</v>
          </cell>
          <cell r="T143">
            <v>0.22707423580786026</v>
          </cell>
          <cell r="U143">
            <v>0.19868995633187772</v>
          </cell>
          <cell r="V143">
            <v>0.16593886462882096</v>
          </cell>
          <cell r="AC143">
            <v>0.76855895196506552</v>
          </cell>
          <cell r="AD143">
            <v>0.88427947598253276</v>
          </cell>
          <cell r="AE143">
            <v>0.90829694323144106</v>
          </cell>
          <cell r="AF143">
            <v>0.88427947598253276</v>
          </cell>
          <cell r="AM143">
            <v>0.93886462882096067</v>
          </cell>
          <cell r="AN143">
            <v>0.94323144104803491</v>
          </cell>
          <cell r="AO143">
            <v>0.17248908296943233</v>
          </cell>
          <cell r="AP143">
            <v>0.91484716157205237</v>
          </cell>
          <cell r="AW143">
            <v>0.97161572052401746</v>
          </cell>
          <cell r="AX143">
            <v>0.9606986899563319</v>
          </cell>
          <cell r="AY143">
            <v>0.98689956331877726</v>
          </cell>
          <cell r="AZ143">
            <v>0.90393013100436681</v>
          </cell>
          <cell r="BG143">
            <v>0.46724890829694321</v>
          </cell>
          <cell r="BH143">
            <v>0.3296943231441048</v>
          </cell>
          <cell r="BI143">
            <v>2.6200873362445413E-2</v>
          </cell>
          <cell r="BJ143">
            <v>0.18995633187772926</v>
          </cell>
          <cell r="BQ143">
            <v>0.64410480349344978</v>
          </cell>
          <cell r="BR143">
            <v>0.76419213973799127</v>
          </cell>
          <cell r="BS143">
            <v>0.20305676855895197</v>
          </cell>
          <cell r="BT143">
            <v>0.76419213973799127</v>
          </cell>
          <cell r="BX143">
            <v>0.76419213973799127</v>
          </cell>
          <cell r="CJ143">
            <v>0.41484716157205243</v>
          </cell>
          <cell r="CK143">
            <v>0.30349344978165937</v>
          </cell>
        </row>
        <row r="144">
          <cell r="A144" t="str">
            <v>Frank Vatrano</v>
          </cell>
          <cell r="B144" t="str">
            <v>ANA</v>
          </cell>
          <cell r="I144">
            <v>0.3056768558951965</v>
          </cell>
          <cell r="J144">
            <v>9.8253275109170299E-2</v>
          </cell>
          <cell r="K144">
            <v>0.26637554585152839</v>
          </cell>
          <cell r="L144">
            <v>0.14192139737991266</v>
          </cell>
          <cell r="S144">
            <v>0.5873362445414847</v>
          </cell>
          <cell r="T144">
            <v>0.33842794759825329</v>
          </cell>
          <cell r="U144">
            <v>0.44104803493449779</v>
          </cell>
          <cell r="V144">
            <v>0.41484716157205243</v>
          </cell>
          <cell r="AC144">
            <v>8.7336244541484712E-3</v>
          </cell>
          <cell r="AD144">
            <v>4.3668122270742356E-3</v>
          </cell>
          <cell r="AE144">
            <v>6.3318777292576414E-2</v>
          </cell>
          <cell r="AF144">
            <v>6.5502183406113534E-3</v>
          </cell>
          <cell r="AM144">
            <v>0.67903930131004364</v>
          </cell>
          <cell r="AN144">
            <v>0.24454148471615719</v>
          </cell>
          <cell r="AO144">
            <v>0.50655021834061131</v>
          </cell>
          <cell r="AP144">
            <v>0.40174672489082969</v>
          </cell>
          <cell r="AW144">
            <v>0.10698689956331878</v>
          </cell>
          <cell r="AX144">
            <v>1.0917030567685589E-2</v>
          </cell>
          <cell r="AY144">
            <v>0.35589519650655022</v>
          </cell>
          <cell r="AZ144">
            <v>6.1135371179039298E-2</v>
          </cell>
          <cell r="BG144">
            <v>0.77510917030567683</v>
          </cell>
          <cell r="BH144">
            <v>0.36244541484716158</v>
          </cell>
          <cell r="BI144">
            <v>0.28602620087336245</v>
          </cell>
          <cell r="BJ144">
            <v>0.31877729257641924</v>
          </cell>
          <cell r="BQ144">
            <v>3.7117903930131008E-2</v>
          </cell>
          <cell r="BR144">
            <v>8.7336244541484712E-3</v>
          </cell>
          <cell r="BS144">
            <v>0.10043668122270742</v>
          </cell>
          <cell r="BT144">
            <v>1.0917030567685589E-2</v>
          </cell>
          <cell r="BX144">
            <v>0.11353711790393013</v>
          </cell>
          <cell r="CJ144">
            <v>0.33624454148471616</v>
          </cell>
          <cell r="CK144">
            <v>0.61790393013100442</v>
          </cell>
        </row>
        <row r="145">
          <cell r="A145" t="str">
            <v>Frederick Gaudreau</v>
          </cell>
          <cell r="B145" t="str">
            <v>MIN</v>
          </cell>
          <cell r="I145">
            <v>0.31222707423580787</v>
          </cell>
          <cell r="J145">
            <v>0.15065502183406113</v>
          </cell>
          <cell r="K145">
            <v>0.32096069868995636</v>
          </cell>
          <cell r="L145">
            <v>0.24672489082969432</v>
          </cell>
          <cell r="S145">
            <v>0.33624454148471616</v>
          </cell>
          <cell r="T145">
            <v>0.37336244541484714</v>
          </cell>
          <cell r="U145">
            <v>0.42358078602620086</v>
          </cell>
          <cell r="V145">
            <v>0.29694323144104806</v>
          </cell>
          <cell r="AC145">
            <v>0.42576419213973798</v>
          </cell>
          <cell r="AD145">
            <v>0.81222707423580787</v>
          </cell>
          <cell r="AE145">
            <v>0.79039301310043664</v>
          </cell>
          <cell r="AF145">
            <v>0.5873362445414847</v>
          </cell>
          <cell r="AM145">
            <v>0.23144104803493451</v>
          </cell>
          <cell r="AN145">
            <v>0.20524017467248909</v>
          </cell>
          <cell r="AO145">
            <v>0.52620087336244536</v>
          </cell>
          <cell r="AP145">
            <v>0.32532751091703055</v>
          </cell>
          <cell r="AW145">
            <v>0.34934497816593885</v>
          </cell>
          <cell r="AX145">
            <v>0.46506550218340609</v>
          </cell>
          <cell r="AY145">
            <v>0.53711790393013104</v>
          </cell>
          <cell r="AZ145">
            <v>0.32532751091703055</v>
          </cell>
          <cell r="BG145">
            <v>0.44978165938864628</v>
          </cell>
          <cell r="BH145">
            <v>0.56113537117903933</v>
          </cell>
          <cell r="BI145">
            <v>0.40174672489082969</v>
          </cell>
          <cell r="BJ145">
            <v>0.68340611353711789</v>
          </cell>
          <cell r="BQ145">
            <v>0.33406113537117904</v>
          </cell>
          <cell r="BR145">
            <v>0.36681222707423583</v>
          </cell>
          <cell r="BS145">
            <v>0.56986899563318782</v>
          </cell>
          <cell r="BT145">
            <v>0.33406113537117904</v>
          </cell>
          <cell r="BX145">
            <v>0.2183406113537118</v>
          </cell>
          <cell r="CJ145">
            <v>0.8733624454148472</v>
          </cell>
          <cell r="CK145">
            <v>0.16812227074235808</v>
          </cell>
        </row>
        <row r="146">
          <cell r="A146" t="str">
            <v>Fredrik Olofsson</v>
          </cell>
          <cell r="B146" t="str">
            <v>DAL</v>
          </cell>
          <cell r="I146">
            <v>0.56986899563318782</v>
          </cell>
          <cell r="J146">
            <v>0.35807860262008734</v>
          </cell>
          <cell r="K146">
            <v>0.11353711790393013</v>
          </cell>
          <cell r="L146">
            <v>0.29694323144104806</v>
          </cell>
          <cell r="S146">
            <v>3.2751091703056769E-2</v>
          </cell>
          <cell r="T146">
            <v>0.20524017467248909</v>
          </cell>
          <cell r="U146">
            <v>0.61790393013100442</v>
          </cell>
          <cell r="V146">
            <v>5.6768558951965066E-2</v>
          </cell>
          <cell r="AC146">
            <v>0.97816593886462877</v>
          </cell>
          <cell r="AD146">
            <v>0.99563318777292575</v>
          </cell>
          <cell r="AE146">
            <v>0.93886462882096067</v>
          </cell>
          <cell r="AF146">
            <v>0.99344978165938869</v>
          </cell>
          <cell r="AM146">
            <v>0.39082969432314413</v>
          </cell>
          <cell r="AN146">
            <v>0.1703056768558952</v>
          </cell>
          <cell r="AO146">
            <v>0.11572052401746726</v>
          </cell>
          <cell r="AP146">
            <v>0.15720524017467249</v>
          </cell>
          <cell r="AW146">
            <v>0.99781659388646293</v>
          </cell>
          <cell r="AX146">
            <v>0.99563318777292575</v>
          </cell>
          <cell r="AY146">
            <v>0.78384279475982532</v>
          </cell>
          <cell r="AZ146">
            <v>0.99781659388646293</v>
          </cell>
          <cell r="BG146">
            <v>0.15720524017467249</v>
          </cell>
          <cell r="BH146">
            <v>0.13100436681222707</v>
          </cell>
          <cell r="BI146">
            <v>4.8034934497816595E-2</v>
          </cell>
          <cell r="BJ146">
            <v>0.18995633187772926</v>
          </cell>
          <cell r="BQ146">
            <v>0.90174672489082974</v>
          </cell>
          <cell r="BR146">
            <v>0.92794759825327511</v>
          </cell>
          <cell r="BS146">
            <v>0.48471615720524019</v>
          </cell>
          <cell r="BT146">
            <v>0.89301310043668125</v>
          </cell>
          <cell r="BX146">
            <v>0.69432314410480345</v>
          </cell>
          <cell r="CJ146">
            <v>0.93886462882096067</v>
          </cell>
          <cell r="CK146">
            <v>0.27729257641921395</v>
          </cell>
        </row>
        <row r="147">
          <cell r="A147" t="str">
            <v>Gabriel Vilardi</v>
          </cell>
          <cell r="B147" t="str">
            <v>L.A</v>
          </cell>
          <cell r="I147">
            <v>0.62882096069868998</v>
          </cell>
          <cell r="J147">
            <v>0.67248908296943233</v>
          </cell>
          <cell r="K147">
            <v>0.51965065502183405</v>
          </cell>
          <cell r="L147">
            <v>0.6266375545851528</v>
          </cell>
          <cell r="S147">
            <v>0.95851528384279472</v>
          </cell>
          <cell r="T147">
            <v>0.51528384279475981</v>
          </cell>
          <cell r="U147">
            <v>0.51091703056768556</v>
          </cell>
          <cell r="V147">
            <v>0.86899563318777295</v>
          </cell>
          <cell r="AC147">
            <v>0.96943231441048039</v>
          </cell>
          <cell r="AD147">
            <v>0.9759825327510917</v>
          </cell>
          <cell r="AE147">
            <v>0.94978165938864634</v>
          </cell>
          <cell r="AF147">
            <v>0.98253275109170302</v>
          </cell>
          <cell r="AM147">
            <v>0.34279475982532753</v>
          </cell>
          <cell r="AN147">
            <v>0.39737991266375544</v>
          </cell>
          <cell r="AO147">
            <v>0.40393013100436681</v>
          </cell>
          <cell r="AP147">
            <v>0.46724890829694321</v>
          </cell>
          <cell r="AW147">
            <v>0.79039301310043664</v>
          </cell>
          <cell r="AX147">
            <v>0.92358078602620086</v>
          </cell>
          <cell r="AY147">
            <v>0.96506550218340614</v>
          </cell>
          <cell r="AZ147">
            <v>0.88427947598253276</v>
          </cell>
          <cell r="BG147">
            <v>0.49563318777292575</v>
          </cell>
          <cell r="BH147">
            <v>0.66375545851528384</v>
          </cell>
          <cell r="BI147">
            <v>0.4366812227074236</v>
          </cell>
          <cell r="BJ147">
            <v>0.70960698689956336</v>
          </cell>
          <cell r="BQ147">
            <v>0.90393013100436681</v>
          </cell>
          <cell r="BR147">
            <v>0.91048034934497812</v>
          </cell>
          <cell r="BS147">
            <v>0.94104803493449785</v>
          </cell>
          <cell r="BT147">
            <v>0.93231441048034935</v>
          </cell>
          <cell r="BX147">
            <v>0.91921397379912662</v>
          </cell>
          <cell r="CJ147">
            <v>0.67685589519650657</v>
          </cell>
          <cell r="CK147">
            <v>0.95196506550218341</v>
          </cell>
        </row>
        <row r="148">
          <cell r="A148" t="str">
            <v>Garnet Hathaway</v>
          </cell>
          <cell r="B148" t="str">
            <v>BOS, WSH</v>
          </cell>
          <cell r="I148">
            <v>0.39956331877729256</v>
          </cell>
          <cell r="J148">
            <v>0.45633187772925765</v>
          </cell>
          <cell r="K148">
            <v>0.3930131004366812</v>
          </cell>
          <cell r="L148">
            <v>0.35152838427947597</v>
          </cell>
          <cell r="S148">
            <v>0.77510917030567683</v>
          </cell>
          <cell r="T148">
            <v>0.15283842794759825</v>
          </cell>
          <cell r="U148">
            <v>9.606986899563319E-2</v>
          </cell>
          <cell r="V148">
            <v>0.39956331877729256</v>
          </cell>
          <cell r="AC148">
            <v>0.68995633187772931</v>
          </cell>
          <cell r="AD148">
            <v>0.87991266375545851</v>
          </cell>
          <cell r="AE148">
            <v>0.84061135371179041</v>
          </cell>
          <cell r="AF148">
            <v>0.69868995633187769</v>
          </cell>
          <cell r="AM148">
            <v>0.24672489082969432</v>
          </cell>
          <cell r="AN148">
            <v>0.35371179039301309</v>
          </cell>
          <cell r="AO148">
            <v>0.37554585152838427</v>
          </cell>
          <cell r="AP148">
            <v>0.23580786026200873</v>
          </cell>
          <cell r="AW148">
            <v>0.77074235807860259</v>
          </cell>
          <cell r="AX148">
            <v>0.91484716157205237</v>
          </cell>
          <cell r="AY148">
            <v>0.73799126637554591</v>
          </cell>
          <cell r="AZ148">
            <v>0.72052401746724892</v>
          </cell>
          <cell r="BG148">
            <v>0.16812227074235808</v>
          </cell>
          <cell r="BH148">
            <v>6.5502183406113534E-3</v>
          </cell>
          <cell r="BI148">
            <v>0.4126637554585153</v>
          </cell>
          <cell r="BJ148">
            <v>0.64628820960698685</v>
          </cell>
          <cell r="BQ148">
            <v>0.53711790393013104</v>
          </cell>
          <cell r="BR148">
            <v>0.70524017467248912</v>
          </cell>
          <cell r="BS148">
            <v>0.67685589519650657</v>
          </cell>
          <cell r="BT148">
            <v>0.51528384279475981</v>
          </cell>
          <cell r="BX148">
            <v>0.46506550218340609</v>
          </cell>
          <cell r="CJ148">
            <v>6.3318777292576414E-2</v>
          </cell>
          <cell r="CK148">
            <v>0.98471615720524019</v>
          </cell>
        </row>
        <row r="149">
          <cell r="A149" t="str">
            <v>Givani Smith</v>
          </cell>
          <cell r="B149" t="str">
            <v>DET, FLA</v>
          </cell>
          <cell r="I149">
            <v>0.63318777292576423</v>
          </cell>
          <cell r="J149">
            <v>0.23799126637554585</v>
          </cell>
          <cell r="K149">
            <v>0.10698689956331878</v>
          </cell>
          <cell r="L149">
            <v>0.24672489082969432</v>
          </cell>
          <cell r="S149">
            <v>4.8034934497816595E-2</v>
          </cell>
          <cell r="T149">
            <v>0.2816593886462882</v>
          </cell>
          <cell r="U149">
            <v>0.41048034934497818</v>
          </cell>
          <cell r="V149">
            <v>8.296943231441048E-2</v>
          </cell>
          <cell r="AC149">
            <v>0.31004366812227074</v>
          </cell>
          <cell r="AD149">
            <v>0.11790393013100436</v>
          </cell>
          <cell r="AE149">
            <v>0.73799126637554591</v>
          </cell>
          <cell r="AF149">
            <v>0.14628820960698691</v>
          </cell>
          <cell r="AM149">
            <v>0.18340611353711792</v>
          </cell>
          <cell r="AN149">
            <v>1.7467248908296942E-2</v>
          </cell>
          <cell r="AO149">
            <v>4.148471615720524E-2</v>
          </cell>
          <cell r="AP149">
            <v>1.7467248908296942E-2</v>
          </cell>
          <cell r="AW149">
            <v>0.72489082969432317</v>
          </cell>
          <cell r="AX149">
            <v>0.75327510917030571</v>
          </cell>
          <cell r="AY149">
            <v>0.90611353711790388</v>
          </cell>
          <cell r="AZ149">
            <v>0.51965065502183405</v>
          </cell>
          <cell r="BG149">
            <v>2.1834061135371178E-3</v>
          </cell>
          <cell r="BH149">
            <v>0.74454148471615722</v>
          </cell>
          <cell r="BI149">
            <v>3.9301310043668124E-2</v>
          </cell>
          <cell r="BJ149">
            <v>0.29039301310043669</v>
          </cell>
          <cell r="BQ149">
            <v>0.5</v>
          </cell>
          <cell r="BR149">
            <v>0.14410480349344978</v>
          </cell>
          <cell r="BS149">
            <v>0.24454148471615719</v>
          </cell>
          <cell r="BT149">
            <v>0.14628820960698691</v>
          </cell>
          <cell r="BX149">
            <v>0.12445414847161572</v>
          </cell>
          <cell r="CJ149">
            <v>2.1834061135371178E-3</v>
          </cell>
          <cell r="CK149">
            <v>1</v>
          </cell>
        </row>
        <row r="150">
          <cell r="A150" t="str">
            <v>Gustav Nyquist</v>
          </cell>
          <cell r="B150" t="str">
            <v>CBJ, MIN</v>
          </cell>
          <cell r="I150">
            <v>0.44759825327510916</v>
          </cell>
          <cell r="J150">
            <v>0.19213973799126638</v>
          </cell>
          <cell r="K150">
            <v>0.42358078602620086</v>
          </cell>
          <cell r="L150">
            <v>0.35807860262008734</v>
          </cell>
          <cell r="S150">
            <v>0.56986899563318782</v>
          </cell>
          <cell r="T150">
            <v>0.61353711790393017</v>
          </cell>
          <cell r="U150">
            <v>0.58078602620087338</v>
          </cell>
          <cell r="V150">
            <v>0.60698689956331875</v>
          </cell>
          <cell r="AC150">
            <v>6.3318777292576414E-2</v>
          </cell>
          <cell r="AD150">
            <v>0.46506550218340609</v>
          </cell>
          <cell r="AE150">
            <v>0.18340611353711792</v>
          </cell>
          <cell r="AF150">
            <v>0.24017467248908297</v>
          </cell>
          <cell r="AM150">
            <v>0.74235807860262004</v>
          </cell>
          <cell r="AN150">
            <v>0.60480349344978168</v>
          </cell>
          <cell r="AO150">
            <v>0.66812227074235808</v>
          </cell>
          <cell r="AP150">
            <v>0.72707423580786024</v>
          </cell>
          <cell r="AW150">
            <v>0.24890829694323144</v>
          </cell>
          <cell r="AX150">
            <v>0.72707423580786024</v>
          </cell>
          <cell r="AY150">
            <v>0.63537117903930129</v>
          </cell>
          <cell r="AZ150">
            <v>0.51091703056768556</v>
          </cell>
          <cell r="BG150">
            <v>0.72489082969432317</v>
          </cell>
          <cell r="BH150">
            <v>0.68995633187772931</v>
          </cell>
          <cell r="BI150">
            <v>0.50218340611353707</v>
          </cell>
          <cell r="BJ150">
            <v>0.49126637554585151</v>
          </cell>
          <cell r="BQ150">
            <v>0.16812227074235808</v>
          </cell>
          <cell r="BR150">
            <v>0.24890829694323144</v>
          </cell>
          <cell r="BS150">
            <v>0.23799126637554585</v>
          </cell>
          <cell r="BT150">
            <v>0.28820960698689957</v>
          </cell>
          <cell r="BX150">
            <v>0.4126637554585153</v>
          </cell>
          <cell r="CJ150">
            <v>0.68995633187772931</v>
          </cell>
          <cell r="CK150">
            <v>3.2751091703056769E-2</v>
          </cell>
        </row>
        <row r="151">
          <cell r="A151" t="str">
            <v>Hudson Fasching</v>
          </cell>
          <cell r="B151" t="str">
            <v>NYI</v>
          </cell>
          <cell r="I151">
            <v>0.48908296943231439</v>
          </cell>
          <cell r="J151">
            <v>0.8253275109170306</v>
          </cell>
          <cell r="K151">
            <v>0.8733624454148472</v>
          </cell>
          <cell r="L151">
            <v>0.63318777292576423</v>
          </cell>
          <cell r="S151">
            <v>0.82314410480349343</v>
          </cell>
          <cell r="T151">
            <v>0.37336244541484714</v>
          </cell>
          <cell r="U151">
            <v>0.56550218340611358</v>
          </cell>
          <cell r="V151">
            <v>0.62227074235807855</v>
          </cell>
          <cell r="AC151">
            <v>0.68995633187772931</v>
          </cell>
          <cell r="AD151">
            <v>0.3056768558951965</v>
          </cell>
          <cell r="AE151">
            <v>0.71179039301310043</v>
          </cell>
          <cell r="AF151">
            <v>0.47816593886462883</v>
          </cell>
          <cell r="AM151">
            <v>0.42358078602620086</v>
          </cell>
          <cell r="AN151">
            <v>0.79039301310043664</v>
          </cell>
          <cell r="AO151">
            <v>0.888646288209607</v>
          </cell>
          <cell r="AP151">
            <v>0.58951965065502188</v>
          </cell>
          <cell r="AW151">
            <v>0.69650655021834063</v>
          </cell>
          <cell r="AX151">
            <v>0.24890829694323144</v>
          </cell>
          <cell r="AY151">
            <v>0.36244541484716158</v>
          </cell>
          <cell r="AZ151">
            <v>0.31441048034934499</v>
          </cell>
          <cell r="BG151">
            <v>0.50873362445414849</v>
          </cell>
          <cell r="BH151">
            <v>0.2205240174672489</v>
          </cell>
          <cell r="BI151">
            <v>0.96943231441048039</v>
          </cell>
          <cell r="BJ151">
            <v>0.95633187772925765</v>
          </cell>
          <cell r="BQ151">
            <v>0.58296943231441045</v>
          </cell>
          <cell r="BR151">
            <v>0.69650655021834063</v>
          </cell>
          <cell r="BS151">
            <v>0.88209606986899558</v>
          </cell>
          <cell r="BT151">
            <v>0.59388646288209612</v>
          </cell>
          <cell r="BX151">
            <v>0.61572052401746724</v>
          </cell>
          <cell r="CJ151">
            <v>0.73362445414847166</v>
          </cell>
          <cell r="CK151">
            <v>0.44323144104803491</v>
          </cell>
        </row>
        <row r="152">
          <cell r="A152" t="str">
            <v>Ilya Mikheyev</v>
          </cell>
          <cell r="B152" t="str">
            <v>VAN</v>
          </cell>
          <cell r="I152">
            <v>0.14847161572052403</v>
          </cell>
          <cell r="J152">
            <v>0.44104803493449779</v>
          </cell>
          <cell r="K152">
            <v>0.98034934497816595</v>
          </cell>
          <cell r="L152">
            <v>0.31659388646288211</v>
          </cell>
          <cell r="S152">
            <v>0.89519650655021832</v>
          </cell>
          <cell r="T152">
            <v>0.77510917030567683</v>
          </cell>
          <cell r="U152">
            <v>0.76419213973799127</v>
          </cell>
          <cell r="V152">
            <v>0.91484716157205237</v>
          </cell>
          <cell r="AC152">
            <v>0.51310043668122274</v>
          </cell>
          <cell r="AD152">
            <v>0.12008733624454149</v>
          </cell>
          <cell r="AE152">
            <v>0.14410480349344978</v>
          </cell>
          <cell r="AF152">
            <v>0.34279475982532753</v>
          </cell>
          <cell r="AM152">
            <v>0.29039301310043669</v>
          </cell>
          <cell r="AN152">
            <v>0.62882096069868998</v>
          </cell>
          <cell r="AO152">
            <v>0.99126637554585151</v>
          </cell>
          <cell r="AP152">
            <v>0.48471615720524019</v>
          </cell>
          <cell r="AW152">
            <v>0.77729257641921401</v>
          </cell>
          <cell r="AX152">
            <v>0.24454148471615719</v>
          </cell>
          <cell r="AY152">
            <v>0.41484716157205243</v>
          </cell>
          <cell r="AZ152">
            <v>0.63100436681222705</v>
          </cell>
          <cell r="BG152">
            <v>0.78602620087336239</v>
          </cell>
          <cell r="BH152">
            <v>0.53275109170305679</v>
          </cell>
          <cell r="BI152">
            <v>1</v>
          </cell>
          <cell r="BJ152">
            <v>0.9126637554585153</v>
          </cell>
          <cell r="BQ152">
            <v>0.2423580786026201</v>
          </cell>
          <cell r="BR152">
            <v>0.23580786026200873</v>
          </cell>
          <cell r="BS152">
            <v>0.71615720524017468</v>
          </cell>
          <cell r="BT152">
            <v>0.29912663755458513</v>
          </cell>
          <cell r="BX152">
            <v>0.5</v>
          </cell>
          <cell r="CJ152">
            <v>0.97379912663755464</v>
          </cell>
          <cell r="CK152">
            <v>0.50873362445414849</v>
          </cell>
        </row>
        <row r="153">
          <cell r="A153" t="str">
            <v>Isac Lundestrom</v>
          </cell>
          <cell r="B153" t="str">
            <v>ANA</v>
          </cell>
          <cell r="I153">
            <v>4.8034934497816595E-2</v>
          </cell>
          <cell r="J153">
            <v>0.14628820960698691</v>
          </cell>
          <cell r="K153">
            <v>0.11353711790393013</v>
          </cell>
          <cell r="L153">
            <v>5.2401746724890827E-2</v>
          </cell>
          <cell r="S153">
            <v>5.8951965065502182E-2</v>
          </cell>
          <cell r="T153">
            <v>0.1703056768558952</v>
          </cell>
          <cell r="U153">
            <v>0.13755458515283842</v>
          </cell>
          <cell r="V153">
            <v>5.6768558951965066E-2</v>
          </cell>
          <cell r="AC153">
            <v>2.1834061135371178E-2</v>
          </cell>
          <cell r="AD153">
            <v>8.296943231441048E-2</v>
          </cell>
          <cell r="AE153">
            <v>0.27947598253275108</v>
          </cell>
          <cell r="AF153">
            <v>4.5851528384279479E-2</v>
          </cell>
          <cell r="AM153">
            <v>0.18558951965065501</v>
          </cell>
          <cell r="AN153">
            <v>0.30131004366812225</v>
          </cell>
          <cell r="AO153">
            <v>0.15720524017467249</v>
          </cell>
          <cell r="AP153">
            <v>0.16157205240174671</v>
          </cell>
          <cell r="AW153">
            <v>0.3056768558951965</v>
          </cell>
          <cell r="AX153">
            <v>0.82314410480349343</v>
          </cell>
          <cell r="AY153">
            <v>0.74672489082969429</v>
          </cell>
          <cell r="AZ153">
            <v>0.67248908296943233</v>
          </cell>
          <cell r="BG153">
            <v>0.388646288209607</v>
          </cell>
          <cell r="BH153">
            <v>5.8951965065502182E-2</v>
          </cell>
          <cell r="BI153">
            <v>0.15502183406113537</v>
          </cell>
          <cell r="BJ153">
            <v>0.33187772925764192</v>
          </cell>
          <cell r="BQ153">
            <v>1.7467248908296942E-2</v>
          </cell>
          <cell r="BR153">
            <v>6.768558951965066E-2</v>
          </cell>
          <cell r="BS153">
            <v>8.296943231441048E-2</v>
          </cell>
          <cell r="BT153">
            <v>1.9650655021834062E-2</v>
          </cell>
          <cell r="BX153">
            <v>1.5283842794759825E-2</v>
          </cell>
          <cell r="CJ153">
            <v>0.97816593886462877</v>
          </cell>
          <cell r="CK153">
            <v>0.10480349344978165</v>
          </cell>
        </row>
        <row r="154">
          <cell r="A154" t="str">
            <v>Ivan Barbashev</v>
          </cell>
          <cell r="B154" t="str">
            <v>STL, VGK</v>
          </cell>
          <cell r="I154">
            <v>0.50655021834061131</v>
          </cell>
          <cell r="J154">
            <v>0.47379912663755458</v>
          </cell>
          <cell r="K154">
            <v>0.67685589519650657</v>
          </cell>
          <cell r="L154">
            <v>0.4606986899563319</v>
          </cell>
          <cell r="S154">
            <v>0.45414847161572053</v>
          </cell>
          <cell r="T154">
            <v>0.79912663755458513</v>
          </cell>
          <cell r="U154">
            <v>0.61790393013100442</v>
          </cell>
          <cell r="V154">
            <v>0.68777292576419213</v>
          </cell>
          <cell r="AC154">
            <v>7.8602620087336247E-2</v>
          </cell>
          <cell r="AD154">
            <v>0.2205240174672489</v>
          </cell>
          <cell r="AE154">
            <v>0.45851528384279477</v>
          </cell>
          <cell r="AF154">
            <v>0.11135371179039301</v>
          </cell>
          <cell r="AM154">
            <v>0.81222707423580787</v>
          </cell>
          <cell r="AN154">
            <v>0.73580786026200873</v>
          </cell>
          <cell r="AO154">
            <v>0.67685589519650657</v>
          </cell>
          <cell r="AP154">
            <v>0.69650655021834063</v>
          </cell>
          <cell r="AW154">
            <v>8.7336244541484712E-2</v>
          </cell>
          <cell r="AX154">
            <v>0.34279475982532753</v>
          </cell>
          <cell r="AY154">
            <v>0.64628820960698685</v>
          </cell>
          <cell r="AZ154">
            <v>0.24454148471615719</v>
          </cell>
          <cell r="BG154">
            <v>0.8253275109170306</v>
          </cell>
          <cell r="BH154">
            <v>0.45414847161572053</v>
          </cell>
          <cell r="BI154">
            <v>0.74235807860262004</v>
          </cell>
          <cell r="BJ154">
            <v>0.81877729257641918</v>
          </cell>
          <cell r="BQ154">
            <v>0.22270742358078602</v>
          </cell>
          <cell r="BR154">
            <v>0.31659388646288211</v>
          </cell>
          <cell r="BS154">
            <v>0.61353711790393017</v>
          </cell>
          <cell r="BT154">
            <v>0.24672489082969432</v>
          </cell>
          <cell r="BX154">
            <v>0.39737991266375544</v>
          </cell>
          <cell r="CJ154">
            <v>0.44978165938864628</v>
          </cell>
          <cell r="CK154">
            <v>0.70305676855895194</v>
          </cell>
        </row>
        <row r="155">
          <cell r="A155" t="str">
            <v>J.T. Compher</v>
          </cell>
          <cell r="B155" t="str">
            <v>COL</v>
          </cell>
          <cell r="I155">
            <v>0.69432314410480345</v>
          </cell>
          <cell r="J155">
            <v>0.42576419213973798</v>
          </cell>
          <cell r="K155">
            <v>0.49344978165938863</v>
          </cell>
          <cell r="L155">
            <v>0.50436681222707425</v>
          </cell>
          <cell r="S155">
            <v>0.4126637554585153</v>
          </cell>
          <cell r="T155">
            <v>0.48689956331877732</v>
          </cell>
          <cell r="U155">
            <v>0.52183406113537123</v>
          </cell>
          <cell r="V155">
            <v>0.43449781659388648</v>
          </cell>
          <cell r="AC155">
            <v>0.49563318777292575</v>
          </cell>
          <cell r="AD155">
            <v>0.58515283842794763</v>
          </cell>
          <cell r="AE155">
            <v>0.84061135371179041</v>
          </cell>
          <cell r="AF155">
            <v>0.78602620087336239</v>
          </cell>
          <cell r="AM155">
            <v>0.60698689956331875</v>
          </cell>
          <cell r="AN155">
            <v>0.46506550218340609</v>
          </cell>
          <cell r="AO155">
            <v>0.45851528384279477</v>
          </cell>
          <cell r="AP155">
            <v>0.5240174672489083</v>
          </cell>
          <cell r="AW155">
            <v>0.32532751091703055</v>
          </cell>
          <cell r="AX155">
            <v>0.50873362445414849</v>
          </cell>
          <cell r="AY155">
            <v>0.70524017467248912</v>
          </cell>
          <cell r="AZ155">
            <v>0.63100436681222705</v>
          </cell>
          <cell r="BG155">
            <v>0.92576419213973804</v>
          </cell>
          <cell r="BH155">
            <v>0.39956331877729256</v>
          </cell>
          <cell r="BI155">
            <v>0.31877729257641924</v>
          </cell>
          <cell r="BJ155">
            <v>0.68340611353711789</v>
          </cell>
          <cell r="BQ155">
            <v>0.6266375545851528</v>
          </cell>
          <cell r="BR155">
            <v>0.4606986899563319</v>
          </cell>
          <cell r="BS155">
            <v>0.78165938864628826</v>
          </cell>
          <cell r="BT155">
            <v>0.69868995633187769</v>
          </cell>
          <cell r="BX155">
            <v>0.60917030567685593</v>
          </cell>
          <cell r="CJ155">
            <v>0.47379912663755458</v>
          </cell>
          <cell r="CK155">
            <v>0.35589519650655022</v>
          </cell>
        </row>
        <row r="156">
          <cell r="A156" t="str">
            <v>J.T. Miller</v>
          </cell>
          <cell r="B156" t="str">
            <v>VAN</v>
          </cell>
          <cell r="I156">
            <v>0.59170305676855894</v>
          </cell>
          <cell r="J156">
            <v>0.34279475982532753</v>
          </cell>
          <cell r="K156">
            <v>0.29475982532751094</v>
          </cell>
          <cell r="L156">
            <v>0.35807860262008734</v>
          </cell>
          <cell r="S156">
            <v>0.388646288209607</v>
          </cell>
          <cell r="T156">
            <v>0.63755458515283847</v>
          </cell>
          <cell r="U156">
            <v>0.75109170305676853</v>
          </cell>
          <cell r="V156">
            <v>0.55021834061135366</v>
          </cell>
          <cell r="AC156">
            <v>0.43449781659388648</v>
          </cell>
          <cell r="AD156">
            <v>0.34716157205240172</v>
          </cell>
          <cell r="AE156">
            <v>0.26419213973799127</v>
          </cell>
          <cell r="AF156">
            <v>0.24017467248908297</v>
          </cell>
          <cell r="AM156">
            <v>0.90611353711790388</v>
          </cell>
          <cell r="AN156">
            <v>0.41703056768558949</v>
          </cell>
          <cell r="AO156">
            <v>0.27947598253275108</v>
          </cell>
          <cell r="AP156">
            <v>0.57423580786026196</v>
          </cell>
          <cell r="AW156">
            <v>0.36244541484716158</v>
          </cell>
          <cell r="AX156">
            <v>0.39519650655021832</v>
          </cell>
          <cell r="AY156">
            <v>0.4759825327510917</v>
          </cell>
          <cell r="AZ156">
            <v>0.22707423580786026</v>
          </cell>
          <cell r="BG156">
            <v>0.82314410480349343</v>
          </cell>
          <cell r="BH156">
            <v>0.43449781659388648</v>
          </cell>
          <cell r="BI156">
            <v>0.20305676855895197</v>
          </cell>
          <cell r="BJ156">
            <v>0.13537117903930132</v>
          </cell>
          <cell r="BQ156">
            <v>0.52838427947598254</v>
          </cell>
          <cell r="BR156">
            <v>0.29694323144104806</v>
          </cell>
          <cell r="BS156">
            <v>0.21397379912663755</v>
          </cell>
          <cell r="BT156">
            <v>0.28602620087336245</v>
          </cell>
          <cell r="BX156">
            <v>0.47816593886462883</v>
          </cell>
          <cell r="CJ156">
            <v>0.32096069868995636</v>
          </cell>
          <cell r="CK156">
            <v>0.6746724890829694</v>
          </cell>
        </row>
        <row r="157">
          <cell r="A157" t="str">
            <v>Jack Drury</v>
          </cell>
          <cell r="B157" t="str">
            <v>CAR</v>
          </cell>
          <cell r="I157">
            <v>0.99563318777292575</v>
          </cell>
          <cell r="J157">
            <v>0.90393013100436681</v>
          </cell>
          <cell r="K157">
            <v>0.28820960698689957</v>
          </cell>
          <cell r="L157">
            <v>0.87772925764192145</v>
          </cell>
          <cell r="S157">
            <v>8.9519650655021835E-2</v>
          </cell>
          <cell r="T157">
            <v>0.40174672489082969</v>
          </cell>
          <cell r="U157">
            <v>0.44104803493449779</v>
          </cell>
          <cell r="V157">
            <v>0.16593886462882096</v>
          </cell>
          <cell r="AC157">
            <v>1</v>
          </cell>
          <cell r="AD157">
            <v>0.99781659388646293</v>
          </cell>
          <cell r="AE157">
            <v>0.96724890829694321</v>
          </cell>
          <cell r="AF157">
            <v>1</v>
          </cell>
          <cell r="AM157">
            <v>0.94978165938864634</v>
          </cell>
          <cell r="AN157">
            <v>0.77729257641921401</v>
          </cell>
          <cell r="AO157">
            <v>0.31004366812227074</v>
          </cell>
          <cell r="AP157">
            <v>0.69650655021834063</v>
          </cell>
          <cell r="AW157">
            <v>0.9759825327510917</v>
          </cell>
          <cell r="AX157">
            <v>0.98908296943231444</v>
          </cell>
          <cell r="AY157">
            <v>0.89519650655021832</v>
          </cell>
          <cell r="AZ157">
            <v>0.99126637554585151</v>
          </cell>
          <cell r="BG157">
            <v>0.10262008733624454</v>
          </cell>
          <cell r="BH157">
            <v>0.74890829694323147</v>
          </cell>
          <cell r="BI157">
            <v>5.458515283842795E-2</v>
          </cell>
          <cell r="BJ157">
            <v>0.27510917030567683</v>
          </cell>
          <cell r="BQ157">
            <v>1</v>
          </cell>
          <cell r="BR157">
            <v>1</v>
          </cell>
          <cell r="BS157">
            <v>0.8733624454148472</v>
          </cell>
          <cell r="BT157">
            <v>1</v>
          </cell>
          <cell r="BX157">
            <v>0.95196506550218341</v>
          </cell>
          <cell r="CJ157">
            <v>0.31441048034934499</v>
          </cell>
          <cell r="CK157">
            <v>0.48471615720524019</v>
          </cell>
        </row>
        <row r="158">
          <cell r="A158" t="str">
            <v>Jack Eichel</v>
          </cell>
          <cell r="B158" t="str">
            <v>VGK</v>
          </cell>
          <cell r="I158">
            <v>0.72270742358078599</v>
          </cell>
          <cell r="J158">
            <v>0.67685589519650657</v>
          </cell>
          <cell r="K158">
            <v>0.93013100436681218</v>
          </cell>
          <cell r="L158">
            <v>0.65283842794759828</v>
          </cell>
          <cell r="S158">
            <v>0.93886462882096067</v>
          </cell>
          <cell r="T158">
            <v>0.72052401746724892</v>
          </cell>
          <cell r="U158">
            <v>0.60043668122270744</v>
          </cell>
          <cell r="V158">
            <v>0.92139737991266379</v>
          </cell>
          <cell r="AC158">
            <v>0.42139737991266374</v>
          </cell>
          <cell r="AD158">
            <v>0.83624454148471616</v>
          </cell>
          <cell r="AE158">
            <v>0.72052401746724892</v>
          </cell>
          <cell r="AF158">
            <v>0.56113537117903933</v>
          </cell>
          <cell r="AM158">
            <v>0.8733624454148472</v>
          </cell>
          <cell r="AN158">
            <v>0.75109170305676853</v>
          </cell>
          <cell r="AO158">
            <v>0.90829694323144106</v>
          </cell>
          <cell r="AP158">
            <v>0.71179039301310043</v>
          </cell>
          <cell r="AW158">
            <v>0.57423580786026196</v>
          </cell>
          <cell r="AX158">
            <v>0.80349344978165937</v>
          </cell>
          <cell r="AY158">
            <v>0.50655021834061131</v>
          </cell>
          <cell r="AZ158">
            <v>0.55240174672489084</v>
          </cell>
          <cell r="BG158">
            <v>0.9126637554585153</v>
          </cell>
          <cell r="BH158">
            <v>0.62882096069868998</v>
          </cell>
          <cell r="BI158">
            <v>0.85589519650655022</v>
          </cell>
          <cell r="BJ158">
            <v>0.89301310043668125</v>
          </cell>
          <cell r="BQ158">
            <v>0.62445414847161573</v>
          </cell>
          <cell r="BR158">
            <v>0.80131004366812231</v>
          </cell>
          <cell r="BS158">
            <v>0.92139737991266379</v>
          </cell>
          <cell r="BT158">
            <v>0.64847161572052403</v>
          </cell>
          <cell r="BX158">
            <v>0.8493449781659389</v>
          </cell>
          <cell r="CJ158">
            <v>0.95196506550218341</v>
          </cell>
          <cell r="CK158">
            <v>0.54803493449781659</v>
          </cell>
        </row>
        <row r="159">
          <cell r="A159" t="str">
            <v>Jack Hughes</v>
          </cell>
          <cell r="B159" t="str">
            <v>N.J</v>
          </cell>
          <cell r="I159">
            <v>0.89956331877729256</v>
          </cell>
          <cell r="J159">
            <v>0.92358078602620086</v>
          </cell>
          <cell r="K159">
            <v>0.93886462882096067</v>
          </cell>
          <cell r="L159">
            <v>0.93449781659388642</v>
          </cell>
          <cell r="S159">
            <v>0.96943231441048039</v>
          </cell>
          <cell r="T159">
            <v>0.86681222707423577</v>
          </cell>
          <cell r="U159">
            <v>0.87117903930131002</v>
          </cell>
          <cell r="V159">
            <v>0.97379912663755464</v>
          </cell>
          <cell r="AC159">
            <v>0.86026200873362446</v>
          </cell>
          <cell r="AD159">
            <v>0.89956331877729256</v>
          </cell>
          <cell r="AE159">
            <v>0.30349344978165937</v>
          </cell>
          <cell r="AF159">
            <v>0.77074235807860259</v>
          </cell>
          <cell r="AM159">
            <v>0.76419213973799127</v>
          </cell>
          <cell r="AN159">
            <v>0.71615720524017468</v>
          </cell>
          <cell r="AO159">
            <v>0.85807860262008728</v>
          </cell>
          <cell r="AP159">
            <v>0.77729257641921401</v>
          </cell>
          <cell r="AW159">
            <v>0.6746724890829694</v>
          </cell>
          <cell r="AX159">
            <v>0.60043668122270744</v>
          </cell>
          <cell r="AY159">
            <v>6.768558951965066E-2</v>
          </cell>
          <cell r="AZ159">
            <v>0.51965065502183405</v>
          </cell>
          <cell r="BG159">
            <v>0.97816593886462877</v>
          </cell>
          <cell r="BH159">
            <v>0.96724890829694321</v>
          </cell>
          <cell r="BI159">
            <v>0.82969432314410485</v>
          </cell>
          <cell r="BJ159">
            <v>0.41484716157205243</v>
          </cell>
          <cell r="BQ159">
            <v>0.93886462882096067</v>
          </cell>
          <cell r="BR159">
            <v>0.97816593886462877</v>
          </cell>
          <cell r="BS159">
            <v>0.75764192139737996</v>
          </cell>
          <cell r="BT159">
            <v>0.94759825327510916</v>
          </cell>
          <cell r="BX159">
            <v>0.97816593886462877</v>
          </cell>
          <cell r="CJ159">
            <v>0.95851528384279472</v>
          </cell>
          <cell r="CK159">
            <v>0.44323144104803491</v>
          </cell>
        </row>
        <row r="160">
          <cell r="A160" t="str">
            <v>Jack McBain</v>
          </cell>
          <cell r="B160" t="str">
            <v>ARI</v>
          </cell>
          <cell r="I160">
            <v>3.2751091703056769E-2</v>
          </cell>
          <cell r="J160">
            <v>0.12445414847161572</v>
          </cell>
          <cell r="K160">
            <v>0.23799126637554585</v>
          </cell>
          <cell r="L160">
            <v>6.768558951965066E-2</v>
          </cell>
          <cell r="S160">
            <v>0.46724890829694321</v>
          </cell>
          <cell r="T160">
            <v>0.40393013100436681</v>
          </cell>
          <cell r="U160">
            <v>0.46943231441048033</v>
          </cell>
          <cell r="V160">
            <v>0.41484716157205243</v>
          </cell>
          <cell r="AC160">
            <v>0.12008733624454149</v>
          </cell>
          <cell r="AD160">
            <v>0.16375545851528384</v>
          </cell>
          <cell r="AE160">
            <v>0.33624454148471616</v>
          </cell>
          <cell r="AF160">
            <v>0.16157205240174671</v>
          </cell>
          <cell r="AM160">
            <v>0.14847161572052403</v>
          </cell>
          <cell r="AN160">
            <v>0.36244541484716158</v>
          </cell>
          <cell r="AO160">
            <v>0.31877729257641924</v>
          </cell>
          <cell r="AP160">
            <v>0.26200873362445415</v>
          </cell>
          <cell r="AW160">
            <v>0.24017467248908297</v>
          </cell>
          <cell r="AX160">
            <v>0.25327510917030566</v>
          </cell>
          <cell r="AY160">
            <v>0.50655021834061131</v>
          </cell>
          <cell r="AZ160">
            <v>0.22707423580786026</v>
          </cell>
          <cell r="BG160">
            <v>0.34061135371179041</v>
          </cell>
          <cell r="BH160">
            <v>0.15283842794759825</v>
          </cell>
          <cell r="BI160">
            <v>0.49781659388646288</v>
          </cell>
          <cell r="BJ160">
            <v>0.56550218340611358</v>
          </cell>
          <cell r="BQ160">
            <v>2.8384279475982533E-2</v>
          </cell>
          <cell r="BR160">
            <v>9.606986899563319E-2</v>
          </cell>
          <cell r="BS160">
            <v>0.1965065502183406</v>
          </cell>
          <cell r="BT160">
            <v>6.1135371179039298E-2</v>
          </cell>
          <cell r="BX160">
            <v>4.3668122270742356E-2</v>
          </cell>
          <cell r="CJ160">
            <v>0.11572052401746726</v>
          </cell>
          <cell r="CK160">
            <v>0.53056768558951961</v>
          </cell>
        </row>
        <row r="161">
          <cell r="A161" t="str">
            <v>Jack Quinn</v>
          </cell>
          <cell r="B161" t="str">
            <v>BUF</v>
          </cell>
          <cell r="I161">
            <v>0.52620087336244536</v>
          </cell>
          <cell r="J161">
            <v>0.75109170305676853</v>
          </cell>
          <cell r="K161">
            <v>0.85807860262008728</v>
          </cell>
          <cell r="L161">
            <v>0.85807860262008728</v>
          </cell>
          <cell r="S161">
            <v>0.77510917030567683</v>
          </cell>
          <cell r="T161">
            <v>0.73362445414847166</v>
          </cell>
          <cell r="U161">
            <v>0.60043668122270744</v>
          </cell>
          <cell r="V161">
            <v>0.81222707423580787</v>
          </cell>
          <cell r="AC161">
            <v>0.24454148471615719</v>
          </cell>
          <cell r="AD161">
            <v>0.44759825327510916</v>
          </cell>
          <cell r="AE161">
            <v>8.296943231441048E-2</v>
          </cell>
          <cell r="AF161">
            <v>0.26200873362445415</v>
          </cell>
          <cell r="AM161">
            <v>0.37772925764192139</v>
          </cell>
          <cell r="AN161">
            <v>0.84279475982532748</v>
          </cell>
          <cell r="AO161">
            <v>0.66812227074235808</v>
          </cell>
          <cell r="AP161">
            <v>0.85807860262008728</v>
          </cell>
          <cell r="AW161">
            <v>0.17248908296943233</v>
          </cell>
          <cell r="AX161">
            <v>0.82314410480349343</v>
          </cell>
          <cell r="AY161">
            <v>0.15938864628820962</v>
          </cell>
          <cell r="AZ161">
            <v>0.44978165938864628</v>
          </cell>
          <cell r="BG161">
            <v>0.35371179039301309</v>
          </cell>
          <cell r="BH161">
            <v>0.8493449781659389</v>
          </cell>
          <cell r="BI161">
            <v>0.93013100436681218</v>
          </cell>
          <cell r="BJ161">
            <v>0.61790393013100442</v>
          </cell>
          <cell r="BQ161">
            <v>0.36026200873362446</v>
          </cell>
          <cell r="BR161">
            <v>0.68340611353711789</v>
          </cell>
          <cell r="BS161">
            <v>0.44759825327510916</v>
          </cell>
          <cell r="BT161">
            <v>0.68777292576419213</v>
          </cell>
          <cell r="BX161">
            <v>0.58951965065502188</v>
          </cell>
          <cell r="CJ161">
            <v>0.86462882096069871</v>
          </cell>
          <cell r="CK161">
            <v>0.80567685589519655</v>
          </cell>
        </row>
        <row r="162">
          <cell r="A162" t="str">
            <v>Jack Roslovic</v>
          </cell>
          <cell r="B162" t="str">
            <v>CBJ</v>
          </cell>
          <cell r="I162">
            <v>0.2816593886462882</v>
          </cell>
          <cell r="J162">
            <v>0.13537117903930132</v>
          </cell>
          <cell r="K162">
            <v>0.51965065502183405</v>
          </cell>
          <cell r="L162">
            <v>0.18777292576419213</v>
          </cell>
          <cell r="S162">
            <v>0.15502183406113537</v>
          </cell>
          <cell r="T162">
            <v>0.89301310043668125</v>
          </cell>
          <cell r="U162">
            <v>0.91484716157205237</v>
          </cell>
          <cell r="V162">
            <v>0.65938864628820959</v>
          </cell>
          <cell r="AC162">
            <v>3.0567685589519649E-2</v>
          </cell>
          <cell r="AD162">
            <v>8.0786026200873357E-2</v>
          </cell>
          <cell r="AE162">
            <v>0.24672489082969432</v>
          </cell>
          <cell r="AF162">
            <v>5.0218340611353711E-2</v>
          </cell>
          <cell r="AM162">
            <v>0.44759825327510916</v>
          </cell>
          <cell r="AN162">
            <v>0.29039301310043669</v>
          </cell>
          <cell r="AO162">
            <v>0.77947598253275108</v>
          </cell>
          <cell r="AP162">
            <v>0.3056768558951965</v>
          </cell>
          <cell r="AW162">
            <v>9.3886462882096067E-2</v>
          </cell>
          <cell r="AX162">
            <v>0.13537117903930132</v>
          </cell>
          <cell r="AY162">
            <v>0.80349344978165937</v>
          </cell>
          <cell r="AZ162">
            <v>0.15720524017467249</v>
          </cell>
          <cell r="BG162">
            <v>0.47379912663755458</v>
          </cell>
          <cell r="BH162">
            <v>0.80131004366812231</v>
          </cell>
          <cell r="BI162">
            <v>0.73362445414847166</v>
          </cell>
          <cell r="BJ162">
            <v>0.68340611353711789</v>
          </cell>
          <cell r="BQ162">
            <v>7.6419213973799124E-2</v>
          </cell>
          <cell r="BR162">
            <v>5.8951965065502182E-2</v>
          </cell>
          <cell r="BS162">
            <v>0.36244541484716158</v>
          </cell>
          <cell r="BT162">
            <v>6.768558951965066E-2</v>
          </cell>
          <cell r="BX162">
            <v>0.10480349344978165</v>
          </cell>
          <cell r="CJ162">
            <v>0.9606986899563319</v>
          </cell>
          <cell r="CK162">
            <v>0.52183406113537123</v>
          </cell>
        </row>
        <row r="163">
          <cell r="A163" t="str">
            <v>Jack Studnicka</v>
          </cell>
          <cell r="B163" t="str">
            <v>BOS, VAN</v>
          </cell>
          <cell r="I163">
            <v>2.1834061135371178E-2</v>
          </cell>
          <cell r="J163">
            <v>0.26637554585152839</v>
          </cell>
          <cell r="K163">
            <v>1.7467248908296942E-2</v>
          </cell>
          <cell r="L163">
            <v>3.4934497816593885E-2</v>
          </cell>
          <cell r="S163">
            <v>0.29694323144104806</v>
          </cell>
          <cell r="T163">
            <v>0.11572052401746726</v>
          </cell>
          <cell r="U163">
            <v>5.458515283842795E-2</v>
          </cell>
          <cell r="V163">
            <v>0.10262008733624454</v>
          </cell>
          <cell r="AC163">
            <v>0.23144104803493451</v>
          </cell>
          <cell r="AD163">
            <v>0.10043668122270742</v>
          </cell>
          <cell r="AE163">
            <v>0.57860262008733621</v>
          </cell>
          <cell r="AF163">
            <v>0.1331877729257642</v>
          </cell>
          <cell r="AM163">
            <v>4.5851528384279479E-2</v>
          </cell>
          <cell r="AN163">
            <v>0.30131004366812225</v>
          </cell>
          <cell r="AO163">
            <v>1.5283842794759825E-2</v>
          </cell>
          <cell r="AP163">
            <v>5.458515283842795E-2</v>
          </cell>
          <cell r="AW163">
            <v>0.17467248908296942</v>
          </cell>
          <cell r="AX163">
            <v>0.11353711790393013</v>
          </cell>
          <cell r="AY163">
            <v>0.71179039301310043</v>
          </cell>
          <cell r="AZ163">
            <v>0.13100436681222707</v>
          </cell>
          <cell r="BG163">
            <v>0.13100436681222707</v>
          </cell>
          <cell r="BH163">
            <v>0.29475982532751094</v>
          </cell>
          <cell r="BI163">
            <v>2.4017467248908297E-2</v>
          </cell>
          <cell r="BJ163">
            <v>6.9868995633187769E-2</v>
          </cell>
          <cell r="BQ163">
            <v>3.0567685589519649E-2</v>
          </cell>
          <cell r="BR163">
            <v>0.13755458515283842</v>
          </cell>
          <cell r="BS163">
            <v>2.4017467248908297E-2</v>
          </cell>
          <cell r="BT163">
            <v>2.1834061135371178E-2</v>
          </cell>
          <cell r="BX163">
            <v>1.9650655021834062E-2</v>
          </cell>
          <cell r="CJ163">
            <v>0.29912663755458513</v>
          </cell>
          <cell r="CK163">
            <v>0.51528384279475981</v>
          </cell>
        </row>
        <row r="164">
          <cell r="A164" t="str">
            <v>Jaden Schwartz</v>
          </cell>
          <cell r="B164" t="str">
            <v>SEA</v>
          </cell>
          <cell r="I164">
            <v>0.54366812227074235</v>
          </cell>
          <cell r="J164">
            <v>0.32751091703056767</v>
          </cell>
          <cell r="K164">
            <v>0.27292576419213976</v>
          </cell>
          <cell r="L164">
            <v>0.48034934497816595</v>
          </cell>
          <cell r="S164">
            <v>0.33187772925764192</v>
          </cell>
          <cell r="T164">
            <v>0.40393013100436681</v>
          </cell>
          <cell r="U164">
            <v>0.41048034934497818</v>
          </cell>
          <cell r="V164">
            <v>0.32096069868995636</v>
          </cell>
          <cell r="AC164">
            <v>0.97161572052401746</v>
          </cell>
          <cell r="AD164">
            <v>0.92576419213973804</v>
          </cell>
          <cell r="AE164">
            <v>0.27947598253275108</v>
          </cell>
          <cell r="AF164">
            <v>0.85371179039301315</v>
          </cell>
          <cell r="AM164">
            <v>0.34716157205240172</v>
          </cell>
          <cell r="AN164">
            <v>0.55021834061135366</v>
          </cell>
          <cell r="AO164">
            <v>4.5851528384279479E-2</v>
          </cell>
          <cell r="AP164">
            <v>0.5240174672489083</v>
          </cell>
          <cell r="AW164">
            <v>0.87772925764192145</v>
          </cell>
          <cell r="AX164">
            <v>0.84716157205240172</v>
          </cell>
          <cell r="AY164">
            <v>8.9519650655021835E-2</v>
          </cell>
          <cell r="AZ164">
            <v>0.61790393013100442</v>
          </cell>
          <cell r="BG164">
            <v>0.888646288209607</v>
          </cell>
          <cell r="BH164">
            <v>0.72270742358078599</v>
          </cell>
          <cell r="BI164">
            <v>0.2423580786026201</v>
          </cell>
          <cell r="BJ164">
            <v>1.0917030567685589E-2</v>
          </cell>
          <cell r="BQ164">
            <v>0.86681222707423577</v>
          </cell>
          <cell r="BR164">
            <v>0.64192139737991272</v>
          </cell>
          <cell r="BS164">
            <v>0.20742358078602621</v>
          </cell>
          <cell r="BT164">
            <v>0.73362445414847166</v>
          </cell>
          <cell r="BX164">
            <v>0.68340611353711789</v>
          </cell>
          <cell r="CJ164">
            <v>0.611353711790393</v>
          </cell>
          <cell r="CK164">
            <v>6.1135371179039298E-2</v>
          </cell>
        </row>
        <row r="165">
          <cell r="A165" t="str">
            <v>Jake DeBrusk</v>
          </cell>
          <cell r="B165" t="str">
            <v>BOS</v>
          </cell>
          <cell r="I165">
            <v>0.9759825327510917</v>
          </cell>
          <cell r="J165">
            <v>0.92794759825327511</v>
          </cell>
          <cell r="K165">
            <v>0.96288209606986896</v>
          </cell>
          <cell r="L165">
            <v>0.92139737991266379</v>
          </cell>
          <cell r="S165">
            <v>0.99126637554585151</v>
          </cell>
          <cell r="T165">
            <v>0.43449781659388648</v>
          </cell>
          <cell r="U165">
            <v>0.60043668122270744</v>
          </cell>
          <cell r="V165">
            <v>0.8973799126637555</v>
          </cell>
          <cell r="AC165">
            <v>0.87117903930131002</v>
          </cell>
          <cell r="AD165">
            <v>0.93886462882096067</v>
          </cell>
          <cell r="AE165">
            <v>0.92358078602620086</v>
          </cell>
          <cell r="AF165">
            <v>0.97379912663755464</v>
          </cell>
          <cell r="AM165">
            <v>0.99563318777292575</v>
          </cell>
          <cell r="AN165">
            <v>0.96943231441048039</v>
          </cell>
          <cell r="AO165">
            <v>0.90393013100436681</v>
          </cell>
          <cell r="AP165">
            <v>0.95851528384279472</v>
          </cell>
          <cell r="AW165">
            <v>0.83187772925764192</v>
          </cell>
          <cell r="AX165">
            <v>0.93013100436681218</v>
          </cell>
          <cell r="AY165">
            <v>0.58078602620087338</v>
          </cell>
          <cell r="AZ165">
            <v>0.94759825327510916</v>
          </cell>
          <cell r="BG165">
            <v>0.42139737991266374</v>
          </cell>
          <cell r="BH165">
            <v>0.78820960698689957</v>
          </cell>
          <cell r="BI165">
            <v>0.69868995633187769</v>
          </cell>
          <cell r="BJ165">
            <v>0.87991266375545851</v>
          </cell>
          <cell r="BQ165">
            <v>0.9606986899563319</v>
          </cell>
          <cell r="BR165">
            <v>0.98689956331877726</v>
          </cell>
          <cell r="BS165">
            <v>0.98908296943231444</v>
          </cell>
          <cell r="BT165">
            <v>0.98689956331877726</v>
          </cell>
          <cell r="BX165">
            <v>0.99344978165938869</v>
          </cell>
          <cell r="CJ165">
            <v>0.83187772925764192</v>
          </cell>
          <cell r="CK165">
            <v>0.4366812227074236</v>
          </cell>
        </row>
        <row r="166">
          <cell r="A166" t="str">
            <v>Jake Evans</v>
          </cell>
          <cell r="B166" t="str">
            <v>MTL</v>
          </cell>
          <cell r="I166">
            <v>0.13537117903930132</v>
          </cell>
          <cell r="J166">
            <v>0.31222707423580787</v>
          </cell>
          <cell r="K166">
            <v>0.18558951965065501</v>
          </cell>
          <cell r="L166">
            <v>0.21179039301310043</v>
          </cell>
          <cell r="S166">
            <v>2.1834061135371178E-3</v>
          </cell>
          <cell r="T166">
            <v>0.79912663755458513</v>
          </cell>
          <cell r="U166">
            <v>0.9606986899563319</v>
          </cell>
          <cell r="V166">
            <v>0.25327510917030566</v>
          </cell>
          <cell r="AC166">
            <v>0.52838427947598254</v>
          </cell>
          <cell r="AD166">
            <v>0.34716157205240172</v>
          </cell>
          <cell r="AE166">
            <v>0.40611353711790393</v>
          </cell>
          <cell r="AF166">
            <v>0.43013100436681223</v>
          </cell>
          <cell r="AM166">
            <v>0.30349344978165937</v>
          </cell>
          <cell r="AN166">
            <v>0.69213973799126638</v>
          </cell>
          <cell r="AO166">
            <v>0.27729257641921395</v>
          </cell>
          <cell r="AP166">
            <v>0.40174672489082969</v>
          </cell>
          <cell r="AW166">
            <v>0.66593886462882101</v>
          </cell>
          <cell r="AX166">
            <v>0.77729257641921401</v>
          </cell>
          <cell r="AY166">
            <v>0.81222707423580787</v>
          </cell>
          <cell r="AZ166">
            <v>0.88427947598253276</v>
          </cell>
          <cell r="BG166">
            <v>0.32751091703056767</v>
          </cell>
          <cell r="BH166">
            <v>0.21179039301310043</v>
          </cell>
          <cell r="BI166">
            <v>0.2205240174672489</v>
          </cell>
          <cell r="BJ166">
            <v>0.18995633187772926</v>
          </cell>
          <cell r="BQ166">
            <v>0.23362445414847161</v>
          </cell>
          <cell r="BR166">
            <v>0.28602620087336245</v>
          </cell>
          <cell r="BS166">
            <v>0.18340611353711792</v>
          </cell>
          <cell r="BT166">
            <v>0.24672489082969432</v>
          </cell>
          <cell r="BX166">
            <v>0.31004366812227074</v>
          </cell>
          <cell r="CJ166">
            <v>0.45633187772925765</v>
          </cell>
          <cell r="CK166">
            <v>0.77074235807860259</v>
          </cell>
        </row>
        <row r="167">
          <cell r="A167" t="str">
            <v>Jake Guentzel</v>
          </cell>
          <cell r="B167" t="str">
            <v>PIT</v>
          </cell>
          <cell r="I167">
            <v>0.95851528384279472</v>
          </cell>
          <cell r="J167">
            <v>0.98908296943231444</v>
          </cell>
          <cell r="K167">
            <v>0.75327510917030571</v>
          </cell>
          <cell r="L167">
            <v>0.94978165938864634</v>
          </cell>
          <cell r="S167">
            <v>0.69213973799126638</v>
          </cell>
          <cell r="T167">
            <v>0.61353711790393017</v>
          </cell>
          <cell r="U167">
            <v>0.81441048034934493</v>
          </cell>
          <cell r="V167">
            <v>0.65938864628820959</v>
          </cell>
          <cell r="AC167">
            <v>0.14410480349344978</v>
          </cell>
          <cell r="AD167">
            <v>0.2205240174672489</v>
          </cell>
          <cell r="AE167">
            <v>0.53493449781659386</v>
          </cell>
          <cell r="AF167">
            <v>0.20087336244541484</v>
          </cell>
          <cell r="AM167">
            <v>0.92576419213973804</v>
          </cell>
          <cell r="AN167">
            <v>0.95414847161572047</v>
          </cell>
          <cell r="AO167">
            <v>0.78820960698689957</v>
          </cell>
          <cell r="AP167">
            <v>0.87117903930131002</v>
          </cell>
          <cell r="AW167">
            <v>6.768558951965066E-2</v>
          </cell>
          <cell r="AX167">
            <v>0.15502183406113537</v>
          </cell>
          <cell r="AY167">
            <v>0.59170305676855894</v>
          </cell>
          <cell r="AZ167">
            <v>0.10480349344978165</v>
          </cell>
          <cell r="BG167">
            <v>0.97161572052401746</v>
          </cell>
          <cell r="BH167">
            <v>0.95414847161572047</v>
          </cell>
          <cell r="BI167">
            <v>0.50436681222707425</v>
          </cell>
          <cell r="BJ167">
            <v>0.68340611353711789</v>
          </cell>
          <cell r="BQ167">
            <v>0.75545851528384278</v>
          </cell>
          <cell r="BR167">
            <v>0.86681222707423577</v>
          </cell>
          <cell r="BS167">
            <v>0.70087336244541487</v>
          </cell>
          <cell r="BT167">
            <v>0.82096069868995636</v>
          </cell>
          <cell r="BX167">
            <v>0.64847161572052403</v>
          </cell>
          <cell r="CJ167">
            <v>0.29912663755458513</v>
          </cell>
          <cell r="CK167">
            <v>0.82751091703056767</v>
          </cell>
        </row>
        <row r="168">
          <cell r="A168" t="str">
            <v>Jake Leschyshyn</v>
          </cell>
          <cell r="B168" t="str">
            <v>NYR, VGK</v>
          </cell>
          <cell r="I168">
            <v>2.8384279475982533E-2</v>
          </cell>
          <cell r="J168">
            <v>1.7467248908296942E-2</v>
          </cell>
          <cell r="K168">
            <v>2.1834061135371178E-3</v>
          </cell>
          <cell r="L168">
            <v>2.4017467248908297E-2</v>
          </cell>
          <cell r="S168">
            <v>2.1834061135371178E-3</v>
          </cell>
          <cell r="T168">
            <v>2.1834061135371178E-3</v>
          </cell>
          <cell r="U168">
            <v>2.1834061135371178E-3</v>
          </cell>
          <cell r="V168">
            <v>2.1834061135371178E-3</v>
          </cell>
          <cell r="AC168">
            <v>0.24017467248908297</v>
          </cell>
          <cell r="AD168">
            <v>0.50436681222707425</v>
          </cell>
          <cell r="AE168">
            <v>0.3930131004366812</v>
          </cell>
          <cell r="AF168">
            <v>0.39082969432314413</v>
          </cell>
          <cell r="AM168">
            <v>4.3668122270742356E-3</v>
          </cell>
          <cell r="AN168">
            <v>2.1834061135371178E-3</v>
          </cell>
          <cell r="AO168">
            <v>2.1834061135371178E-3</v>
          </cell>
          <cell r="AP168">
            <v>4.3668122270742356E-3</v>
          </cell>
          <cell r="AW168">
            <v>3.9301310043668124E-2</v>
          </cell>
          <cell r="AX168">
            <v>0.10480349344978165</v>
          </cell>
          <cell r="AY168">
            <v>0.31441048034934499</v>
          </cell>
          <cell r="AZ168">
            <v>9.606986899563319E-2</v>
          </cell>
          <cell r="BG168">
            <v>3.7117903930131008E-2</v>
          </cell>
          <cell r="BH168">
            <v>0.85152838427947597</v>
          </cell>
          <cell r="BI168">
            <v>2.1834061135371178E-3</v>
          </cell>
          <cell r="BJ168">
            <v>6.5502183406113534E-3</v>
          </cell>
          <cell r="BQ168">
            <v>3.4934497816593885E-2</v>
          </cell>
          <cell r="BR168">
            <v>4.3668122270742356E-2</v>
          </cell>
          <cell r="BS168">
            <v>2.1834061135371178E-3</v>
          </cell>
          <cell r="BT168">
            <v>4.148471615720524E-2</v>
          </cell>
          <cell r="BX168">
            <v>8.7336244541484712E-3</v>
          </cell>
          <cell r="CJ168">
            <v>0.46506550218340609</v>
          </cell>
          <cell r="CK168">
            <v>0.68340611353711789</v>
          </cell>
        </row>
        <row r="169">
          <cell r="A169" t="str">
            <v>Jake Neighbours</v>
          </cell>
          <cell r="B169" t="str">
            <v>STL</v>
          </cell>
          <cell r="I169">
            <v>5.2401746724890827E-2</v>
          </cell>
          <cell r="J169">
            <v>4.3668122270742356E-2</v>
          </cell>
          <cell r="K169">
            <v>0.15065502183406113</v>
          </cell>
          <cell r="L169">
            <v>0.1091703056768559</v>
          </cell>
          <cell r="S169">
            <v>0.44323144104803491</v>
          </cell>
          <cell r="T169">
            <v>5.8951965065502182E-2</v>
          </cell>
          <cell r="U169">
            <v>5.458515283842795E-2</v>
          </cell>
          <cell r="V169">
            <v>0.10262008733624454</v>
          </cell>
          <cell r="AC169">
            <v>0.3056768558951965</v>
          </cell>
          <cell r="AD169">
            <v>0.39519650655021832</v>
          </cell>
          <cell r="AE169">
            <v>8.0786026200873357E-2</v>
          </cell>
          <cell r="AF169">
            <v>0.17903930131004367</v>
          </cell>
          <cell r="AM169">
            <v>0.1703056768558952</v>
          </cell>
          <cell r="AN169">
            <v>0.32096069868995636</v>
          </cell>
          <cell r="AO169">
            <v>0.1965065502183406</v>
          </cell>
          <cell r="AP169">
            <v>0.32532751091703055</v>
          </cell>
          <cell r="AW169">
            <v>0.4606986899563319</v>
          </cell>
          <cell r="AX169">
            <v>0.2576419213973799</v>
          </cell>
          <cell r="AY169">
            <v>0.11353711790393013</v>
          </cell>
          <cell r="AZ169">
            <v>0.26637554585152839</v>
          </cell>
          <cell r="BG169">
            <v>0.29912663755458513</v>
          </cell>
          <cell r="BH169">
            <v>0.27729257641921395</v>
          </cell>
          <cell r="BI169">
            <v>0.23362445414847161</v>
          </cell>
          <cell r="BJ169">
            <v>3.2751091703056769E-2</v>
          </cell>
          <cell r="BQ169">
            <v>0.10262008733624454</v>
          </cell>
          <cell r="BR169">
            <v>8.7336244541484712E-2</v>
          </cell>
          <cell r="BS169">
            <v>5.458515283842795E-2</v>
          </cell>
          <cell r="BT169">
            <v>8.5152838427947602E-2</v>
          </cell>
          <cell r="BX169">
            <v>5.0218340611353711E-2</v>
          </cell>
          <cell r="CJ169">
            <v>0.24672489082969432</v>
          </cell>
          <cell r="CK169">
            <v>0.60698689956331875</v>
          </cell>
        </row>
        <row r="170">
          <cell r="A170" t="str">
            <v>Jakob Pelletier</v>
          </cell>
          <cell r="B170" t="str">
            <v>CGY</v>
          </cell>
          <cell r="I170">
            <v>0.96724890829694321</v>
          </cell>
          <cell r="J170">
            <v>0.89301310043668125</v>
          </cell>
          <cell r="K170">
            <v>0.11353711790393013</v>
          </cell>
          <cell r="L170">
            <v>0.92794759825327511</v>
          </cell>
          <cell r="S170">
            <v>3.2751091703056769E-2</v>
          </cell>
          <cell r="T170">
            <v>0.20524017467248909</v>
          </cell>
          <cell r="U170">
            <v>9.606986899563319E-2</v>
          </cell>
          <cell r="V170">
            <v>5.6768558951965066E-2</v>
          </cell>
          <cell r="AC170">
            <v>0.98471615720524019</v>
          </cell>
          <cell r="AD170">
            <v>0.70960698689956336</v>
          </cell>
          <cell r="AE170">
            <v>0.76419213973799127</v>
          </cell>
          <cell r="AF170">
            <v>0.57860262008733621</v>
          </cell>
          <cell r="AM170">
            <v>0.69432314410480345</v>
          </cell>
          <cell r="AN170">
            <v>0.9126637554585153</v>
          </cell>
          <cell r="AO170">
            <v>5.8951965065502182E-2</v>
          </cell>
          <cell r="AP170">
            <v>0.76419213973799127</v>
          </cell>
          <cell r="AW170">
            <v>0.73799126637554591</v>
          </cell>
          <cell r="AX170">
            <v>0.33406113537117904</v>
          </cell>
          <cell r="AY170">
            <v>0.86462882096069871</v>
          </cell>
          <cell r="AZ170">
            <v>0.16375545851528384</v>
          </cell>
          <cell r="BG170">
            <v>0.41048034934497818</v>
          </cell>
          <cell r="BH170">
            <v>0.92794759825327511</v>
          </cell>
          <cell r="BI170">
            <v>2.8384279475982533E-2</v>
          </cell>
          <cell r="BJ170">
            <v>2.8384279475982533E-2</v>
          </cell>
          <cell r="BQ170">
            <v>0.99344978165938869</v>
          </cell>
          <cell r="BR170">
            <v>0.89956331877729256</v>
          </cell>
          <cell r="BS170">
            <v>0.27292576419213976</v>
          </cell>
          <cell r="BT170">
            <v>0.91484716157205237</v>
          </cell>
          <cell r="BX170">
            <v>0.71179039301310043</v>
          </cell>
          <cell r="CJ170">
            <v>0.93886462882096067</v>
          </cell>
          <cell r="CK170">
            <v>0.10480349344978165</v>
          </cell>
        </row>
        <row r="171">
          <cell r="A171" t="str">
            <v>Jakob Silfverberg</v>
          </cell>
          <cell r="B171" t="str">
            <v>ANA</v>
          </cell>
          <cell r="I171">
            <v>6.3318777292576414E-2</v>
          </cell>
          <cell r="J171">
            <v>0.14847161572052403</v>
          </cell>
          <cell r="K171">
            <v>0.16593886462882096</v>
          </cell>
          <cell r="L171">
            <v>4.3668122270742356E-2</v>
          </cell>
          <cell r="S171">
            <v>0.18340611353711792</v>
          </cell>
          <cell r="T171">
            <v>0.1943231441048035</v>
          </cell>
          <cell r="U171">
            <v>0.32751091703056767</v>
          </cell>
          <cell r="V171">
            <v>0.11790393013100436</v>
          </cell>
          <cell r="AC171">
            <v>3.7117903930131008E-2</v>
          </cell>
          <cell r="AD171">
            <v>6.5502183406113537E-2</v>
          </cell>
          <cell r="AE171">
            <v>0.11790393013100436</v>
          </cell>
          <cell r="AF171">
            <v>6.3318777292576414E-2</v>
          </cell>
          <cell r="AM171">
            <v>0.23580786026200873</v>
          </cell>
          <cell r="AN171">
            <v>0.37336244541484714</v>
          </cell>
          <cell r="AO171">
            <v>0.36244541484716158</v>
          </cell>
          <cell r="AP171">
            <v>0.14192139737991266</v>
          </cell>
          <cell r="AW171">
            <v>0.60698689956331875</v>
          </cell>
          <cell r="AX171">
            <v>0.86899563318777295</v>
          </cell>
          <cell r="AY171">
            <v>0.55895196506550215</v>
          </cell>
          <cell r="AZ171">
            <v>0.81441048034934493</v>
          </cell>
          <cell r="BG171">
            <v>0.2183406113537118</v>
          </cell>
          <cell r="BH171">
            <v>4.8034934497816595E-2</v>
          </cell>
          <cell r="BI171">
            <v>0.18777292576419213</v>
          </cell>
          <cell r="BJ171">
            <v>0.20524017467248909</v>
          </cell>
          <cell r="BQ171">
            <v>2.1834061135371178E-2</v>
          </cell>
          <cell r="BR171">
            <v>6.1135371179039298E-2</v>
          </cell>
          <cell r="BS171">
            <v>7.2052401746724892E-2</v>
          </cell>
          <cell r="BT171">
            <v>1.5283842794759825E-2</v>
          </cell>
          <cell r="BX171">
            <v>2.1834061135371178E-2</v>
          </cell>
          <cell r="CJ171">
            <v>0.27074235807860264</v>
          </cell>
          <cell r="CK171">
            <v>0.26637554585152839</v>
          </cell>
        </row>
        <row r="172">
          <cell r="A172" t="str">
            <v>Jakub Vrana</v>
          </cell>
          <cell r="B172" t="str">
            <v>DET, STL</v>
          </cell>
          <cell r="I172">
            <v>0.4759825327510917</v>
          </cell>
          <cell r="J172">
            <v>3.4934497816593885E-2</v>
          </cell>
          <cell r="K172">
            <v>0.67685589519650657</v>
          </cell>
          <cell r="L172">
            <v>0.35807860262008734</v>
          </cell>
          <cell r="S172">
            <v>0.93013100436681218</v>
          </cell>
          <cell r="T172">
            <v>0.38427947598253276</v>
          </cell>
          <cell r="U172">
            <v>0.57205240174672489</v>
          </cell>
          <cell r="V172">
            <v>0.75764192139737996</v>
          </cell>
          <cell r="AC172">
            <v>1.9650655021834062E-2</v>
          </cell>
          <cell r="AD172">
            <v>1.9650655021834062E-2</v>
          </cell>
          <cell r="AE172">
            <v>0.82314410480349343</v>
          </cell>
          <cell r="AF172">
            <v>1.3100436681222707E-2</v>
          </cell>
          <cell r="AM172">
            <v>0.79694323144104806</v>
          </cell>
          <cell r="AN172">
            <v>0.16375545851528384</v>
          </cell>
          <cell r="AO172">
            <v>0.26200873362445415</v>
          </cell>
          <cell r="AP172">
            <v>0.71179039301310043</v>
          </cell>
          <cell r="AW172">
            <v>4.3668122270742356E-3</v>
          </cell>
          <cell r="AX172">
            <v>4.3668122270742356E-3</v>
          </cell>
          <cell r="AY172">
            <v>0.53711790393013104</v>
          </cell>
          <cell r="AZ172">
            <v>4.3668122270742356E-3</v>
          </cell>
          <cell r="BG172">
            <v>0.43886462882096072</v>
          </cell>
          <cell r="BH172">
            <v>0.36462882096069871</v>
          </cell>
          <cell r="BI172">
            <v>0.76200873362445409</v>
          </cell>
          <cell r="BJ172">
            <v>0.95633187772925765</v>
          </cell>
          <cell r="BQ172">
            <v>0.10480349344978165</v>
          </cell>
          <cell r="BR172">
            <v>1.5283842794759825E-2</v>
          </cell>
          <cell r="BS172">
            <v>0.85807860262008728</v>
          </cell>
          <cell r="BT172">
            <v>6.3318777292576414E-2</v>
          </cell>
          <cell r="BX172">
            <v>0.18340611353711792</v>
          </cell>
          <cell r="CJ172">
            <v>0.29912663755458513</v>
          </cell>
          <cell r="CK172">
            <v>8.5152838427947602E-2</v>
          </cell>
        </row>
        <row r="173">
          <cell r="A173" t="str">
            <v>James van Riemsdyk</v>
          </cell>
          <cell r="B173" t="str">
            <v>PHI</v>
          </cell>
          <cell r="I173">
            <v>0.6506550218340611</v>
          </cell>
          <cell r="J173">
            <v>0.78820960698689957</v>
          </cell>
          <cell r="K173">
            <v>0.56550218340611358</v>
          </cell>
          <cell r="L173">
            <v>0.52838427947598254</v>
          </cell>
          <cell r="S173">
            <v>0.42358078602620086</v>
          </cell>
          <cell r="T173">
            <v>0.5873362445414847</v>
          </cell>
          <cell r="U173">
            <v>0.49563318777292575</v>
          </cell>
          <cell r="V173">
            <v>0.51310043668122274</v>
          </cell>
          <cell r="AC173">
            <v>0.61353711790393017</v>
          </cell>
          <cell r="AD173">
            <v>0.81441048034934493</v>
          </cell>
          <cell r="AE173">
            <v>0.57860262008733621</v>
          </cell>
          <cell r="AF173">
            <v>0.85371179039301315</v>
          </cell>
          <cell r="AM173">
            <v>0.79039301310043664</v>
          </cell>
          <cell r="AN173">
            <v>0.93449781659388642</v>
          </cell>
          <cell r="AO173">
            <v>0.70524017467248912</v>
          </cell>
          <cell r="AP173">
            <v>0.68558951965065507</v>
          </cell>
          <cell r="AW173">
            <v>0.79694323144104806</v>
          </cell>
          <cell r="AX173">
            <v>0.92576419213973804</v>
          </cell>
          <cell r="AY173">
            <v>0.59170305676855894</v>
          </cell>
          <cell r="AZ173">
            <v>0.90393013100436681</v>
          </cell>
          <cell r="BG173">
            <v>0.60043668122270744</v>
          </cell>
          <cell r="BH173">
            <v>0.77292576419213976</v>
          </cell>
          <cell r="BI173">
            <v>0.57641921397379914</v>
          </cell>
          <cell r="BJ173">
            <v>0.57860262008733621</v>
          </cell>
          <cell r="BQ173">
            <v>0.65938864628820959</v>
          </cell>
          <cell r="BR173">
            <v>0.87772925764192145</v>
          </cell>
          <cell r="BS173">
            <v>0.60480349344978168</v>
          </cell>
          <cell r="BT173">
            <v>0.75764192139737996</v>
          </cell>
          <cell r="BX173">
            <v>0.81004366812227069</v>
          </cell>
          <cell r="CJ173">
            <v>0.29912663755458513</v>
          </cell>
          <cell r="CK173">
            <v>0.14847161572052403</v>
          </cell>
        </row>
        <row r="174">
          <cell r="A174" t="str">
            <v>Jamie Benn</v>
          </cell>
          <cell r="B174" t="str">
            <v>DAL</v>
          </cell>
          <cell r="I174">
            <v>0.53275109170305679</v>
          </cell>
          <cell r="J174">
            <v>0.77947598253275108</v>
          </cell>
          <cell r="K174">
            <v>0.98471615720524019</v>
          </cell>
          <cell r="L174">
            <v>0.73362445414847166</v>
          </cell>
          <cell r="S174">
            <v>0.86244541484716153</v>
          </cell>
          <cell r="T174">
            <v>0.93449781659388642</v>
          </cell>
          <cell r="U174">
            <v>0.72052401746724892</v>
          </cell>
          <cell r="V174">
            <v>0.95633187772925765</v>
          </cell>
          <cell r="AC174">
            <v>7.6419213973799124E-2</v>
          </cell>
          <cell r="AD174">
            <v>0.52183406113537123</v>
          </cell>
          <cell r="AE174">
            <v>0.68777292576419213</v>
          </cell>
          <cell r="AF174">
            <v>0.26200873362445415</v>
          </cell>
          <cell r="AM174">
            <v>0.45851528384279477</v>
          </cell>
          <cell r="AN174">
            <v>0.79912663755458513</v>
          </cell>
          <cell r="AO174">
            <v>0.98471615720524019</v>
          </cell>
          <cell r="AP174">
            <v>0.74454148471615722</v>
          </cell>
          <cell r="AW174">
            <v>1.0917030567685589E-2</v>
          </cell>
          <cell r="AX174">
            <v>0.1703056768558952</v>
          </cell>
          <cell r="AY174">
            <v>0.45851528384279477</v>
          </cell>
          <cell r="AZ174">
            <v>5.0218340611353711E-2</v>
          </cell>
          <cell r="BG174">
            <v>0.29694323144104806</v>
          </cell>
          <cell r="BH174">
            <v>0.71834061135371174</v>
          </cell>
          <cell r="BI174">
            <v>0.99344978165938869</v>
          </cell>
          <cell r="BJ174">
            <v>1</v>
          </cell>
          <cell r="BQ174">
            <v>0.22925764192139739</v>
          </cell>
          <cell r="BR174">
            <v>0.74672489082969429</v>
          </cell>
          <cell r="BS174">
            <v>0.95633187772925765</v>
          </cell>
          <cell r="BT174">
            <v>0.55458515283842791</v>
          </cell>
          <cell r="BX174">
            <v>0.44978165938864628</v>
          </cell>
          <cell r="CJ174">
            <v>0.50218340611353707</v>
          </cell>
          <cell r="CK174">
            <v>0.80131004366812231</v>
          </cell>
        </row>
        <row r="175">
          <cell r="A175" t="str">
            <v>Jansen Harkins</v>
          </cell>
          <cell r="B175" t="str">
            <v>WPG</v>
          </cell>
          <cell r="I175">
            <v>0.48908296943231439</v>
          </cell>
          <cell r="J175">
            <v>0.6746724890829694</v>
          </cell>
          <cell r="K175">
            <v>0.51091703056768556</v>
          </cell>
          <cell r="L175">
            <v>0.77729257641921401</v>
          </cell>
          <cell r="S175">
            <v>0.63318777292576423</v>
          </cell>
          <cell r="T175">
            <v>0.11572052401746726</v>
          </cell>
          <cell r="U175">
            <v>0.13755458515283842</v>
          </cell>
          <cell r="V175">
            <v>0.25327510917030566</v>
          </cell>
          <cell r="AC175">
            <v>0.98253275109170302</v>
          </cell>
          <cell r="AD175">
            <v>1</v>
          </cell>
          <cell r="AE175">
            <v>0.9606986899563319</v>
          </cell>
          <cell r="AF175">
            <v>0.99781659388646293</v>
          </cell>
          <cell r="AM175">
            <v>0.50436681222707425</v>
          </cell>
          <cell r="AN175">
            <v>0.70305676855895194</v>
          </cell>
          <cell r="AO175">
            <v>0.55021834061135366</v>
          </cell>
          <cell r="AP175">
            <v>0.75327510917030571</v>
          </cell>
          <cell r="AW175">
            <v>0.99344978165938869</v>
          </cell>
          <cell r="AX175">
            <v>0.99781659388646293</v>
          </cell>
          <cell r="AY175">
            <v>0.80349344978165937</v>
          </cell>
          <cell r="AZ175">
            <v>1</v>
          </cell>
          <cell r="BG175">
            <v>0.23144104803493451</v>
          </cell>
          <cell r="BH175">
            <v>0.18340611353711792</v>
          </cell>
          <cell r="BI175">
            <v>0.45633187772925765</v>
          </cell>
          <cell r="BJ175">
            <v>0.83406113537117899</v>
          </cell>
          <cell r="BQ175">
            <v>0.87991266375545851</v>
          </cell>
          <cell r="BR175">
            <v>0.99781659388646293</v>
          </cell>
          <cell r="BS175">
            <v>0.94759825327510916</v>
          </cell>
          <cell r="BT175">
            <v>0.98908296943231444</v>
          </cell>
          <cell r="BX175">
            <v>0.90393013100436681</v>
          </cell>
          <cell r="CJ175">
            <v>0.17685589519650655</v>
          </cell>
          <cell r="CK175">
            <v>0.611353711790393</v>
          </cell>
        </row>
        <row r="176">
          <cell r="A176" t="str">
            <v>Jared McCann</v>
          </cell>
          <cell r="B176" t="str">
            <v>SEA</v>
          </cell>
          <cell r="I176">
            <v>0.79912663755458513</v>
          </cell>
          <cell r="J176">
            <v>0.28820960698689957</v>
          </cell>
          <cell r="K176">
            <v>0.99563318777292575</v>
          </cell>
          <cell r="L176">
            <v>0.56550218340611358</v>
          </cell>
          <cell r="S176">
            <v>1</v>
          </cell>
          <cell r="T176">
            <v>0.65938864628820959</v>
          </cell>
          <cell r="U176">
            <v>0.85589519650655022</v>
          </cell>
          <cell r="V176">
            <v>0.98471615720524019</v>
          </cell>
          <cell r="AC176">
            <v>0.84279475982532748</v>
          </cell>
          <cell r="AD176">
            <v>0.91703056768558955</v>
          </cell>
          <cell r="AE176">
            <v>0.37772925764192139</v>
          </cell>
          <cell r="AF176">
            <v>0.9126637554585153</v>
          </cell>
          <cell r="AM176">
            <v>0.71179039301310043</v>
          </cell>
          <cell r="AN176">
            <v>0.46506550218340609</v>
          </cell>
          <cell r="AO176">
            <v>0.96724890829694321</v>
          </cell>
          <cell r="AP176">
            <v>0.57641921397379914</v>
          </cell>
          <cell r="AW176">
            <v>0.36026200873362446</v>
          </cell>
          <cell r="AX176">
            <v>0.83624454148471616</v>
          </cell>
          <cell r="AY176">
            <v>0.22925764192139739</v>
          </cell>
          <cell r="AZ176">
            <v>0.76200873362445409</v>
          </cell>
          <cell r="BG176">
            <v>0.5240174672489083</v>
          </cell>
          <cell r="BH176">
            <v>0.74235807860262004</v>
          </cell>
          <cell r="BI176">
            <v>0.98908296943231444</v>
          </cell>
          <cell r="BJ176">
            <v>0.84279475982532748</v>
          </cell>
          <cell r="BQ176">
            <v>0.85589519650655022</v>
          </cell>
          <cell r="BR176">
            <v>0.59170305676855894</v>
          </cell>
          <cell r="BS176">
            <v>0.8973799126637555</v>
          </cell>
          <cell r="BT176">
            <v>0.81441048034934493</v>
          </cell>
          <cell r="BX176">
            <v>0.93231441048034935</v>
          </cell>
          <cell r="CJ176">
            <v>0.80786026200873362</v>
          </cell>
          <cell r="CK176">
            <v>0.70305676855895194</v>
          </cell>
        </row>
        <row r="177">
          <cell r="A177" t="str">
            <v>Jaret Anderson-Dolan</v>
          </cell>
          <cell r="B177" t="str">
            <v>L.A</v>
          </cell>
          <cell r="I177">
            <v>0.36681222707423583</v>
          </cell>
          <cell r="J177">
            <v>0.57423580786026196</v>
          </cell>
          <cell r="K177">
            <v>0.41703056768558949</v>
          </cell>
          <cell r="L177">
            <v>0.18777292576419213</v>
          </cell>
          <cell r="S177">
            <v>0.77510917030567683</v>
          </cell>
          <cell r="T177">
            <v>0.13973799126637554</v>
          </cell>
          <cell r="U177">
            <v>0.13755458515283842</v>
          </cell>
          <cell r="V177">
            <v>0.37117903930131002</v>
          </cell>
          <cell r="AC177">
            <v>0.85807860262008728</v>
          </cell>
          <cell r="AD177">
            <v>0.72052401746724892</v>
          </cell>
          <cell r="AE177">
            <v>7.2052401746724892E-2</v>
          </cell>
          <cell r="AF177">
            <v>0.77947598253275108</v>
          </cell>
          <cell r="AM177">
            <v>0.2183406113537118</v>
          </cell>
          <cell r="AN177">
            <v>0.41484716157205243</v>
          </cell>
          <cell r="AO177">
            <v>0.46724890829694321</v>
          </cell>
          <cell r="AP177">
            <v>0.13537117903930132</v>
          </cell>
          <cell r="AW177">
            <v>0.3930131004366812</v>
          </cell>
          <cell r="AX177">
            <v>0.56550218340611358</v>
          </cell>
          <cell r="AY177">
            <v>3.2751091703056769E-2</v>
          </cell>
          <cell r="AZ177">
            <v>0.55240174672489084</v>
          </cell>
          <cell r="BG177">
            <v>0.13973799126637554</v>
          </cell>
          <cell r="BH177">
            <v>0.91921397379912662</v>
          </cell>
          <cell r="BI177">
            <v>0.43013100436681223</v>
          </cell>
          <cell r="BJ177">
            <v>8.7336244541484712E-3</v>
          </cell>
          <cell r="BQ177">
            <v>0.61790393013100442</v>
          </cell>
          <cell r="BR177">
            <v>0.64847161572052403</v>
          </cell>
          <cell r="BS177">
            <v>0.1703056768558952</v>
          </cell>
          <cell r="BT177">
            <v>0.37117903930131002</v>
          </cell>
          <cell r="BX177">
            <v>0.39082969432314413</v>
          </cell>
          <cell r="CJ177">
            <v>0.9606986899563319</v>
          </cell>
          <cell r="CK177">
            <v>7.6419213973799124E-2</v>
          </cell>
        </row>
        <row r="178">
          <cell r="A178" t="str">
            <v>Jason Dickinson</v>
          </cell>
          <cell r="B178" t="str">
            <v>CHI</v>
          </cell>
          <cell r="I178">
            <v>0.14628820960698691</v>
          </cell>
          <cell r="J178">
            <v>7.4235807860262015E-2</v>
          </cell>
          <cell r="K178">
            <v>0.20087336244541484</v>
          </cell>
          <cell r="L178">
            <v>0.1222707423580786</v>
          </cell>
          <cell r="S178">
            <v>0.25545851528384278</v>
          </cell>
          <cell r="T178">
            <v>0.2816593886462882</v>
          </cell>
          <cell r="U178">
            <v>0.32751091703056767</v>
          </cell>
          <cell r="V178">
            <v>0.18558951965065501</v>
          </cell>
          <cell r="AC178">
            <v>0.29039301310043669</v>
          </cell>
          <cell r="AD178">
            <v>0.68558951965065507</v>
          </cell>
          <cell r="AE178">
            <v>8.7336244541484712E-3</v>
          </cell>
          <cell r="AF178">
            <v>0.54585152838427953</v>
          </cell>
          <cell r="AM178">
            <v>0.55021834061135366</v>
          </cell>
          <cell r="AN178">
            <v>0.45196506550218341</v>
          </cell>
          <cell r="AO178">
            <v>0.44759825327510916</v>
          </cell>
          <cell r="AP178">
            <v>0.5240174672489083</v>
          </cell>
          <cell r="AW178">
            <v>0.70742358078602618</v>
          </cell>
          <cell r="AX178">
            <v>0.96506550218340614</v>
          </cell>
          <cell r="AY178">
            <v>1.3100436681222707E-2</v>
          </cell>
          <cell r="AZ178">
            <v>0.91048034934497812</v>
          </cell>
          <cell r="BG178">
            <v>0.63318777292576423</v>
          </cell>
          <cell r="BH178">
            <v>0.1965065502183406</v>
          </cell>
          <cell r="BI178">
            <v>0.29694323144104806</v>
          </cell>
          <cell r="BJ178">
            <v>2.1834061135371178E-2</v>
          </cell>
          <cell r="BQ178">
            <v>0.16375545851528384</v>
          </cell>
          <cell r="BR178">
            <v>0.20742358078602621</v>
          </cell>
          <cell r="BS178">
            <v>4.5851528384279479E-2</v>
          </cell>
          <cell r="BT178">
            <v>0.22707423580786026</v>
          </cell>
          <cell r="BX178">
            <v>0.30349344978165937</v>
          </cell>
          <cell r="CJ178">
            <v>0.51091703056768556</v>
          </cell>
          <cell r="CK178">
            <v>0.36244541484716158</v>
          </cell>
        </row>
        <row r="179">
          <cell r="A179" t="str">
            <v>Jason Robertson</v>
          </cell>
          <cell r="B179" t="str">
            <v>DAL</v>
          </cell>
          <cell r="I179">
            <v>0.88209606986899558</v>
          </cell>
          <cell r="J179">
            <v>0.9366812227074236</v>
          </cell>
          <cell r="K179">
            <v>0.94978165938864634</v>
          </cell>
          <cell r="L179">
            <v>0.91703056768558955</v>
          </cell>
          <cell r="S179">
            <v>0.94978165938864634</v>
          </cell>
          <cell r="T179">
            <v>0.91484716157205237</v>
          </cell>
          <cell r="U179">
            <v>0.90829694323144106</v>
          </cell>
          <cell r="V179">
            <v>0.9759825327510917</v>
          </cell>
          <cell r="AC179">
            <v>0.86244541484716153</v>
          </cell>
          <cell r="AD179">
            <v>0.89519650655021832</v>
          </cell>
          <cell r="AE179">
            <v>0.86462882096069871</v>
          </cell>
          <cell r="AF179">
            <v>0.89519650655021832</v>
          </cell>
          <cell r="AM179">
            <v>0.95196506550218341</v>
          </cell>
          <cell r="AN179">
            <v>0.99344978165938869</v>
          </cell>
          <cell r="AO179">
            <v>0.96506550218340614</v>
          </cell>
          <cell r="AP179">
            <v>0.99126637554585151</v>
          </cell>
          <cell r="AW179">
            <v>0.90393013100436681</v>
          </cell>
          <cell r="AX179">
            <v>0.77292576419213976</v>
          </cell>
          <cell r="AY179">
            <v>0.74672489082969429</v>
          </cell>
          <cell r="AZ179">
            <v>0.80567685589519655</v>
          </cell>
          <cell r="BG179">
            <v>0.92358078602620086</v>
          </cell>
          <cell r="BH179">
            <v>0.71615720524017468</v>
          </cell>
          <cell r="BI179">
            <v>0.85807860262008728</v>
          </cell>
          <cell r="BJ179">
            <v>0.90174672489082974</v>
          </cell>
          <cell r="BQ179">
            <v>0.93013100436681218</v>
          </cell>
          <cell r="BR179">
            <v>0.98034934497816595</v>
          </cell>
          <cell r="BS179">
            <v>0.97379912663755464</v>
          </cell>
          <cell r="BT179">
            <v>0.96724890829694321</v>
          </cell>
          <cell r="BX179">
            <v>1</v>
          </cell>
          <cell r="CJ179">
            <v>0.88209606986899558</v>
          </cell>
          <cell r="CK179">
            <v>0.17903930131004367</v>
          </cell>
        </row>
        <row r="180">
          <cell r="A180" t="str">
            <v>Jason Zucker</v>
          </cell>
          <cell r="B180" t="str">
            <v>PIT</v>
          </cell>
          <cell r="I180">
            <v>0.94978165938864634</v>
          </cell>
          <cell r="J180">
            <v>0.94759825327510916</v>
          </cell>
          <cell r="K180">
            <v>0.76637554585152834</v>
          </cell>
          <cell r="L180">
            <v>0.99344978165938869</v>
          </cell>
          <cell r="S180">
            <v>0.96288209606986896</v>
          </cell>
          <cell r="T180">
            <v>0.2816593886462882</v>
          </cell>
          <cell r="U180">
            <v>0.27947598253275108</v>
          </cell>
          <cell r="V180">
            <v>0.79039301310043664</v>
          </cell>
          <cell r="AC180">
            <v>0.55895196506550215</v>
          </cell>
          <cell r="AD180">
            <v>0.55240174672489084</v>
          </cell>
          <cell r="AE180">
            <v>0.17467248908296942</v>
          </cell>
          <cell r="AF180">
            <v>0.41484716157205243</v>
          </cell>
          <cell r="AM180">
            <v>0.8973799126637555</v>
          </cell>
          <cell r="AN180">
            <v>0.87991266375545851</v>
          </cell>
          <cell r="AO180">
            <v>0.73799126637554591</v>
          </cell>
          <cell r="AP180">
            <v>0.94541484716157209</v>
          </cell>
          <cell r="AW180">
            <v>0.73362445414847166</v>
          </cell>
          <cell r="AX180">
            <v>0.6746724890829694</v>
          </cell>
          <cell r="AY180">
            <v>7.8602620087336247E-2</v>
          </cell>
          <cell r="AZ180">
            <v>0.39082969432314413</v>
          </cell>
          <cell r="BG180">
            <v>0.8493449781659389</v>
          </cell>
          <cell r="BH180">
            <v>0.99344978165938869</v>
          </cell>
          <cell r="BI180">
            <v>0.39519650655021832</v>
          </cell>
          <cell r="BJ180">
            <v>0.20524017467248909</v>
          </cell>
          <cell r="BQ180">
            <v>0.90611353711790388</v>
          </cell>
          <cell r="BR180">
            <v>0.90393013100436681</v>
          </cell>
          <cell r="BS180">
            <v>0.4606986899563319</v>
          </cell>
          <cell r="BT180">
            <v>0.91703056768558955</v>
          </cell>
          <cell r="BX180">
            <v>0.90174672489082974</v>
          </cell>
          <cell r="CJ180">
            <v>0.40393013100436681</v>
          </cell>
          <cell r="CK180">
            <v>0.74235807860262004</v>
          </cell>
        </row>
        <row r="181">
          <cell r="A181" t="str">
            <v>Jayson Megna</v>
          </cell>
          <cell r="B181" t="str">
            <v>ANA, COL</v>
          </cell>
          <cell r="I181">
            <v>2.6200873362445413E-2</v>
          </cell>
          <cell r="J181">
            <v>5.2401746724890827E-2</v>
          </cell>
          <cell r="K181">
            <v>2.4017467248908297E-2</v>
          </cell>
          <cell r="L181">
            <v>6.3318777292576414E-2</v>
          </cell>
          <cell r="S181">
            <v>4.8034934497816595E-2</v>
          </cell>
          <cell r="T181">
            <v>0.18340611353711792</v>
          </cell>
          <cell r="U181">
            <v>0.12445414847161572</v>
          </cell>
          <cell r="V181">
            <v>5.6768558951965066E-2</v>
          </cell>
          <cell r="AC181">
            <v>2.6200873362445413E-2</v>
          </cell>
          <cell r="AD181">
            <v>0.11135371179039301</v>
          </cell>
          <cell r="AE181">
            <v>1.9650655021834062E-2</v>
          </cell>
          <cell r="AF181">
            <v>0.10043668122270742</v>
          </cell>
          <cell r="AM181">
            <v>5.6768558951965066E-2</v>
          </cell>
          <cell r="AN181">
            <v>0.10043668122270742</v>
          </cell>
          <cell r="AO181">
            <v>0.11135371179039301</v>
          </cell>
          <cell r="AP181">
            <v>0.13100436681222707</v>
          </cell>
          <cell r="AW181">
            <v>0.35589519650655022</v>
          </cell>
          <cell r="AX181">
            <v>0.87991266375545851</v>
          </cell>
          <cell r="AY181">
            <v>0.17467248908296942</v>
          </cell>
          <cell r="AZ181">
            <v>0.72052401746724892</v>
          </cell>
          <cell r="BG181">
            <v>4.3668122270742356E-2</v>
          </cell>
          <cell r="BH181">
            <v>0.11353711790393013</v>
          </cell>
          <cell r="BI181">
            <v>3.4934497816593885E-2</v>
          </cell>
          <cell r="BJ181">
            <v>2.4017467248908297E-2</v>
          </cell>
          <cell r="BQ181">
            <v>1.0917030567685589E-2</v>
          </cell>
          <cell r="BR181">
            <v>4.5851528384279479E-2</v>
          </cell>
          <cell r="BS181">
            <v>6.5502183406113534E-3</v>
          </cell>
          <cell r="BT181">
            <v>3.2751091703056769E-2</v>
          </cell>
          <cell r="BX181">
            <v>1.0917030567685589E-2</v>
          </cell>
          <cell r="CJ181">
            <v>0.85807860262008728</v>
          </cell>
          <cell r="CK181">
            <v>2.4017467248908297E-2</v>
          </cell>
        </row>
        <row r="182">
          <cell r="A182" t="str">
            <v>Jean-Gabriel Pageau</v>
          </cell>
          <cell r="B182" t="str">
            <v>NYI</v>
          </cell>
          <cell r="I182">
            <v>0.36244541484716158</v>
          </cell>
          <cell r="J182">
            <v>0.79039301310043664</v>
          </cell>
          <cell r="K182">
            <v>0.45633187772925765</v>
          </cell>
          <cell r="L182">
            <v>0.76200873362445409</v>
          </cell>
          <cell r="S182">
            <v>3.2751091703056769E-2</v>
          </cell>
          <cell r="T182">
            <v>0.8253275109170306</v>
          </cell>
          <cell r="U182">
            <v>0.76419213973799127</v>
          </cell>
          <cell r="V182">
            <v>0.44978165938864628</v>
          </cell>
          <cell r="AC182">
            <v>0.18122270742358079</v>
          </cell>
          <cell r="AD182">
            <v>0.44541484716157204</v>
          </cell>
          <cell r="AE182">
            <v>0.63755458515283847</v>
          </cell>
          <cell r="AF182">
            <v>0.43013100436681223</v>
          </cell>
          <cell r="AM182">
            <v>0.25545851528384278</v>
          </cell>
          <cell r="AN182">
            <v>0.80786026200873362</v>
          </cell>
          <cell r="AO182">
            <v>0.39519650655021832</v>
          </cell>
          <cell r="AP182">
            <v>0.74017467248908297</v>
          </cell>
          <cell r="AW182">
            <v>0.17903930131004367</v>
          </cell>
          <cell r="AX182">
            <v>0.72925764192139741</v>
          </cell>
          <cell r="AY182">
            <v>0.3056768558951965</v>
          </cell>
          <cell r="AZ182">
            <v>0.61790393013100442</v>
          </cell>
          <cell r="BG182">
            <v>0.53056768558951961</v>
          </cell>
          <cell r="BH182">
            <v>5.0218340611353711E-2</v>
          </cell>
          <cell r="BI182">
            <v>0.5</v>
          </cell>
          <cell r="BJ182">
            <v>0.68340611353711789</v>
          </cell>
          <cell r="BQ182">
            <v>0.24890829694323144</v>
          </cell>
          <cell r="BR182">
            <v>0.72270742358078599</v>
          </cell>
          <cell r="BS182">
            <v>0.57641921397379914</v>
          </cell>
          <cell r="BT182">
            <v>0.67685589519650657</v>
          </cell>
          <cell r="BX182">
            <v>0.3930131004366812</v>
          </cell>
          <cell r="CJ182">
            <v>0.82096069868995636</v>
          </cell>
          <cell r="CK182">
            <v>0.16812227074235808</v>
          </cell>
        </row>
        <row r="183">
          <cell r="A183" t="str">
            <v>Jeff Carter</v>
          </cell>
          <cell r="B183" t="str">
            <v>PIT</v>
          </cell>
          <cell r="I183">
            <v>0.40611353711790393</v>
          </cell>
          <cell r="J183">
            <v>0.52183406113537123</v>
          </cell>
          <cell r="K183">
            <v>0.13973799126637554</v>
          </cell>
          <cell r="L183">
            <v>0.48034934497816595</v>
          </cell>
          <cell r="S183">
            <v>0.27510917030567683</v>
          </cell>
          <cell r="T183">
            <v>0.15938864628820962</v>
          </cell>
          <cell r="U183">
            <v>0.11135371179039301</v>
          </cell>
          <cell r="V183">
            <v>0.13100436681222707</v>
          </cell>
          <cell r="AC183">
            <v>0.31659388646288211</v>
          </cell>
          <cell r="AD183">
            <v>0.18122270742358079</v>
          </cell>
          <cell r="AE183">
            <v>0.25545851528384278</v>
          </cell>
          <cell r="AF183">
            <v>0.42358078602620086</v>
          </cell>
          <cell r="AM183">
            <v>4.3668122270742356E-2</v>
          </cell>
          <cell r="AN183">
            <v>8.5152838427947602E-2</v>
          </cell>
          <cell r="AO183">
            <v>0.10480349344978165</v>
          </cell>
          <cell r="AP183">
            <v>8.5152838427947602E-2</v>
          </cell>
          <cell r="AW183">
            <v>0.37554585152838427</v>
          </cell>
          <cell r="AX183">
            <v>0.20524017467248909</v>
          </cell>
          <cell r="AY183">
            <v>0.16812227074235808</v>
          </cell>
          <cell r="AZ183">
            <v>0.44978165938864628</v>
          </cell>
          <cell r="BG183">
            <v>0.21615720524017468</v>
          </cell>
          <cell r="BH183">
            <v>1.9650655021834062E-2</v>
          </cell>
          <cell r="BI183">
            <v>6.5502183406113537E-2</v>
          </cell>
          <cell r="BJ183">
            <v>6.9868995633187769E-2</v>
          </cell>
          <cell r="BQ183">
            <v>0.34716157205240172</v>
          </cell>
          <cell r="BR183">
            <v>0.34716157205240172</v>
          </cell>
          <cell r="BS183">
            <v>8.0786026200873357E-2</v>
          </cell>
          <cell r="BT183">
            <v>0.43886462882096072</v>
          </cell>
          <cell r="BX183">
            <v>0.14410480349344978</v>
          </cell>
          <cell r="CJ183">
            <v>0.38646288209606988</v>
          </cell>
          <cell r="CK183">
            <v>6.1135371179039298E-2</v>
          </cell>
        </row>
        <row r="184">
          <cell r="A184" t="str">
            <v>Jeff Skinner</v>
          </cell>
          <cell r="B184" t="str">
            <v>BUF</v>
          </cell>
          <cell r="I184">
            <v>0.94104803493449785</v>
          </cell>
          <cell r="J184">
            <v>0.91484716157205237</v>
          </cell>
          <cell r="K184">
            <v>0.99781659388646293</v>
          </cell>
          <cell r="L184">
            <v>0.92139737991266379</v>
          </cell>
          <cell r="S184">
            <v>0.96943231441048039</v>
          </cell>
          <cell r="T184">
            <v>0.97379912663755464</v>
          </cell>
          <cell r="U184">
            <v>0.95196506550218341</v>
          </cell>
          <cell r="V184">
            <v>0.99781659388646293</v>
          </cell>
          <cell r="AC184">
            <v>0.1965065502183406</v>
          </cell>
          <cell r="AD184">
            <v>6.768558951965066E-2</v>
          </cell>
          <cell r="AE184">
            <v>0.11790393013100436</v>
          </cell>
          <cell r="AF184">
            <v>5.6768558951965066E-2</v>
          </cell>
          <cell r="AM184">
            <v>0.98253275109170302</v>
          </cell>
          <cell r="AN184">
            <v>0.99563318777292575</v>
          </cell>
          <cell r="AO184">
            <v>0.99563318777292575</v>
          </cell>
          <cell r="AP184">
            <v>0.97816593886462877</v>
          </cell>
          <cell r="AW184">
            <v>0.10262008733624454</v>
          </cell>
          <cell r="AX184">
            <v>6.768558951965066E-2</v>
          </cell>
          <cell r="AY184">
            <v>0.31441048034934499</v>
          </cell>
          <cell r="AZ184">
            <v>3.2751091703056769E-2</v>
          </cell>
          <cell r="BG184">
            <v>0.80567685589519655</v>
          </cell>
          <cell r="BH184">
            <v>0.97379912663755464</v>
          </cell>
          <cell r="BI184">
            <v>0.97161572052401746</v>
          </cell>
          <cell r="BJ184">
            <v>0.86026200873362446</v>
          </cell>
          <cell r="BQ184">
            <v>0.75764192139737996</v>
          </cell>
          <cell r="BR184">
            <v>0.5873362445414847</v>
          </cell>
          <cell r="BS184">
            <v>0.82969432314410485</v>
          </cell>
          <cell r="BT184">
            <v>0.59825327510917026</v>
          </cell>
          <cell r="BX184">
            <v>0.85152838427947597</v>
          </cell>
          <cell r="CJ184">
            <v>0.73362445414847166</v>
          </cell>
          <cell r="CK184">
            <v>0.88427947598253276</v>
          </cell>
        </row>
        <row r="185">
          <cell r="A185" t="str">
            <v>Jesper Boqvist</v>
          </cell>
          <cell r="B185" t="str">
            <v>N.J</v>
          </cell>
          <cell r="I185">
            <v>0.50218340611353707</v>
          </cell>
          <cell r="J185">
            <v>0.61790393013100442</v>
          </cell>
          <cell r="K185">
            <v>0.54803493449781659</v>
          </cell>
          <cell r="L185">
            <v>0.68777292576419213</v>
          </cell>
          <cell r="S185">
            <v>0.65938864628820959</v>
          </cell>
          <cell r="T185">
            <v>0.43449781659388648</v>
          </cell>
          <cell r="U185">
            <v>0.19213973799126638</v>
          </cell>
          <cell r="V185">
            <v>0.53711790393013104</v>
          </cell>
          <cell r="AC185">
            <v>0.76200873362445409</v>
          </cell>
          <cell r="AD185">
            <v>0.76200873362445409</v>
          </cell>
          <cell r="AE185">
            <v>0.87554585152838427</v>
          </cell>
          <cell r="AF185">
            <v>0.82751091703056767</v>
          </cell>
          <cell r="AM185">
            <v>8.5152838427947602E-2</v>
          </cell>
          <cell r="AN185">
            <v>0.1091703056768559</v>
          </cell>
          <cell r="AO185">
            <v>0.34934497816593885</v>
          </cell>
          <cell r="AP185">
            <v>0.17903930131004367</v>
          </cell>
          <cell r="AW185">
            <v>0.56768558951965065</v>
          </cell>
          <cell r="AX185">
            <v>0.32096069868995636</v>
          </cell>
          <cell r="AY185">
            <v>0.71179039301310043</v>
          </cell>
          <cell r="AZ185">
            <v>0.65502183406113534</v>
          </cell>
          <cell r="BG185">
            <v>0.26419213973799127</v>
          </cell>
          <cell r="BH185">
            <v>0.76200873362445409</v>
          </cell>
          <cell r="BI185">
            <v>0.73362445414847166</v>
          </cell>
          <cell r="BJ185">
            <v>0.81877729257641918</v>
          </cell>
          <cell r="BQ185">
            <v>0.62882096069868998</v>
          </cell>
          <cell r="BR185">
            <v>0.72052401746724892</v>
          </cell>
          <cell r="BS185">
            <v>0.84497816593886466</v>
          </cell>
          <cell r="BT185">
            <v>0.81441048034934493</v>
          </cell>
          <cell r="BX185">
            <v>0.58078602620087338</v>
          </cell>
          <cell r="CJ185">
            <v>0.98253275109170302</v>
          </cell>
          <cell r="CK185">
            <v>0.20742358078602621</v>
          </cell>
        </row>
        <row r="186">
          <cell r="A186" t="str">
            <v>Jesper Bratt</v>
          </cell>
          <cell r="B186" t="str">
            <v>N.J</v>
          </cell>
          <cell r="I186">
            <v>0.98253275109170302</v>
          </cell>
          <cell r="J186">
            <v>0.95633187772925765</v>
          </cell>
          <cell r="K186">
            <v>0.89519650655021832</v>
          </cell>
          <cell r="L186">
            <v>0.98034934497816595</v>
          </cell>
          <cell r="S186">
            <v>0.84279475982532748</v>
          </cell>
          <cell r="T186">
            <v>0.76200873362445409</v>
          </cell>
          <cell r="U186">
            <v>0.75109170305676853</v>
          </cell>
          <cell r="V186">
            <v>0.87991266375545851</v>
          </cell>
          <cell r="AC186">
            <v>0.87554585152838427</v>
          </cell>
          <cell r="AD186">
            <v>0.76637554585152834</v>
          </cell>
          <cell r="AE186">
            <v>0.45196506550218341</v>
          </cell>
          <cell r="AF186">
            <v>0.68340611353711789</v>
          </cell>
          <cell r="AM186">
            <v>0.97816593886462877</v>
          </cell>
          <cell r="AN186">
            <v>0.86462882096069871</v>
          </cell>
          <cell r="AO186">
            <v>0.80786026200873362</v>
          </cell>
          <cell r="AP186">
            <v>0.90174672489082974</v>
          </cell>
          <cell r="AW186">
            <v>0.72707423580786024</v>
          </cell>
          <cell r="AX186">
            <v>0.29039301310043669</v>
          </cell>
          <cell r="AY186">
            <v>0.20524017467248909</v>
          </cell>
          <cell r="AZ186">
            <v>0.34061135371179041</v>
          </cell>
          <cell r="BG186">
            <v>0.79912663755458513</v>
          </cell>
          <cell r="BH186">
            <v>0.67903930131004364</v>
          </cell>
          <cell r="BI186">
            <v>0.66812227074235808</v>
          </cell>
          <cell r="BJ186">
            <v>0.41048034934497818</v>
          </cell>
          <cell r="BQ186">
            <v>0.96724890829694321</v>
          </cell>
          <cell r="BR186">
            <v>0.94759825327510916</v>
          </cell>
          <cell r="BS186">
            <v>0.80349344978165937</v>
          </cell>
          <cell r="BT186">
            <v>0.95851528384279472</v>
          </cell>
          <cell r="BX186">
            <v>0.98034934497816595</v>
          </cell>
          <cell r="CJ186">
            <v>0.96943231441048039</v>
          </cell>
          <cell r="CK186">
            <v>0.10480349344978165</v>
          </cell>
        </row>
        <row r="187">
          <cell r="A187" t="str">
            <v>Jesper Fast</v>
          </cell>
          <cell r="B187" t="str">
            <v>CAR</v>
          </cell>
          <cell r="I187">
            <v>0.86681222707423577</v>
          </cell>
          <cell r="J187">
            <v>0.90611353711790388</v>
          </cell>
          <cell r="K187">
            <v>0.4606986899563319</v>
          </cell>
          <cell r="L187">
            <v>0.83406113537117899</v>
          </cell>
          <cell r="S187">
            <v>0.37991266375545851</v>
          </cell>
          <cell r="T187">
            <v>0.44978165938864628</v>
          </cell>
          <cell r="U187">
            <v>0.16157205240174671</v>
          </cell>
          <cell r="V187">
            <v>0.38209606986899564</v>
          </cell>
          <cell r="AC187">
            <v>0.99126637554585151</v>
          </cell>
          <cell r="AD187">
            <v>0.90611353711790388</v>
          </cell>
          <cell r="AE187">
            <v>0.75109170305676853</v>
          </cell>
          <cell r="AF187">
            <v>0.96506550218340614</v>
          </cell>
          <cell r="AM187">
            <v>0.19868995633187772</v>
          </cell>
          <cell r="AN187">
            <v>0.6506550218340611</v>
          </cell>
          <cell r="AO187">
            <v>0.40393013100436681</v>
          </cell>
          <cell r="AP187">
            <v>0.32532751091703055</v>
          </cell>
          <cell r="AW187">
            <v>0.81004366812227069</v>
          </cell>
          <cell r="AX187">
            <v>0.64628820960698685</v>
          </cell>
          <cell r="AY187">
            <v>0.50655021834061131</v>
          </cell>
          <cell r="AZ187">
            <v>0.49563318777292575</v>
          </cell>
          <cell r="BG187">
            <v>0.63100436681222705</v>
          </cell>
          <cell r="BH187">
            <v>0.58951965065502188</v>
          </cell>
          <cell r="BI187">
            <v>0.38209606986899564</v>
          </cell>
          <cell r="BJ187">
            <v>0.25982532751091703</v>
          </cell>
          <cell r="BQ187">
            <v>0.98034934497816595</v>
          </cell>
          <cell r="BR187">
            <v>0.9606986899563319</v>
          </cell>
          <cell r="BS187">
            <v>0.63973799126637554</v>
          </cell>
          <cell r="BT187">
            <v>0.95633187772925765</v>
          </cell>
          <cell r="BX187">
            <v>0.79257641921397382</v>
          </cell>
          <cell r="CJ187">
            <v>0.8253275109170306</v>
          </cell>
          <cell r="CK187">
            <v>0.40174672489082969</v>
          </cell>
        </row>
        <row r="188">
          <cell r="A188" t="str">
            <v>Jesperi Kotkaniemi</v>
          </cell>
          <cell r="B188" t="str">
            <v>CAR</v>
          </cell>
          <cell r="I188">
            <v>0.86244541484716153</v>
          </cell>
          <cell r="J188">
            <v>0.68340611353711789</v>
          </cell>
          <cell r="K188">
            <v>0.49781659388646288</v>
          </cell>
          <cell r="L188">
            <v>0.70960698689956336</v>
          </cell>
          <cell r="S188">
            <v>0.56986899563318782</v>
          </cell>
          <cell r="T188">
            <v>0.56986899563318782</v>
          </cell>
          <cell r="U188">
            <v>0.16157205240174671</v>
          </cell>
          <cell r="V188">
            <v>0.5633187772925764</v>
          </cell>
          <cell r="AC188">
            <v>0.98908296943231444</v>
          </cell>
          <cell r="AD188">
            <v>0.9126637554585153</v>
          </cell>
          <cell r="AE188">
            <v>0.89082969432314407</v>
          </cell>
          <cell r="AF188">
            <v>0.98471615720524019</v>
          </cell>
          <cell r="AM188">
            <v>0.2205240174672489</v>
          </cell>
          <cell r="AN188">
            <v>0.12445414847161572</v>
          </cell>
          <cell r="AO188">
            <v>0.46506550218340609</v>
          </cell>
          <cell r="AP188">
            <v>0.14192139737991266</v>
          </cell>
          <cell r="AW188">
            <v>0.78820960698689957</v>
          </cell>
          <cell r="AX188">
            <v>0.63318777292576423</v>
          </cell>
          <cell r="AY188">
            <v>0.68558951965065507</v>
          </cell>
          <cell r="AZ188">
            <v>0.68995633187772931</v>
          </cell>
          <cell r="BG188">
            <v>0.55458515283842791</v>
          </cell>
          <cell r="BH188">
            <v>0.96288209606986896</v>
          </cell>
          <cell r="BI188">
            <v>0.388646288209607</v>
          </cell>
          <cell r="BJ188">
            <v>0.46288209606986902</v>
          </cell>
          <cell r="BQ188">
            <v>0.97816593886462877</v>
          </cell>
          <cell r="BR188">
            <v>0.86462882096069871</v>
          </cell>
          <cell r="BS188">
            <v>0.8253275109170306</v>
          </cell>
          <cell r="BT188">
            <v>0.94541484716157209</v>
          </cell>
          <cell r="BX188">
            <v>0.83624454148471616</v>
          </cell>
          <cell r="CJ188">
            <v>0.16593886462882096</v>
          </cell>
          <cell r="CK188">
            <v>0.46724890829694321</v>
          </cell>
        </row>
        <row r="189">
          <cell r="A189" t="str">
            <v>Jesse Puljujarvi</v>
          </cell>
          <cell r="B189" t="str">
            <v>CAR, EDM</v>
          </cell>
          <cell r="I189">
            <v>0.78602620087336239</v>
          </cell>
          <cell r="J189">
            <v>0.5873362445414847</v>
          </cell>
          <cell r="K189">
            <v>0.2205240174672489</v>
          </cell>
          <cell r="L189">
            <v>0.68777292576419213</v>
          </cell>
          <cell r="S189">
            <v>0.10480349344978165</v>
          </cell>
          <cell r="T189">
            <v>0.26637554585152839</v>
          </cell>
          <cell r="U189">
            <v>0.32751091703056767</v>
          </cell>
          <cell r="V189">
            <v>0.11790393013100436</v>
          </cell>
          <cell r="AC189">
            <v>0.9366812227074236</v>
          </cell>
          <cell r="AD189">
            <v>0.88646288209606983</v>
          </cell>
          <cell r="AE189">
            <v>0.44541484716157204</v>
          </cell>
          <cell r="AF189">
            <v>0.92139737991266379</v>
          </cell>
          <cell r="AM189">
            <v>0.56550218340611358</v>
          </cell>
          <cell r="AN189">
            <v>0.24890829694323144</v>
          </cell>
          <cell r="AO189">
            <v>0.15283842794759825</v>
          </cell>
          <cell r="AP189">
            <v>0.36244541484716158</v>
          </cell>
          <cell r="AW189">
            <v>0.89082969432314407</v>
          </cell>
          <cell r="AX189">
            <v>0.70742358078602618</v>
          </cell>
          <cell r="AY189">
            <v>0.55021834061135366</v>
          </cell>
          <cell r="AZ189">
            <v>0.85589519650655022</v>
          </cell>
          <cell r="BG189">
            <v>0.35807860262008734</v>
          </cell>
          <cell r="BH189">
            <v>0.57205240174672489</v>
          </cell>
          <cell r="BI189">
            <v>0.10698689956331878</v>
          </cell>
          <cell r="BJ189">
            <v>6.9868995633187769E-2</v>
          </cell>
          <cell r="BQ189">
            <v>0.91048034934497812</v>
          </cell>
          <cell r="BR189">
            <v>0.77074235807860259</v>
          </cell>
          <cell r="BS189">
            <v>0.22707423580786026</v>
          </cell>
          <cell r="BT189">
            <v>0.86462882096069871</v>
          </cell>
          <cell r="BX189">
            <v>0.75764192139737996</v>
          </cell>
          <cell r="CJ189">
            <v>0.36026200873362446</v>
          </cell>
          <cell r="CK189">
            <v>0.21615720524017468</v>
          </cell>
        </row>
        <row r="190">
          <cell r="A190" t="str">
            <v>Jesse Ylonen</v>
          </cell>
          <cell r="B190" t="str">
            <v>MTL</v>
          </cell>
          <cell r="I190">
            <v>4.5851528384279479E-2</v>
          </cell>
          <cell r="J190">
            <v>1.9650655021834062E-2</v>
          </cell>
          <cell r="K190">
            <v>0.2423580786026201</v>
          </cell>
          <cell r="L190">
            <v>3.0567685589519649E-2</v>
          </cell>
          <cell r="S190">
            <v>0.51528384279475981</v>
          </cell>
          <cell r="T190">
            <v>0.73580786026200873</v>
          </cell>
          <cell r="U190">
            <v>0.29475982532751094</v>
          </cell>
          <cell r="V190">
            <v>0.67030567685589515</v>
          </cell>
          <cell r="AC190">
            <v>0.388646288209607</v>
          </cell>
          <cell r="AD190">
            <v>0.10480349344978165</v>
          </cell>
          <cell r="AE190">
            <v>8.7336244541484712E-2</v>
          </cell>
          <cell r="AF190">
            <v>0.39082969432314413</v>
          </cell>
          <cell r="AM190">
            <v>0.2816593886462882</v>
          </cell>
          <cell r="AN190">
            <v>3.9301310043668124E-2</v>
          </cell>
          <cell r="AO190">
            <v>0.18340611353711792</v>
          </cell>
          <cell r="AP190">
            <v>0.10698689956331878</v>
          </cell>
          <cell r="AW190">
            <v>0.93886462882096067</v>
          </cell>
          <cell r="AX190">
            <v>0.56550218340611358</v>
          </cell>
          <cell r="AY190">
            <v>0.1331877729257642</v>
          </cell>
          <cell r="AZ190">
            <v>0.94759825327510916</v>
          </cell>
          <cell r="BG190">
            <v>0.46506550218340609</v>
          </cell>
          <cell r="BH190">
            <v>0.39519650655021832</v>
          </cell>
          <cell r="BI190">
            <v>0.44978165938864628</v>
          </cell>
          <cell r="BJ190">
            <v>9.606986899563319E-2</v>
          </cell>
          <cell r="BQ190">
            <v>9.8253275109170299E-2</v>
          </cell>
          <cell r="BR190">
            <v>1.7467248908296942E-2</v>
          </cell>
          <cell r="BS190">
            <v>9.3886462882096067E-2</v>
          </cell>
          <cell r="BT190">
            <v>6.5502183406113537E-2</v>
          </cell>
          <cell r="BX190">
            <v>0.26855895196506552</v>
          </cell>
          <cell r="CJ190">
            <v>0.99563318777292575</v>
          </cell>
          <cell r="CK190">
            <v>8.5152838427947602E-2</v>
          </cell>
        </row>
        <row r="191">
          <cell r="A191" t="str">
            <v>Jimmy Vesey</v>
          </cell>
          <cell r="B191" t="str">
            <v>NYR</v>
          </cell>
          <cell r="I191">
            <v>0.64410480349344978</v>
          </cell>
          <cell r="J191">
            <v>0.83187772925764192</v>
          </cell>
          <cell r="K191">
            <v>0.51528384279475981</v>
          </cell>
          <cell r="L191">
            <v>0.82969432314410485</v>
          </cell>
          <cell r="S191">
            <v>0.20742358078602621</v>
          </cell>
          <cell r="T191">
            <v>0.31877729257641924</v>
          </cell>
          <cell r="U191">
            <v>0.26637554585152839</v>
          </cell>
          <cell r="V191">
            <v>0.18122270742358079</v>
          </cell>
          <cell r="AC191">
            <v>0.71615720524017468</v>
          </cell>
          <cell r="AD191">
            <v>0.611353711790393</v>
          </cell>
          <cell r="AE191">
            <v>0.76419213973799127</v>
          </cell>
          <cell r="AF191">
            <v>0.62008733624454149</v>
          </cell>
          <cell r="AM191">
            <v>0.77947598253275108</v>
          </cell>
          <cell r="AN191">
            <v>0.92794759825327511</v>
          </cell>
          <cell r="AO191">
            <v>0.45414847161572053</v>
          </cell>
          <cell r="AP191">
            <v>0.91484716157205237</v>
          </cell>
          <cell r="AW191">
            <v>0.57641921397379914</v>
          </cell>
          <cell r="AX191">
            <v>0.83842794759825323</v>
          </cell>
          <cell r="AY191">
            <v>0.58515283842794763</v>
          </cell>
          <cell r="AZ191">
            <v>0.68995633187772931</v>
          </cell>
          <cell r="BG191">
            <v>0.41484716157205243</v>
          </cell>
          <cell r="BH191">
            <v>0.4606986899563319</v>
          </cell>
          <cell r="BI191">
            <v>0.44759825327510916</v>
          </cell>
          <cell r="BJ191">
            <v>0.68340611353711789</v>
          </cell>
          <cell r="BQ191">
            <v>0.70960698689956336</v>
          </cell>
          <cell r="BR191">
            <v>0.82969432314410485</v>
          </cell>
          <cell r="BS191">
            <v>0.70305676855895194</v>
          </cell>
          <cell r="BT191">
            <v>0.81004366812227069</v>
          </cell>
          <cell r="BX191">
            <v>0.73799126637554591</v>
          </cell>
          <cell r="CJ191">
            <v>0.84497816593886466</v>
          </cell>
          <cell r="CK191">
            <v>0.3296943231441048</v>
          </cell>
        </row>
        <row r="192">
          <cell r="A192" t="str">
            <v>JJ Peterka</v>
          </cell>
          <cell r="B192" t="str">
            <v>BUF</v>
          </cell>
          <cell r="I192">
            <v>0.54803493449781659</v>
          </cell>
          <cell r="J192">
            <v>0.71397379912663761</v>
          </cell>
          <cell r="K192">
            <v>0.69213973799126638</v>
          </cell>
          <cell r="L192">
            <v>0.79475982532751088</v>
          </cell>
          <cell r="S192">
            <v>0.46724890829694321</v>
          </cell>
          <cell r="T192">
            <v>0.6506550218340611</v>
          </cell>
          <cell r="U192">
            <v>0.78165938864628826</v>
          </cell>
          <cell r="V192">
            <v>0.59606986899563319</v>
          </cell>
          <cell r="AC192">
            <v>0.1222707423580786</v>
          </cell>
          <cell r="AD192">
            <v>0.13100436681222707</v>
          </cell>
          <cell r="AE192">
            <v>2.1834061135371178E-2</v>
          </cell>
          <cell r="AF192">
            <v>0.10698689956331878</v>
          </cell>
          <cell r="AM192">
            <v>0.36026200873362446</v>
          </cell>
          <cell r="AN192">
            <v>0.76200873362445409</v>
          </cell>
          <cell r="AO192">
            <v>0.43013100436681223</v>
          </cell>
          <cell r="AP192">
            <v>0.75545851528384278</v>
          </cell>
          <cell r="AW192">
            <v>6.3318777292576414E-2</v>
          </cell>
          <cell r="AX192">
            <v>0.27947598253275108</v>
          </cell>
          <cell r="AY192">
            <v>3.9301310043668124E-2</v>
          </cell>
          <cell r="AZ192">
            <v>0.11572052401746726</v>
          </cell>
          <cell r="BG192">
            <v>0.4606986899563319</v>
          </cell>
          <cell r="BH192">
            <v>0.61790393013100442</v>
          </cell>
          <cell r="BI192">
            <v>0.77292576419213976</v>
          </cell>
          <cell r="BJ192">
            <v>0.31877729257641924</v>
          </cell>
          <cell r="BQ192">
            <v>0.29694323144104806</v>
          </cell>
          <cell r="BR192">
            <v>0.4126637554585153</v>
          </cell>
          <cell r="BS192">
            <v>0.24017467248908297</v>
          </cell>
          <cell r="BT192">
            <v>0.41703056768558949</v>
          </cell>
          <cell r="BX192">
            <v>0.3296943231441048</v>
          </cell>
          <cell r="CJ192">
            <v>0.51965065502183405</v>
          </cell>
          <cell r="CK192">
            <v>0.42358078602620086</v>
          </cell>
        </row>
        <row r="193">
          <cell r="A193" t="str">
            <v>Joe Pavelski</v>
          </cell>
          <cell r="B193" t="str">
            <v>DAL</v>
          </cell>
          <cell r="I193">
            <v>0.80131004366812231</v>
          </cell>
          <cell r="J193">
            <v>0.89082969432314407</v>
          </cell>
          <cell r="K193">
            <v>0.97816593886462877</v>
          </cell>
          <cell r="L193">
            <v>0.87772925764192145</v>
          </cell>
          <cell r="S193">
            <v>0.46724890829694321</v>
          </cell>
          <cell r="T193">
            <v>0.90611353711790388</v>
          </cell>
          <cell r="U193">
            <v>0.88209606986899558</v>
          </cell>
          <cell r="V193">
            <v>0.82969432314410485</v>
          </cell>
          <cell r="AC193">
            <v>0.77074235807860259</v>
          </cell>
          <cell r="AD193">
            <v>0.86244541484716153</v>
          </cell>
          <cell r="AE193">
            <v>0.888646288209607</v>
          </cell>
          <cell r="AF193">
            <v>0.79912663755458513</v>
          </cell>
          <cell r="AM193">
            <v>0.83842794759825323</v>
          </cell>
          <cell r="AN193">
            <v>0.94104803493449785</v>
          </cell>
          <cell r="AO193">
            <v>0.98908296943231444</v>
          </cell>
          <cell r="AP193">
            <v>0.94759825327510916</v>
          </cell>
          <cell r="AW193">
            <v>0.81004366812227069</v>
          </cell>
          <cell r="AX193">
            <v>0.68558951965065507</v>
          </cell>
          <cell r="AY193">
            <v>0.76200873362445409</v>
          </cell>
          <cell r="AZ193">
            <v>0.63100436681222705</v>
          </cell>
          <cell r="BG193">
            <v>0.80349344978165937</v>
          </cell>
          <cell r="BH193">
            <v>0.80786026200873362</v>
          </cell>
          <cell r="BI193">
            <v>0.95633187772925765</v>
          </cell>
          <cell r="BJ193">
            <v>0.97816593886462877</v>
          </cell>
          <cell r="BQ193">
            <v>0.83187772925764192</v>
          </cell>
          <cell r="BR193">
            <v>0.93886462882096067</v>
          </cell>
          <cell r="BS193">
            <v>0.98253275109170302</v>
          </cell>
          <cell r="BT193">
            <v>0.92576419213973804</v>
          </cell>
          <cell r="BX193">
            <v>0.95851528384279472</v>
          </cell>
          <cell r="CJ193">
            <v>0.96943231441048039</v>
          </cell>
          <cell r="CK193">
            <v>0.74890829694323147</v>
          </cell>
        </row>
        <row r="194">
          <cell r="A194" t="str">
            <v>Joe Veleno</v>
          </cell>
          <cell r="B194" t="str">
            <v>DET</v>
          </cell>
          <cell r="I194">
            <v>6.1135371179039298E-2</v>
          </cell>
          <cell r="J194">
            <v>4.5851528384279479E-2</v>
          </cell>
          <cell r="K194">
            <v>0.20524017467248909</v>
          </cell>
          <cell r="L194">
            <v>4.8034934497816595E-2</v>
          </cell>
          <cell r="S194">
            <v>0.29694323144104806</v>
          </cell>
          <cell r="T194">
            <v>8.0786026200873357E-2</v>
          </cell>
          <cell r="U194">
            <v>0.13755458515283842</v>
          </cell>
          <cell r="V194">
            <v>8.296943231441048E-2</v>
          </cell>
          <cell r="AC194">
            <v>0.57860262008733621</v>
          </cell>
          <cell r="AD194">
            <v>0.52183406113537123</v>
          </cell>
          <cell r="AE194">
            <v>0.42794759825327511</v>
          </cell>
          <cell r="AF194">
            <v>0.71834061135371174</v>
          </cell>
          <cell r="AM194">
            <v>0.26200873362445415</v>
          </cell>
          <cell r="AN194">
            <v>0.21397379912663755</v>
          </cell>
          <cell r="AO194">
            <v>0.37117903930131002</v>
          </cell>
          <cell r="AP194">
            <v>0.17248908296943233</v>
          </cell>
          <cell r="AW194">
            <v>0.59825327510917026</v>
          </cell>
          <cell r="AX194">
            <v>0.62445414847161573</v>
          </cell>
          <cell r="AY194">
            <v>0.64628820960698685</v>
          </cell>
          <cell r="AZ194">
            <v>0.72052401746724892</v>
          </cell>
          <cell r="BG194">
            <v>0.38209606986899564</v>
          </cell>
          <cell r="BH194">
            <v>0.62008733624454149</v>
          </cell>
          <cell r="BI194">
            <v>0.42794759825327511</v>
          </cell>
          <cell r="BJ194">
            <v>0.3056768558951965</v>
          </cell>
          <cell r="BQ194">
            <v>0.16812227074235808</v>
          </cell>
          <cell r="BR194">
            <v>0.11353711790393013</v>
          </cell>
          <cell r="BS194">
            <v>0.20960698689956331</v>
          </cell>
          <cell r="BT194">
            <v>0.1703056768558952</v>
          </cell>
          <cell r="BX194">
            <v>0.16375545851528384</v>
          </cell>
          <cell r="CJ194">
            <v>0.46506550218340609</v>
          </cell>
          <cell r="CK194">
            <v>0.40829694323144106</v>
          </cell>
        </row>
        <row r="195">
          <cell r="A195" t="str">
            <v>Joel Armia</v>
          </cell>
          <cell r="B195" t="str">
            <v>MTL</v>
          </cell>
          <cell r="I195">
            <v>0.20960698689956331</v>
          </cell>
          <cell r="J195">
            <v>0.26855895196506552</v>
          </cell>
          <cell r="K195">
            <v>4.5851528384279479E-2</v>
          </cell>
          <cell r="L195">
            <v>0.24672489082969432</v>
          </cell>
          <cell r="S195">
            <v>0.388646288209607</v>
          </cell>
          <cell r="T195">
            <v>0.29694323144104806</v>
          </cell>
          <cell r="U195">
            <v>0.23580786026200873</v>
          </cell>
          <cell r="V195">
            <v>0.27947598253275108</v>
          </cell>
          <cell r="AC195">
            <v>0.15065502183406113</v>
          </cell>
          <cell r="AD195">
            <v>0.12663755458515283</v>
          </cell>
          <cell r="AE195">
            <v>0.33624454148471616</v>
          </cell>
          <cell r="AF195">
            <v>7.8602620087336247E-2</v>
          </cell>
          <cell r="AM195">
            <v>0.57205240174672489</v>
          </cell>
          <cell r="AN195">
            <v>0.5393013100436681</v>
          </cell>
          <cell r="AO195">
            <v>0.12882096069868995</v>
          </cell>
          <cell r="AP195">
            <v>0.51528384279475981</v>
          </cell>
          <cell r="AW195">
            <v>0.27510917030567683</v>
          </cell>
          <cell r="AX195">
            <v>0.4759825327510917</v>
          </cell>
          <cell r="AY195">
            <v>0.62445414847161573</v>
          </cell>
          <cell r="AZ195">
            <v>0.38209606986899564</v>
          </cell>
          <cell r="BG195">
            <v>0.37991266375545851</v>
          </cell>
          <cell r="BH195">
            <v>0.44104803493449779</v>
          </cell>
          <cell r="BI195">
            <v>4.5851528384279479E-2</v>
          </cell>
          <cell r="BJ195">
            <v>0.1091703056768559</v>
          </cell>
          <cell r="BQ195">
            <v>0.12882096069868995</v>
          </cell>
          <cell r="BR195">
            <v>0.17248908296943233</v>
          </cell>
          <cell r="BS195">
            <v>6.1135371179039298E-2</v>
          </cell>
          <cell r="BT195">
            <v>9.606986899563319E-2</v>
          </cell>
          <cell r="BX195">
            <v>0.14628820960698691</v>
          </cell>
          <cell r="CJ195">
            <v>0.20305676855895197</v>
          </cell>
          <cell r="CK195">
            <v>0.16157205240174671</v>
          </cell>
        </row>
        <row r="196">
          <cell r="A196" t="str">
            <v>Joel Eriksson Ek</v>
          </cell>
          <cell r="B196" t="str">
            <v>MIN</v>
          </cell>
          <cell r="I196">
            <v>0.69868995633187769</v>
          </cell>
          <cell r="J196">
            <v>0.63537117903930129</v>
          </cell>
          <cell r="K196">
            <v>0.4606986899563319</v>
          </cell>
          <cell r="L196">
            <v>0.49344978165938863</v>
          </cell>
          <cell r="S196">
            <v>0.20742358078602621</v>
          </cell>
          <cell r="T196">
            <v>0.95851528384279472</v>
          </cell>
          <cell r="U196">
            <v>0.9366812227074236</v>
          </cell>
          <cell r="V196">
            <v>0.79694323144104806</v>
          </cell>
          <cell r="AC196">
            <v>0.388646288209607</v>
          </cell>
          <cell r="AD196">
            <v>0.89082969432314407</v>
          </cell>
          <cell r="AE196">
            <v>0.85152838427947597</v>
          </cell>
          <cell r="AF196">
            <v>0.85371179039301315</v>
          </cell>
          <cell r="AM196">
            <v>0.71834061135371174</v>
          </cell>
          <cell r="AN196">
            <v>0.85807860262008728</v>
          </cell>
          <cell r="AO196">
            <v>0.67685589519650657</v>
          </cell>
          <cell r="AP196">
            <v>0.69650655021834063</v>
          </cell>
          <cell r="AW196">
            <v>0.26855895196506552</v>
          </cell>
          <cell r="AX196">
            <v>0.57423580786026196</v>
          </cell>
          <cell r="AY196">
            <v>0.61353711790393017</v>
          </cell>
          <cell r="AZ196">
            <v>0.72052401746724892</v>
          </cell>
          <cell r="BG196">
            <v>0.50436681222707425</v>
          </cell>
          <cell r="BH196">
            <v>0.13755458515283842</v>
          </cell>
          <cell r="BI196">
            <v>0.40829694323144106</v>
          </cell>
          <cell r="BJ196">
            <v>0.78820960698689957</v>
          </cell>
          <cell r="BQ196">
            <v>0.57860262008733621</v>
          </cell>
          <cell r="BR196">
            <v>0.81659388646288211</v>
          </cell>
          <cell r="BS196">
            <v>0.77074235807860259</v>
          </cell>
          <cell r="BT196">
            <v>0.74672489082969429</v>
          </cell>
          <cell r="BX196">
            <v>0.72270742358078599</v>
          </cell>
          <cell r="CJ196">
            <v>0.42794759825327511</v>
          </cell>
          <cell r="CK196">
            <v>0.3296943231441048</v>
          </cell>
        </row>
        <row r="197">
          <cell r="A197" t="str">
            <v>Joel Farabee</v>
          </cell>
          <cell r="B197" t="str">
            <v>PHI</v>
          </cell>
          <cell r="I197">
            <v>0.46506550218340609</v>
          </cell>
          <cell r="J197">
            <v>0.43231441048034935</v>
          </cell>
          <cell r="K197">
            <v>0.74672489082969429</v>
          </cell>
          <cell r="L197">
            <v>0.4126637554585153</v>
          </cell>
          <cell r="S197">
            <v>0.70087336244541487</v>
          </cell>
          <cell r="T197">
            <v>0.6506550218340611</v>
          </cell>
          <cell r="U197">
            <v>0.42358078602620086</v>
          </cell>
          <cell r="V197">
            <v>0.68777292576419213</v>
          </cell>
          <cell r="AC197">
            <v>0.15283842794759825</v>
          </cell>
          <cell r="AD197">
            <v>0.19213973799126638</v>
          </cell>
          <cell r="AE197">
            <v>0.30349344978165937</v>
          </cell>
          <cell r="AF197">
            <v>0.13755458515283842</v>
          </cell>
          <cell r="AM197">
            <v>0.55676855895196509</v>
          </cell>
          <cell r="AN197">
            <v>0.59606986899563319</v>
          </cell>
          <cell r="AO197">
            <v>0.89519650655021832</v>
          </cell>
          <cell r="AP197">
            <v>0.62445414847161573</v>
          </cell>
          <cell r="AW197">
            <v>8.0786026200873357E-2</v>
          </cell>
          <cell r="AX197">
            <v>0.13537117903930132</v>
          </cell>
          <cell r="AY197">
            <v>0.24017467248908297</v>
          </cell>
          <cell r="AZ197">
            <v>4.3668122270742356E-2</v>
          </cell>
          <cell r="BG197">
            <v>0.75327510917030571</v>
          </cell>
          <cell r="BH197">
            <v>0.62227074235807855</v>
          </cell>
          <cell r="BI197">
            <v>0.81441048034934493</v>
          </cell>
          <cell r="BJ197">
            <v>0.68340611353711789</v>
          </cell>
          <cell r="BQ197">
            <v>0.2816593886462882</v>
          </cell>
          <cell r="BR197">
            <v>0.2816593886462882</v>
          </cell>
          <cell r="BS197">
            <v>0.54803493449781659</v>
          </cell>
          <cell r="BT197">
            <v>0.24454148471615719</v>
          </cell>
          <cell r="BX197">
            <v>0.27292576419213976</v>
          </cell>
          <cell r="CJ197">
            <v>0.42794759825327511</v>
          </cell>
          <cell r="CK197">
            <v>0.54585152838427953</v>
          </cell>
        </row>
        <row r="198">
          <cell r="A198" t="str">
            <v>Joel Kiviranta</v>
          </cell>
          <cell r="B198" t="str">
            <v>DAL</v>
          </cell>
          <cell r="I198">
            <v>0.20087336244541484</v>
          </cell>
          <cell r="J198">
            <v>0.17903930131004367</v>
          </cell>
          <cell r="K198">
            <v>2.1834061135371178E-2</v>
          </cell>
          <cell r="L198">
            <v>6.768558951965066E-2</v>
          </cell>
          <cell r="S198">
            <v>0.27510917030567683</v>
          </cell>
          <cell r="T198">
            <v>1.5283842794759825E-2</v>
          </cell>
          <cell r="U198">
            <v>2.1834061135371178E-3</v>
          </cell>
          <cell r="V198">
            <v>1.7467248908296942E-2</v>
          </cell>
          <cell r="AC198">
            <v>0.82969432314410485</v>
          </cell>
          <cell r="AD198">
            <v>0.77292576419213976</v>
          </cell>
          <cell r="AE198">
            <v>0.79475982532751088</v>
          </cell>
          <cell r="AF198">
            <v>0.71834061135371174</v>
          </cell>
          <cell r="AM198">
            <v>0.11353711790393013</v>
          </cell>
          <cell r="AN198">
            <v>5.8951965065502182E-2</v>
          </cell>
          <cell r="AO198">
            <v>1.0917030567685589E-2</v>
          </cell>
          <cell r="AP198">
            <v>3.0567685589519649E-2</v>
          </cell>
          <cell r="AW198">
            <v>0.84279475982532748</v>
          </cell>
          <cell r="AX198">
            <v>0.5873362445414847</v>
          </cell>
          <cell r="AY198">
            <v>0.62008733624454149</v>
          </cell>
          <cell r="AZ198">
            <v>0.53493449781659386</v>
          </cell>
          <cell r="BG198">
            <v>0.1943231441048035</v>
          </cell>
          <cell r="BH198">
            <v>0.12882096069868995</v>
          </cell>
          <cell r="BI198">
            <v>1.9650655021834062E-2</v>
          </cell>
          <cell r="BJ198">
            <v>4.3668122270742356E-2</v>
          </cell>
          <cell r="BQ198">
            <v>0.45414847161572053</v>
          </cell>
          <cell r="BR198">
            <v>0.38209606986899564</v>
          </cell>
          <cell r="BS198">
            <v>5.8951965065502182E-2</v>
          </cell>
          <cell r="BT198">
            <v>0.20960698689956331</v>
          </cell>
          <cell r="BX198">
            <v>0.18122270742358079</v>
          </cell>
          <cell r="CJ198">
            <v>0.13755458515283842</v>
          </cell>
          <cell r="CK198">
            <v>0.59170305676855894</v>
          </cell>
        </row>
        <row r="199">
          <cell r="A199" t="str">
            <v>Joey Anderson</v>
          </cell>
          <cell r="B199" t="str">
            <v>CHI, TOR</v>
          </cell>
          <cell r="I199">
            <v>0.57423580786026196</v>
          </cell>
          <cell r="J199">
            <v>0.46288209606986902</v>
          </cell>
          <cell r="K199">
            <v>0.34934497816593885</v>
          </cell>
          <cell r="L199">
            <v>0.24672489082969432</v>
          </cell>
          <cell r="S199">
            <v>0.76200873362445409</v>
          </cell>
          <cell r="T199">
            <v>8.0786026200873357E-2</v>
          </cell>
          <cell r="U199">
            <v>0.36244541484716158</v>
          </cell>
          <cell r="V199">
            <v>0.29694323144104806</v>
          </cell>
          <cell r="AC199">
            <v>0.9759825327510917</v>
          </cell>
          <cell r="AD199">
            <v>0.82314410480349343</v>
          </cell>
          <cell r="AE199">
            <v>0.15938864628820962</v>
          </cell>
          <cell r="AF199">
            <v>0.93449781659388642</v>
          </cell>
          <cell r="AM199">
            <v>0.59388646288209612</v>
          </cell>
          <cell r="AN199">
            <v>0.42794759825327511</v>
          </cell>
          <cell r="AO199">
            <v>0.44759825327510916</v>
          </cell>
          <cell r="AP199">
            <v>0.2205240174672489</v>
          </cell>
          <cell r="AW199">
            <v>0.98689956331877726</v>
          </cell>
          <cell r="AX199">
            <v>0.55458515283842791</v>
          </cell>
          <cell r="AY199">
            <v>0.22270742358078602</v>
          </cell>
          <cell r="AZ199">
            <v>0.81441048034934493</v>
          </cell>
          <cell r="BG199">
            <v>0.20305676855895197</v>
          </cell>
          <cell r="BH199">
            <v>0.28602620087336245</v>
          </cell>
          <cell r="BI199">
            <v>0.44104803493449779</v>
          </cell>
          <cell r="BJ199">
            <v>5.458515283842795E-2</v>
          </cell>
          <cell r="BQ199">
            <v>0.8973799126637555</v>
          </cell>
          <cell r="BR199">
            <v>0.63100436681222705</v>
          </cell>
          <cell r="BS199">
            <v>0.18777292576419213</v>
          </cell>
          <cell r="BT199">
            <v>0.58078602620087338</v>
          </cell>
          <cell r="BX199">
            <v>0.71834061135371174</v>
          </cell>
          <cell r="CJ199">
            <v>0.99563318777292575</v>
          </cell>
          <cell r="CK199">
            <v>0.80786026200873362</v>
          </cell>
        </row>
        <row r="200">
          <cell r="A200" t="str">
            <v>John Tavares</v>
          </cell>
          <cell r="B200" t="str">
            <v>TOR</v>
          </cell>
          <cell r="I200">
            <v>0.64847161572052403</v>
          </cell>
          <cell r="J200">
            <v>0.86899563318777295</v>
          </cell>
          <cell r="K200">
            <v>0.73144104803493448</v>
          </cell>
          <cell r="L200">
            <v>0.81222707423580787</v>
          </cell>
          <cell r="S200">
            <v>0.76200873362445409</v>
          </cell>
          <cell r="T200">
            <v>0.72052401746724892</v>
          </cell>
          <cell r="U200">
            <v>0.58078602620087338</v>
          </cell>
          <cell r="V200">
            <v>0.80349344978165937</v>
          </cell>
          <cell r="AC200">
            <v>0.63100436681222705</v>
          </cell>
          <cell r="AD200">
            <v>0.50655021834061131</v>
          </cell>
          <cell r="AE200">
            <v>0.44541484716157204</v>
          </cell>
          <cell r="AF200">
            <v>0.5873362445414847</v>
          </cell>
          <cell r="AM200">
            <v>0.53275109170305679</v>
          </cell>
          <cell r="AN200">
            <v>0.68340611353711789</v>
          </cell>
          <cell r="AO200">
            <v>0.62008733624454149</v>
          </cell>
          <cell r="AP200">
            <v>0.57641921397379914</v>
          </cell>
          <cell r="AW200">
            <v>0.40611353711790393</v>
          </cell>
          <cell r="AX200">
            <v>0.36026200873362446</v>
          </cell>
          <cell r="AY200">
            <v>0.12008733624454149</v>
          </cell>
          <cell r="AZ200">
            <v>0.38209606986899564</v>
          </cell>
          <cell r="BG200">
            <v>0.72707423580786024</v>
          </cell>
          <cell r="BH200">
            <v>0.79257641921397382</v>
          </cell>
          <cell r="BI200">
            <v>0.68558951965065507</v>
          </cell>
          <cell r="BJ200">
            <v>0.54803493449781659</v>
          </cell>
          <cell r="BQ200">
            <v>0.66593886462882101</v>
          </cell>
          <cell r="BR200">
            <v>0.81004366812227069</v>
          </cell>
          <cell r="BS200">
            <v>0.62882096069868998</v>
          </cell>
          <cell r="BT200">
            <v>0.79039301310043664</v>
          </cell>
          <cell r="BX200">
            <v>0.76200873362445409</v>
          </cell>
          <cell r="CJ200">
            <v>0.39519650655021832</v>
          </cell>
          <cell r="CK200">
            <v>0.12445414847161572</v>
          </cell>
        </row>
        <row r="201">
          <cell r="A201" t="str">
            <v>Johnny Gaudreau</v>
          </cell>
          <cell r="B201" t="str">
            <v>CBJ</v>
          </cell>
          <cell r="I201">
            <v>0.5873362445414847</v>
          </cell>
          <cell r="J201">
            <v>0.36462882096069871</v>
          </cell>
          <cell r="K201">
            <v>0.60043668122270744</v>
          </cell>
          <cell r="L201">
            <v>0.64192139737991272</v>
          </cell>
          <cell r="S201">
            <v>0.46724890829694321</v>
          </cell>
          <cell r="T201">
            <v>0.81222707423580787</v>
          </cell>
          <cell r="U201">
            <v>0.74235807860262004</v>
          </cell>
          <cell r="V201">
            <v>0.69650655021834063</v>
          </cell>
          <cell r="AC201">
            <v>7.4235807860262015E-2</v>
          </cell>
          <cell r="AD201">
            <v>0.18777292576419213</v>
          </cell>
          <cell r="AE201">
            <v>5.2401746724890827E-2</v>
          </cell>
          <cell r="AF201">
            <v>0.10043668122270742</v>
          </cell>
          <cell r="AM201">
            <v>0.88646288209606983</v>
          </cell>
          <cell r="AN201">
            <v>0.70742358078602618</v>
          </cell>
          <cell r="AO201">
            <v>0.85589519650655022</v>
          </cell>
          <cell r="AP201">
            <v>0.90611353711790388</v>
          </cell>
          <cell r="AW201">
            <v>0.55676855895196509</v>
          </cell>
          <cell r="AX201">
            <v>0.50873362445414849</v>
          </cell>
          <cell r="AY201">
            <v>0.4366812227074236</v>
          </cell>
          <cell r="AZ201">
            <v>0.34061135371179041</v>
          </cell>
          <cell r="BG201">
            <v>0.96288209606986896</v>
          </cell>
          <cell r="BH201">
            <v>0.5</v>
          </cell>
          <cell r="BI201">
            <v>0.62445414847161573</v>
          </cell>
          <cell r="BJ201">
            <v>0.3056768558951965</v>
          </cell>
          <cell r="BQ201">
            <v>0.27074235807860264</v>
          </cell>
          <cell r="BR201">
            <v>0.24454148471615719</v>
          </cell>
          <cell r="BS201">
            <v>0.23362445414847161</v>
          </cell>
          <cell r="BT201">
            <v>0.31441048034934499</v>
          </cell>
          <cell r="BX201">
            <v>0.59606986899563319</v>
          </cell>
          <cell r="CJ201">
            <v>0.88209606986899558</v>
          </cell>
          <cell r="CK201">
            <v>0.61790393013100442</v>
          </cell>
        </row>
        <row r="202">
          <cell r="A202" t="str">
            <v>Jonah Gadjovich</v>
          </cell>
          <cell r="B202" t="str">
            <v>S.J</v>
          </cell>
          <cell r="I202">
            <v>0.44323144104803491</v>
          </cell>
          <cell r="J202">
            <v>0.86462882096069871</v>
          </cell>
          <cell r="K202">
            <v>0.48471615720524019</v>
          </cell>
          <cell r="L202">
            <v>0.56550218340611358</v>
          </cell>
          <cell r="S202">
            <v>0.36681222707423583</v>
          </cell>
          <cell r="T202">
            <v>0.33842794759825329</v>
          </cell>
          <cell r="U202">
            <v>8.5152838427947602E-2</v>
          </cell>
          <cell r="V202">
            <v>0.29694323144104806</v>
          </cell>
          <cell r="AC202">
            <v>0.53493449781659386</v>
          </cell>
          <cell r="AD202">
            <v>0.31004366812227074</v>
          </cell>
          <cell r="AE202">
            <v>0.18995633187772926</v>
          </cell>
          <cell r="AF202">
            <v>0.71834061135371174</v>
          </cell>
          <cell r="AM202">
            <v>0.45633187772925765</v>
          </cell>
          <cell r="AN202">
            <v>0.44759825327510916</v>
          </cell>
          <cell r="AO202">
            <v>0.3296943231441048</v>
          </cell>
          <cell r="AP202">
            <v>0.16157205240174671</v>
          </cell>
          <cell r="AW202">
            <v>0.54585152838427953</v>
          </cell>
          <cell r="AX202">
            <v>0.1222707423580786</v>
          </cell>
          <cell r="AY202">
            <v>0.54803493449781659</v>
          </cell>
          <cell r="AZ202">
            <v>0.75327510917030571</v>
          </cell>
          <cell r="BG202">
            <v>3.2751091703056769E-2</v>
          </cell>
          <cell r="BH202">
            <v>0.2576419213973799</v>
          </cell>
          <cell r="BI202">
            <v>0.63973799126637554</v>
          </cell>
          <cell r="BJ202">
            <v>0.29039301310043669</v>
          </cell>
          <cell r="BQ202">
            <v>0.47379912663755458</v>
          </cell>
          <cell r="BR202">
            <v>0.73362445414847166</v>
          </cell>
          <cell r="BS202">
            <v>0.27729257641921395</v>
          </cell>
          <cell r="BT202">
            <v>0.69213973799126638</v>
          </cell>
          <cell r="BX202">
            <v>0.4606986899563319</v>
          </cell>
          <cell r="CJ202">
            <v>1.0917030567685589E-2</v>
          </cell>
          <cell r="CK202">
            <v>0.99344978165938869</v>
          </cell>
        </row>
        <row r="203">
          <cell r="A203" t="str">
            <v>Jonatan Berggren</v>
          </cell>
          <cell r="B203" t="str">
            <v>DET</v>
          </cell>
          <cell r="I203">
            <v>0.2576419213973799</v>
          </cell>
          <cell r="J203">
            <v>0.11790393013100436</v>
          </cell>
          <cell r="K203">
            <v>0.30349344978165937</v>
          </cell>
          <cell r="L203">
            <v>0.12008733624454149</v>
          </cell>
          <cell r="S203">
            <v>0.55676855895196509</v>
          </cell>
          <cell r="T203">
            <v>0.26637554585152839</v>
          </cell>
          <cell r="U203">
            <v>0.27947598253275108</v>
          </cell>
          <cell r="V203">
            <v>0.34497816593886466</v>
          </cell>
          <cell r="AC203">
            <v>0.75545851528384278</v>
          </cell>
          <cell r="AD203">
            <v>0.36681222707423583</v>
          </cell>
          <cell r="AE203">
            <v>0.42358078602620086</v>
          </cell>
          <cell r="AF203">
            <v>0.67248908296943233</v>
          </cell>
          <cell r="AM203">
            <v>0.62882096069868998</v>
          </cell>
          <cell r="AN203">
            <v>0.37772925764192139</v>
          </cell>
          <cell r="AO203">
            <v>0.50873362445414849</v>
          </cell>
          <cell r="AP203">
            <v>0.37772925764192139</v>
          </cell>
          <cell r="AW203">
            <v>0.81877729257641918</v>
          </cell>
          <cell r="AX203">
            <v>0.49344978165938863</v>
          </cell>
          <cell r="AY203">
            <v>0.68558951965065507</v>
          </cell>
          <cell r="AZ203">
            <v>0.61790393013100442</v>
          </cell>
          <cell r="BG203">
            <v>0.37772925764192139</v>
          </cell>
          <cell r="BH203">
            <v>0.75545851528384278</v>
          </cell>
          <cell r="BI203">
            <v>0.46724890829694321</v>
          </cell>
          <cell r="BJ203">
            <v>0.29039301310043669</v>
          </cell>
          <cell r="BQ203">
            <v>0.47161572052401746</v>
          </cell>
          <cell r="BR203">
            <v>0.15938864628820962</v>
          </cell>
          <cell r="BS203">
            <v>0.29912663755458513</v>
          </cell>
          <cell r="BT203">
            <v>0.25982532751091703</v>
          </cell>
          <cell r="BX203">
            <v>0.46506550218340609</v>
          </cell>
          <cell r="CJ203">
            <v>0.67903930131004364</v>
          </cell>
          <cell r="CK203">
            <v>0.14847161572052403</v>
          </cell>
        </row>
        <row r="204">
          <cell r="A204" t="str">
            <v>Jonathan Drouin</v>
          </cell>
          <cell r="B204" t="str">
            <v>MTL</v>
          </cell>
          <cell r="I204">
            <v>0.34061135371179041</v>
          </cell>
          <cell r="J204">
            <v>0.34716157205240172</v>
          </cell>
          <cell r="K204">
            <v>0.2205240174672489</v>
          </cell>
          <cell r="L204">
            <v>0.35807860262008734</v>
          </cell>
          <cell r="S204">
            <v>3.0567685589519649E-2</v>
          </cell>
          <cell r="T204">
            <v>0.86026200873362446</v>
          </cell>
          <cell r="U204">
            <v>0.76419213973799127</v>
          </cell>
          <cell r="V204">
            <v>0.4606986899563319</v>
          </cell>
          <cell r="AC204">
            <v>0.24454148471615719</v>
          </cell>
          <cell r="AD204">
            <v>4.3668122270742356E-2</v>
          </cell>
          <cell r="AE204">
            <v>0.27292576419213976</v>
          </cell>
          <cell r="AF204">
            <v>7.8602620087336247E-2</v>
          </cell>
          <cell r="AM204">
            <v>0.71179039301310043</v>
          </cell>
          <cell r="AN204">
            <v>0.66157205240174677</v>
          </cell>
          <cell r="AO204">
            <v>0.25327510917030566</v>
          </cell>
          <cell r="AP204">
            <v>0.67248908296943233</v>
          </cell>
          <cell r="AW204">
            <v>0.37336244541484714</v>
          </cell>
          <cell r="AX204">
            <v>0.10698689956331878</v>
          </cell>
          <cell r="AY204">
            <v>0.61353711790393017</v>
          </cell>
          <cell r="AZ204">
            <v>0.14192139737991266</v>
          </cell>
          <cell r="BG204">
            <v>0.46943231441048033</v>
          </cell>
          <cell r="BH204">
            <v>0.70742358078602618</v>
          </cell>
          <cell r="BI204">
            <v>0.23580786026200873</v>
          </cell>
          <cell r="BJ204">
            <v>0.23799126637554585</v>
          </cell>
          <cell r="BQ204">
            <v>0.25327510917030566</v>
          </cell>
          <cell r="BR204">
            <v>0.12008733624454149</v>
          </cell>
          <cell r="BS204">
            <v>0.16375545851528384</v>
          </cell>
          <cell r="BT204">
            <v>0.17248908296943233</v>
          </cell>
          <cell r="BX204">
            <v>0.2816593886462882</v>
          </cell>
          <cell r="CJ204">
            <v>0.53493449781659386</v>
          </cell>
          <cell r="CK204">
            <v>0.3296943231441048</v>
          </cell>
        </row>
        <row r="205">
          <cell r="A205" t="str">
            <v>Jonathan Huberdeau</v>
          </cell>
          <cell r="B205" t="str">
            <v>CGY</v>
          </cell>
          <cell r="I205">
            <v>0.85807860262008728</v>
          </cell>
          <cell r="J205">
            <v>0.50218340611353707</v>
          </cell>
          <cell r="K205">
            <v>0.71615720524017468</v>
          </cell>
          <cell r="L205">
            <v>0.76855895196506552</v>
          </cell>
          <cell r="S205">
            <v>0.36681222707423583</v>
          </cell>
          <cell r="T205">
            <v>0.91484716157205237</v>
          </cell>
          <cell r="U205">
            <v>0.89519650655021832</v>
          </cell>
          <cell r="V205">
            <v>0.80786026200873362</v>
          </cell>
          <cell r="AC205">
            <v>0.91484716157205237</v>
          </cell>
          <cell r="AD205">
            <v>0.87117903930131002</v>
          </cell>
          <cell r="AE205">
            <v>0.65938864628820959</v>
          </cell>
          <cell r="AF205">
            <v>0.79912663755458513</v>
          </cell>
          <cell r="AM205">
            <v>0.38209606986899564</v>
          </cell>
          <cell r="AN205">
            <v>0.3296943231441048</v>
          </cell>
          <cell r="AO205">
            <v>0.58078602620087338</v>
          </cell>
          <cell r="AP205">
            <v>0.388646288209607</v>
          </cell>
          <cell r="AW205">
            <v>0.52183406113537123</v>
          </cell>
          <cell r="AX205">
            <v>0.71179039301310043</v>
          </cell>
          <cell r="AY205">
            <v>0.77074235807860259</v>
          </cell>
          <cell r="AZ205">
            <v>0.57205240174672489</v>
          </cell>
          <cell r="BG205">
            <v>0.67903930131004364</v>
          </cell>
          <cell r="BH205">
            <v>0.76855895196506552</v>
          </cell>
          <cell r="BI205">
            <v>0.58078602620087338</v>
          </cell>
          <cell r="BJ205">
            <v>0.46288209606986902</v>
          </cell>
          <cell r="BQ205">
            <v>0.94104803493449785</v>
          </cell>
          <cell r="BR205">
            <v>0.73144104803493448</v>
          </cell>
          <cell r="BS205">
            <v>0.78165938864628826</v>
          </cell>
          <cell r="BT205">
            <v>0.84716157205240172</v>
          </cell>
          <cell r="BX205">
            <v>0.82969432314410485</v>
          </cell>
          <cell r="CJ205">
            <v>0.47379912663755458</v>
          </cell>
          <cell r="CK205">
            <v>0.73580786026200873</v>
          </cell>
        </row>
        <row r="206">
          <cell r="A206" t="str">
            <v>Jonathan Marchessault</v>
          </cell>
          <cell r="B206" t="str">
            <v>VGK</v>
          </cell>
          <cell r="I206">
            <v>0.74235807860262004</v>
          </cell>
          <cell r="J206">
            <v>0.50655021834061131</v>
          </cell>
          <cell r="K206">
            <v>0.63100436681222705</v>
          </cell>
          <cell r="L206">
            <v>0.65283842794759828</v>
          </cell>
          <cell r="S206">
            <v>0.77074235807860259</v>
          </cell>
          <cell r="T206">
            <v>0.59606986899563319</v>
          </cell>
          <cell r="U206">
            <v>0.60043668122270744</v>
          </cell>
          <cell r="V206">
            <v>0.69650655021834063</v>
          </cell>
          <cell r="AC206">
            <v>0.45851528384279477</v>
          </cell>
          <cell r="AD206">
            <v>0.81004366812227069</v>
          </cell>
          <cell r="AE206">
            <v>0.45851528384279477</v>
          </cell>
          <cell r="AF206">
            <v>0.5873362445414847</v>
          </cell>
          <cell r="AM206">
            <v>0.89956331877729256</v>
          </cell>
          <cell r="AN206">
            <v>0.48253275109170307</v>
          </cell>
          <cell r="AO206">
            <v>0.59170305676855894</v>
          </cell>
          <cell r="AP206">
            <v>0.72707423580786024</v>
          </cell>
          <cell r="AW206">
            <v>0.55240174672489084</v>
          </cell>
          <cell r="AX206">
            <v>0.62445414847161573</v>
          </cell>
          <cell r="AY206">
            <v>0.18995633187772926</v>
          </cell>
          <cell r="AZ206">
            <v>0.46288209606986902</v>
          </cell>
          <cell r="BG206">
            <v>0.85371179039301315</v>
          </cell>
          <cell r="BH206">
            <v>0.47161572052401746</v>
          </cell>
          <cell r="BI206">
            <v>0.44541484716157204</v>
          </cell>
          <cell r="BJ206">
            <v>0.44323144104803491</v>
          </cell>
          <cell r="BQ206">
            <v>0.64847161572052403</v>
          </cell>
          <cell r="BR206">
            <v>0.67685589519650657</v>
          </cell>
          <cell r="BS206">
            <v>0.58078602620087338</v>
          </cell>
          <cell r="BT206">
            <v>0.6746724890829694</v>
          </cell>
          <cell r="BX206">
            <v>0.79039301310043664</v>
          </cell>
          <cell r="CJ206">
            <v>0.78165938864628826</v>
          </cell>
          <cell r="CK206">
            <v>8.5152838427947602E-2</v>
          </cell>
        </row>
        <row r="207">
          <cell r="A207" t="str">
            <v>Jonathan Toews</v>
          </cell>
          <cell r="B207" t="str">
            <v>CHI</v>
          </cell>
          <cell r="I207">
            <v>5.6768558951965066E-2</v>
          </cell>
          <cell r="J207">
            <v>5.458515283842795E-2</v>
          </cell>
          <cell r="K207">
            <v>0.14628820960698691</v>
          </cell>
          <cell r="L207">
            <v>8.5152838427947602E-2</v>
          </cell>
          <cell r="S207">
            <v>0.10480349344978165</v>
          </cell>
          <cell r="T207">
            <v>0.43449781659388648</v>
          </cell>
          <cell r="U207">
            <v>0.46943231441048033</v>
          </cell>
          <cell r="V207">
            <v>0.20524017467248909</v>
          </cell>
          <cell r="AC207">
            <v>0.11572052401746726</v>
          </cell>
          <cell r="AD207">
            <v>3.0567685589519649E-2</v>
          </cell>
          <cell r="AE207">
            <v>2.8384279475982533E-2</v>
          </cell>
          <cell r="AF207">
            <v>3.7117903930131008E-2</v>
          </cell>
          <cell r="AM207">
            <v>0.47816593886462883</v>
          </cell>
          <cell r="AN207">
            <v>0.45414847161572053</v>
          </cell>
          <cell r="AO207">
            <v>0.41921397379912662</v>
          </cell>
          <cell r="AP207">
            <v>0.5</v>
          </cell>
          <cell r="AW207">
            <v>0.30349344978165937</v>
          </cell>
          <cell r="AX207">
            <v>1.5283842794759825E-2</v>
          </cell>
          <cell r="AY207">
            <v>0.10480349344978165</v>
          </cell>
          <cell r="AZ207">
            <v>4.5851528384279479E-2</v>
          </cell>
          <cell r="BG207">
            <v>0.65720524017467252</v>
          </cell>
          <cell r="BH207">
            <v>0.38427947598253276</v>
          </cell>
          <cell r="BI207">
            <v>0.27729257641921395</v>
          </cell>
          <cell r="BJ207">
            <v>5.458515283842795E-2</v>
          </cell>
          <cell r="BQ207">
            <v>5.2401746724890827E-2</v>
          </cell>
          <cell r="BR207">
            <v>2.4017467248908297E-2</v>
          </cell>
          <cell r="BS207">
            <v>4.3668122270742356E-2</v>
          </cell>
          <cell r="BT207">
            <v>2.6200873362445413E-2</v>
          </cell>
          <cell r="BX207">
            <v>3.4934497816593885E-2</v>
          </cell>
          <cell r="CJ207">
            <v>0.14410480349344978</v>
          </cell>
          <cell r="CK207">
            <v>0.57205240174672489</v>
          </cell>
        </row>
        <row r="208">
          <cell r="A208" t="str">
            <v>Jordan Eberle</v>
          </cell>
          <cell r="B208" t="str">
            <v>SEA</v>
          </cell>
          <cell r="I208">
            <v>0.67685589519650657</v>
          </cell>
          <cell r="J208">
            <v>0.41703056768558949</v>
          </cell>
          <cell r="K208">
            <v>0.94759825327510916</v>
          </cell>
          <cell r="L208">
            <v>0.6266375545851528</v>
          </cell>
          <cell r="S208">
            <v>0.73580786026200873</v>
          </cell>
          <cell r="T208">
            <v>0.91484716157205237</v>
          </cell>
          <cell r="U208">
            <v>0.96724890829694321</v>
          </cell>
          <cell r="V208">
            <v>0.90174672489082974</v>
          </cell>
          <cell r="AC208">
            <v>0.64410480349344978</v>
          </cell>
          <cell r="AD208">
            <v>0.56550218340611358</v>
          </cell>
          <cell r="AE208">
            <v>0.38209606986899564</v>
          </cell>
          <cell r="AF208">
            <v>0.68340611353711789</v>
          </cell>
          <cell r="AM208">
            <v>0.58515283842794763</v>
          </cell>
          <cell r="AN208">
            <v>0.66375545851528384</v>
          </cell>
          <cell r="AO208">
            <v>0.79475982532751088</v>
          </cell>
          <cell r="AP208">
            <v>0.71179039301310043</v>
          </cell>
          <cell r="AW208">
            <v>0.14628820960698691</v>
          </cell>
          <cell r="AX208">
            <v>0.22707423580786026</v>
          </cell>
          <cell r="AY208">
            <v>0.18777292576419213</v>
          </cell>
          <cell r="AZ208">
            <v>0.32532751091703055</v>
          </cell>
          <cell r="BG208">
            <v>0.79039301310043664</v>
          </cell>
          <cell r="BH208">
            <v>0.81659388646288211</v>
          </cell>
          <cell r="BI208">
            <v>0.95851528384279472</v>
          </cell>
          <cell r="BJ208">
            <v>0.74672489082969429</v>
          </cell>
          <cell r="BQ208">
            <v>0.68777292576419213</v>
          </cell>
          <cell r="BR208">
            <v>0.44541484716157204</v>
          </cell>
          <cell r="BS208">
            <v>0.81441048034934493</v>
          </cell>
          <cell r="BT208">
            <v>0.69650655021834063</v>
          </cell>
          <cell r="BX208">
            <v>0.76637554585152834</v>
          </cell>
          <cell r="CJ208">
            <v>0.43886462882096072</v>
          </cell>
          <cell r="CK208">
            <v>0.16812227074235808</v>
          </cell>
        </row>
        <row r="209">
          <cell r="A209" t="str">
            <v>Jordan Greenway</v>
          </cell>
          <cell r="B209" t="str">
            <v>BUF, MIN</v>
          </cell>
          <cell r="I209">
            <v>0.26855895196506552</v>
          </cell>
          <cell r="J209">
            <v>0.30131004366812225</v>
          </cell>
          <cell r="K209">
            <v>0.34934497816593885</v>
          </cell>
          <cell r="L209">
            <v>0.23362445414847161</v>
          </cell>
          <cell r="S209">
            <v>0.15502183406113537</v>
          </cell>
          <cell r="T209">
            <v>6.3318777292576414E-2</v>
          </cell>
          <cell r="U209">
            <v>6.768558951965066E-2</v>
          </cell>
          <cell r="V209">
            <v>4.5851528384279479E-2</v>
          </cell>
          <cell r="AC209">
            <v>0.39737991266375544</v>
          </cell>
          <cell r="AD209">
            <v>0.4759825327510917</v>
          </cell>
          <cell r="AE209">
            <v>0.45851528384279477</v>
          </cell>
          <cell r="AF209">
            <v>0.62008733624454149</v>
          </cell>
          <cell r="AM209">
            <v>0.11572052401746726</v>
          </cell>
          <cell r="AN209">
            <v>0.31222707423580787</v>
          </cell>
          <cell r="AO209">
            <v>0.51310043668122274</v>
          </cell>
          <cell r="AP209">
            <v>0.20087336244541484</v>
          </cell>
          <cell r="AW209">
            <v>0.2576419213973799</v>
          </cell>
          <cell r="AX209">
            <v>0.32751091703056767</v>
          </cell>
          <cell r="AY209">
            <v>0.33406113537117904</v>
          </cell>
          <cell r="AZ209">
            <v>0.5873362445414847</v>
          </cell>
          <cell r="BG209">
            <v>0.54585152838427953</v>
          </cell>
          <cell r="BH209">
            <v>0.29694323144104806</v>
          </cell>
          <cell r="BI209">
            <v>0.54803493449781659</v>
          </cell>
          <cell r="BJ209">
            <v>0.52183406113537123</v>
          </cell>
          <cell r="BQ209">
            <v>0.30131004366812225</v>
          </cell>
          <cell r="BR209">
            <v>0.33624454148471616</v>
          </cell>
          <cell r="BS209">
            <v>0.37991266375545851</v>
          </cell>
          <cell r="BT209">
            <v>0.34716157205240172</v>
          </cell>
          <cell r="BX209">
            <v>0.11790393013100436</v>
          </cell>
          <cell r="CJ209">
            <v>0.33624454148471616</v>
          </cell>
          <cell r="CK209">
            <v>0.50655021834061131</v>
          </cell>
        </row>
        <row r="210">
          <cell r="A210" t="str">
            <v>Jordan Kyrou</v>
          </cell>
          <cell r="B210" t="str">
            <v>STL</v>
          </cell>
          <cell r="I210">
            <v>0.37554585152838427</v>
          </cell>
          <cell r="J210">
            <v>0.16812227074235808</v>
          </cell>
          <cell r="K210">
            <v>0.75764192139737996</v>
          </cell>
          <cell r="L210">
            <v>0.27510917030567683</v>
          </cell>
          <cell r="S210">
            <v>0.91048034934497812</v>
          </cell>
          <cell r="T210">
            <v>0.6266375545851528</v>
          </cell>
          <cell r="U210">
            <v>0.61790393013100442</v>
          </cell>
          <cell r="V210">
            <v>0.85807860262008728</v>
          </cell>
          <cell r="AC210">
            <v>0.18340611353711792</v>
          </cell>
          <cell r="AD210">
            <v>0.12008733624454149</v>
          </cell>
          <cell r="AE210">
            <v>1.3100436681222707E-2</v>
          </cell>
          <cell r="AF210">
            <v>9.606986899563319E-2</v>
          </cell>
          <cell r="AM210">
            <v>0.70087336244541487</v>
          </cell>
          <cell r="AN210">
            <v>0.41921397379912662</v>
          </cell>
          <cell r="AO210">
            <v>0.73362445414847166</v>
          </cell>
          <cell r="AP210">
            <v>0.5240174672489083</v>
          </cell>
          <cell r="AW210">
            <v>0.28820960698689957</v>
          </cell>
          <cell r="AX210">
            <v>8.5152838427947602E-2</v>
          </cell>
          <cell r="AY210">
            <v>2.1834061135371178E-3</v>
          </cell>
          <cell r="AZ210">
            <v>0.11572052401746726</v>
          </cell>
          <cell r="BG210">
            <v>0.8973799126637555</v>
          </cell>
          <cell r="BH210">
            <v>0.59606986899563319</v>
          </cell>
          <cell r="BI210">
            <v>0.8493449781659389</v>
          </cell>
          <cell r="BJ210">
            <v>0.23799126637554585</v>
          </cell>
          <cell r="BQ210">
            <v>0.25982532751091703</v>
          </cell>
          <cell r="BR210">
            <v>0.10262008733624454</v>
          </cell>
          <cell r="BS210">
            <v>0.24454148471615719</v>
          </cell>
          <cell r="BT210">
            <v>0.12882096069868995</v>
          </cell>
          <cell r="BX210">
            <v>0.34716157205240172</v>
          </cell>
          <cell r="CJ210">
            <v>0.80786026200873362</v>
          </cell>
          <cell r="CK210">
            <v>0.24017467248908297</v>
          </cell>
        </row>
        <row r="211">
          <cell r="A211" t="str">
            <v>Jordan Martinook</v>
          </cell>
          <cell r="B211" t="str">
            <v>CAR</v>
          </cell>
          <cell r="I211">
            <v>0.91921397379912662</v>
          </cell>
          <cell r="J211">
            <v>0.91921397379912662</v>
          </cell>
          <cell r="K211">
            <v>0.66812227074235808</v>
          </cell>
          <cell r="L211">
            <v>0.87554585152838427</v>
          </cell>
          <cell r="S211">
            <v>0.4126637554585153</v>
          </cell>
          <cell r="T211">
            <v>0.65938864628820959</v>
          </cell>
          <cell r="U211">
            <v>0.76419213973799127</v>
          </cell>
          <cell r="V211">
            <v>0.57641921397379914</v>
          </cell>
          <cell r="AC211">
            <v>0.98689956331877726</v>
          </cell>
          <cell r="AD211">
            <v>0.90611353711790388</v>
          </cell>
          <cell r="AE211">
            <v>0.56768558951965065</v>
          </cell>
          <cell r="AF211">
            <v>0.9606986899563319</v>
          </cell>
          <cell r="AM211">
            <v>0.43886462882096072</v>
          </cell>
          <cell r="AN211">
            <v>0.72707423580786024</v>
          </cell>
          <cell r="AO211">
            <v>0.63973799126637554</v>
          </cell>
          <cell r="AP211">
            <v>0.51528384279475981</v>
          </cell>
          <cell r="AW211">
            <v>0.68340611353711789</v>
          </cell>
          <cell r="AX211">
            <v>0.62445414847161573</v>
          </cell>
          <cell r="AY211">
            <v>0.18995633187772926</v>
          </cell>
          <cell r="AZ211">
            <v>0.4366812227074236</v>
          </cell>
          <cell r="BG211">
            <v>0.72270742358078599</v>
          </cell>
          <cell r="BH211">
            <v>0.55676855895196509</v>
          </cell>
          <cell r="BI211">
            <v>0.55021834061135366</v>
          </cell>
          <cell r="BJ211">
            <v>0.29039301310043669</v>
          </cell>
          <cell r="BQ211">
            <v>0.98689956331877726</v>
          </cell>
          <cell r="BR211">
            <v>0.97379912663755464</v>
          </cell>
          <cell r="BS211">
            <v>0.65938864628820959</v>
          </cell>
          <cell r="BT211">
            <v>0.96943231441048039</v>
          </cell>
          <cell r="BX211">
            <v>0.89956331877729256</v>
          </cell>
          <cell r="CJ211">
            <v>0.11135371179039301</v>
          </cell>
          <cell r="CK211">
            <v>0.61790393013100442</v>
          </cell>
        </row>
        <row r="212">
          <cell r="A212" t="str">
            <v>Jordan Staal</v>
          </cell>
          <cell r="B212" t="str">
            <v>CAR</v>
          </cell>
          <cell r="I212">
            <v>0.84497816593886466</v>
          </cell>
          <cell r="J212">
            <v>0.83187772925764192</v>
          </cell>
          <cell r="K212">
            <v>0.54148471615720528</v>
          </cell>
          <cell r="L212">
            <v>0.75545851528384278</v>
          </cell>
          <cell r="S212">
            <v>0.72707423580786024</v>
          </cell>
          <cell r="T212">
            <v>0.49563318777292575</v>
          </cell>
          <cell r="U212">
            <v>0.21615720524017468</v>
          </cell>
          <cell r="V212">
            <v>0.611353711790393</v>
          </cell>
          <cell r="AC212">
            <v>0.99344978165938869</v>
          </cell>
          <cell r="AD212">
            <v>0.93449781659388642</v>
          </cell>
          <cell r="AE212">
            <v>0.76419213973799127</v>
          </cell>
          <cell r="AF212">
            <v>0.97816593886462877</v>
          </cell>
          <cell r="AM212">
            <v>0.15283842794759825</v>
          </cell>
          <cell r="AN212">
            <v>0.41921397379912662</v>
          </cell>
          <cell r="AO212">
            <v>0.50218340611353707</v>
          </cell>
          <cell r="AP212">
            <v>0.20305676855895197</v>
          </cell>
          <cell r="AW212">
            <v>0.86899563318777295</v>
          </cell>
          <cell r="AX212">
            <v>0.68995633187772931</v>
          </cell>
          <cell r="AY212">
            <v>0.48908296943231439</v>
          </cell>
          <cell r="AZ212">
            <v>0.60917030567685593</v>
          </cell>
          <cell r="BG212">
            <v>0.63973799126637554</v>
          </cell>
          <cell r="BH212">
            <v>0.50436681222707425</v>
          </cell>
          <cell r="BI212">
            <v>0.46506550218340609</v>
          </cell>
          <cell r="BJ212">
            <v>0.31877729257641924</v>
          </cell>
          <cell r="BQ212">
            <v>0.98253275109170302</v>
          </cell>
          <cell r="BR212">
            <v>0.94104803493449785</v>
          </cell>
          <cell r="BS212">
            <v>0.73144104803493448</v>
          </cell>
          <cell r="BT212">
            <v>0.94978165938864634</v>
          </cell>
          <cell r="BX212">
            <v>0.87991266375545851</v>
          </cell>
          <cell r="CJ212">
            <v>0.53493449781659386</v>
          </cell>
          <cell r="CK212">
            <v>0.18777292576419213</v>
          </cell>
        </row>
        <row r="213">
          <cell r="A213" t="str">
            <v>Josh Anderson</v>
          </cell>
          <cell r="B213" t="str">
            <v>MTL</v>
          </cell>
          <cell r="I213">
            <v>0.28820960698689957</v>
          </cell>
          <cell r="J213">
            <v>0.61790393013100442</v>
          </cell>
          <cell r="K213">
            <v>0.79694323144104806</v>
          </cell>
          <cell r="L213">
            <v>0.61353711790393017</v>
          </cell>
          <cell r="S213">
            <v>0.80786026200873362</v>
          </cell>
          <cell r="T213">
            <v>0.21615720524017468</v>
          </cell>
          <cell r="U213">
            <v>0.38646288209606988</v>
          </cell>
          <cell r="V213">
            <v>0.51310043668122274</v>
          </cell>
          <cell r="AC213">
            <v>6.768558951965066E-2</v>
          </cell>
          <cell r="AD213">
            <v>2.8384279475982533E-2</v>
          </cell>
          <cell r="AE213">
            <v>0.12445414847161572</v>
          </cell>
          <cell r="AF213">
            <v>1.7467248908296942E-2</v>
          </cell>
          <cell r="AM213">
            <v>0.67903930131004364</v>
          </cell>
          <cell r="AN213">
            <v>0.91921397379912662</v>
          </cell>
          <cell r="AO213">
            <v>0.85807860262008728</v>
          </cell>
          <cell r="AP213">
            <v>0.90611353711790388</v>
          </cell>
          <cell r="AW213">
            <v>4.148471615720524E-2</v>
          </cell>
          <cell r="AX213">
            <v>5.2401746724890827E-2</v>
          </cell>
          <cell r="AY213">
            <v>0.20742358078602621</v>
          </cell>
          <cell r="AZ213">
            <v>1.7467248908296942E-2</v>
          </cell>
          <cell r="BG213">
            <v>0.73799126637554591</v>
          </cell>
          <cell r="BH213">
            <v>0.42139737991266374</v>
          </cell>
          <cell r="BI213">
            <v>0.92139737991266379</v>
          </cell>
          <cell r="BJ213">
            <v>0.78820960698689957</v>
          </cell>
          <cell r="BQ213">
            <v>0.11135371179039301</v>
          </cell>
          <cell r="BR213">
            <v>0.21615720524017468</v>
          </cell>
          <cell r="BS213">
            <v>0.42576419213973798</v>
          </cell>
          <cell r="BT213">
            <v>0.15720524017467249</v>
          </cell>
          <cell r="BX213">
            <v>0.25109170305676853</v>
          </cell>
          <cell r="CJ213">
            <v>0.1331877729257642</v>
          </cell>
          <cell r="CK213">
            <v>0.5873362445414847</v>
          </cell>
        </row>
        <row r="214">
          <cell r="A214" t="str">
            <v>Josh Archibald</v>
          </cell>
          <cell r="B214" t="str">
            <v>PIT</v>
          </cell>
          <cell r="I214">
            <v>0.63537117903930129</v>
          </cell>
          <cell r="J214">
            <v>0.65720524017467252</v>
          </cell>
          <cell r="K214">
            <v>0.4759825327510917</v>
          </cell>
          <cell r="L214">
            <v>0.58296943231441045</v>
          </cell>
          <cell r="S214">
            <v>0.37991266375545851</v>
          </cell>
          <cell r="T214">
            <v>0.27074235807860264</v>
          </cell>
          <cell r="U214">
            <v>0.12445414847161572</v>
          </cell>
          <cell r="V214">
            <v>0.26637554585152839</v>
          </cell>
          <cell r="AC214">
            <v>0.82969432314410485</v>
          </cell>
          <cell r="AD214">
            <v>0.99344978165938869</v>
          </cell>
          <cell r="AE214">
            <v>0.87554585152838427</v>
          </cell>
          <cell r="AF214">
            <v>0.98471615720524019</v>
          </cell>
          <cell r="AM214">
            <v>0.14410480349344978</v>
          </cell>
          <cell r="AN214">
            <v>0.15065502183406113</v>
          </cell>
          <cell r="AO214">
            <v>0.39519650655021832</v>
          </cell>
          <cell r="AP214">
            <v>9.8253275109170299E-2</v>
          </cell>
          <cell r="AW214">
            <v>0.91703056768558955</v>
          </cell>
          <cell r="AX214">
            <v>0.99126637554585151</v>
          </cell>
          <cell r="AY214">
            <v>0.90829694323144106</v>
          </cell>
          <cell r="AZ214">
            <v>0.98908296943231444</v>
          </cell>
          <cell r="BG214">
            <v>1.0917030567685589E-2</v>
          </cell>
          <cell r="BH214">
            <v>6.1135371179039298E-2</v>
          </cell>
          <cell r="BI214">
            <v>0.46288209606986902</v>
          </cell>
          <cell r="BJ214">
            <v>0.74672489082969429</v>
          </cell>
          <cell r="BQ214">
            <v>0.77292576419213976</v>
          </cell>
          <cell r="BR214">
            <v>0.94978165938864634</v>
          </cell>
          <cell r="BS214">
            <v>0.80349344978165937</v>
          </cell>
          <cell r="BT214">
            <v>0.92139737991266379</v>
          </cell>
          <cell r="BX214">
            <v>0.70524017467248912</v>
          </cell>
          <cell r="CJ214">
            <v>7.2052401746724892E-2</v>
          </cell>
          <cell r="CK214">
            <v>0.97816593886462877</v>
          </cell>
        </row>
        <row r="215">
          <cell r="A215" t="str">
            <v>Josh Bailey</v>
          </cell>
          <cell r="B215" t="str">
            <v>NYI</v>
          </cell>
          <cell r="I215">
            <v>0.50436681222707425</v>
          </cell>
          <cell r="J215">
            <v>0.42794759825327511</v>
          </cell>
          <cell r="K215">
            <v>0.61353711790393017</v>
          </cell>
          <cell r="L215">
            <v>0.4126637554585153</v>
          </cell>
          <cell r="S215">
            <v>0.42358078602620086</v>
          </cell>
          <cell r="T215">
            <v>0.5873362445414847</v>
          </cell>
          <cell r="U215">
            <v>0.58078602620087338</v>
          </cell>
          <cell r="V215">
            <v>0.51310043668122274</v>
          </cell>
          <cell r="AC215">
            <v>0.12882096069868995</v>
          </cell>
          <cell r="AD215">
            <v>5.0218340611353711E-2</v>
          </cell>
          <cell r="AE215">
            <v>0.67903930131004364</v>
          </cell>
          <cell r="AF215">
            <v>7.8602620087336247E-2</v>
          </cell>
          <cell r="AM215">
            <v>0.48471615720524019</v>
          </cell>
          <cell r="AN215">
            <v>0.14628820960698691</v>
          </cell>
          <cell r="AO215">
            <v>0.64847161572052403</v>
          </cell>
          <cell r="AP215">
            <v>0.33624454148471616</v>
          </cell>
          <cell r="AW215">
            <v>0.11135371179039301</v>
          </cell>
          <cell r="AX215">
            <v>5.0218340611353711E-2</v>
          </cell>
          <cell r="AY215">
            <v>0.34716157205240172</v>
          </cell>
          <cell r="AZ215">
            <v>3.9301310043668124E-2</v>
          </cell>
          <cell r="BG215">
            <v>0.4759825327510917</v>
          </cell>
          <cell r="BH215">
            <v>0.86026200873362446</v>
          </cell>
          <cell r="BI215">
            <v>0.65502183406113534</v>
          </cell>
          <cell r="BJ215">
            <v>0.78820960698689957</v>
          </cell>
          <cell r="BQ215">
            <v>0.27074235807860264</v>
          </cell>
          <cell r="BR215">
            <v>0.17903930131004367</v>
          </cell>
          <cell r="BS215">
            <v>0.70524017467248912</v>
          </cell>
          <cell r="BT215">
            <v>0.18777292576419213</v>
          </cell>
          <cell r="BX215">
            <v>0.17467248908296942</v>
          </cell>
          <cell r="CJ215">
            <v>0.98253275109170302</v>
          </cell>
          <cell r="CK215">
            <v>1.9650655021834062E-2</v>
          </cell>
        </row>
        <row r="216">
          <cell r="A216" t="str">
            <v>Josh Leivo</v>
          </cell>
          <cell r="B216" t="str">
            <v>STL</v>
          </cell>
          <cell r="I216">
            <v>0.34279475982532753</v>
          </cell>
          <cell r="J216">
            <v>0.60917030567685593</v>
          </cell>
          <cell r="K216">
            <v>0.69868995633187769</v>
          </cell>
          <cell r="L216">
            <v>0.53493449781659386</v>
          </cell>
          <cell r="S216">
            <v>0.18340611353711792</v>
          </cell>
          <cell r="T216">
            <v>0.78602620087336239</v>
          </cell>
          <cell r="U216">
            <v>0.90611353711790388</v>
          </cell>
          <cell r="V216">
            <v>0.55240174672489084</v>
          </cell>
          <cell r="AC216">
            <v>0.86681222707423577</v>
          </cell>
          <cell r="AD216">
            <v>0.72707423580786024</v>
          </cell>
          <cell r="AE216">
            <v>0.35371179039301309</v>
          </cell>
          <cell r="AF216">
            <v>0.77947598253275108</v>
          </cell>
          <cell r="AM216">
            <v>0.75109170305676853</v>
          </cell>
          <cell r="AN216">
            <v>0.89082969432314407</v>
          </cell>
          <cell r="AO216">
            <v>0.58515283842794763</v>
          </cell>
          <cell r="AP216">
            <v>0.83187772925764192</v>
          </cell>
          <cell r="AW216">
            <v>0.99563318777292575</v>
          </cell>
          <cell r="AX216">
            <v>0.98253275109170302</v>
          </cell>
          <cell r="AY216">
            <v>0.4366812227074236</v>
          </cell>
          <cell r="AZ216">
            <v>0.99563318777292575</v>
          </cell>
          <cell r="BG216">
            <v>0.30349344978165937</v>
          </cell>
          <cell r="BH216">
            <v>0.18777292576419213</v>
          </cell>
          <cell r="BI216">
            <v>0.79912663755458513</v>
          </cell>
          <cell r="BJ216">
            <v>0.52183406113537123</v>
          </cell>
          <cell r="BQ216">
            <v>0.59825327510917026</v>
          </cell>
          <cell r="BR216">
            <v>0.68995633187772931</v>
          </cell>
          <cell r="BS216">
            <v>0.54803493449781659</v>
          </cell>
          <cell r="BT216">
            <v>0.71615720524017468</v>
          </cell>
          <cell r="BX216">
            <v>0.81659388646288211</v>
          </cell>
          <cell r="CJ216">
            <v>0.48689956331877732</v>
          </cell>
          <cell r="CK216">
            <v>0.5</v>
          </cell>
        </row>
        <row r="217">
          <cell r="A217" t="str">
            <v>Jujhar Khaira</v>
          </cell>
          <cell r="B217" t="str">
            <v>CHI</v>
          </cell>
          <cell r="I217">
            <v>0.10480349344978165</v>
          </cell>
          <cell r="J217">
            <v>0.1222707423580786</v>
          </cell>
          <cell r="K217">
            <v>0.10480349344978165</v>
          </cell>
          <cell r="L217">
            <v>8.5152838427947602E-2</v>
          </cell>
          <cell r="S217">
            <v>0.18340611353711792</v>
          </cell>
          <cell r="T217">
            <v>0.13100436681222707</v>
          </cell>
          <cell r="U217">
            <v>9.606986899563319E-2</v>
          </cell>
          <cell r="V217">
            <v>7.6419213973799124E-2</v>
          </cell>
          <cell r="AC217">
            <v>0.8493449781659389</v>
          </cell>
          <cell r="AD217">
            <v>0.95414847161572047</v>
          </cell>
          <cell r="AE217">
            <v>0.21397379912663755</v>
          </cell>
          <cell r="AF217">
            <v>0.88427947598253276</v>
          </cell>
          <cell r="AM217">
            <v>0.47379912663755458</v>
          </cell>
          <cell r="AN217">
            <v>0.51965065502183405</v>
          </cell>
          <cell r="AO217">
            <v>0.4759825327510917</v>
          </cell>
          <cell r="AP217">
            <v>0.41048034934497818</v>
          </cell>
          <cell r="AW217">
            <v>0.98908296943231444</v>
          </cell>
          <cell r="AX217">
            <v>0.9759825327510917</v>
          </cell>
          <cell r="AY217">
            <v>0.6026200873362445</v>
          </cell>
          <cell r="AZ217">
            <v>0.96288209606986896</v>
          </cell>
          <cell r="BG217">
            <v>0.32314410480349343</v>
          </cell>
          <cell r="BH217">
            <v>9.1703056768558958E-2</v>
          </cell>
          <cell r="BI217">
            <v>0.20305676855895197</v>
          </cell>
          <cell r="BJ217">
            <v>3.9301310043668124E-2</v>
          </cell>
          <cell r="BQ217">
            <v>0.34497816593886466</v>
          </cell>
          <cell r="BR217">
            <v>0.45633187772925765</v>
          </cell>
          <cell r="BS217">
            <v>6.9868995633187769E-2</v>
          </cell>
          <cell r="BT217">
            <v>0.31659388646288211</v>
          </cell>
          <cell r="BX217">
            <v>0.48253275109170307</v>
          </cell>
          <cell r="CJ217">
            <v>0.33624454148471616</v>
          </cell>
          <cell r="CK217">
            <v>0.18777292576419213</v>
          </cell>
        </row>
        <row r="218">
          <cell r="A218" t="str">
            <v>Julien Gauthier</v>
          </cell>
          <cell r="B218" t="str">
            <v>NYR, OTT</v>
          </cell>
          <cell r="I218">
            <v>0.16812227074235808</v>
          </cell>
          <cell r="J218">
            <v>0.21615720524017468</v>
          </cell>
          <cell r="K218">
            <v>0.41048034934497818</v>
          </cell>
          <cell r="L218">
            <v>0.15283842794759825</v>
          </cell>
          <cell r="S218">
            <v>0.86244541484716153</v>
          </cell>
          <cell r="T218">
            <v>0.18777292576419213</v>
          </cell>
          <cell r="U218">
            <v>0.25545851528384278</v>
          </cell>
          <cell r="V218">
            <v>0.58951965065502188</v>
          </cell>
          <cell r="AC218">
            <v>0.35807860262008734</v>
          </cell>
          <cell r="AD218">
            <v>0.31877729257641924</v>
          </cell>
          <cell r="AE218">
            <v>0.18340611353711792</v>
          </cell>
          <cell r="AF218">
            <v>0.24017467248908297</v>
          </cell>
          <cell r="AM218">
            <v>0.1091703056768559</v>
          </cell>
          <cell r="AN218">
            <v>0.31877729257641924</v>
          </cell>
          <cell r="AO218">
            <v>0.36244541484716158</v>
          </cell>
          <cell r="AP218">
            <v>0.2205240174672489</v>
          </cell>
          <cell r="AW218">
            <v>0.18122270742358079</v>
          </cell>
          <cell r="AX218">
            <v>0.44541484716157204</v>
          </cell>
          <cell r="AY218">
            <v>5.8951965065502182E-2</v>
          </cell>
          <cell r="AZ218">
            <v>0.25545851528384278</v>
          </cell>
          <cell r="BG218">
            <v>1.9650655021834062E-2</v>
          </cell>
          <cell r="BH218">
            <v>0.61572052401746724</v>
          </cell>
          <cell r="BI218">
            <v>0.70742358078602618</v>
          </cell>
          <cell r="BJ218">
            <v>0.34061135371179041</v>
          </cell>
          <cell r="BQ218">
            <v>0.1965065502183406</v>
          </cell>
          <cell r="BR218">
            <v>0.20524017467248909</v>
          </cell>
          <cell r="BS218">
            <v>0.22925764192139739</v>
          </cell>
          <cell r="BT218">
            <v>0.15938864628820962</v>
          </cell>
          <cell r="BX218">
            <v>0.13537117903930132</v>
          </cell>
          <cell r="CJ218">
            <v>0.85152838427947597</v>
          </cell>
          <cell r="CK218">
            <v>0.91484716157205237</v>
          </cell>
        </row>
        <row r="219">
          <cell r="A219" t="str">
            <v>Juraj Slafkovsky</v>
          </cell>
          <cell r="B219" t="str">
            <v>MTL</v>
          </cell>
          <cell r="I219">
            <v>0.16157205240174671</v>
          </cell>
          <cell r="J219">
            <v>5.0218340611353711E-2</v>
          </cell>
          <cell r="K219">
            <v>4.3668122270742356E-2</v>
          </cell>
          <cell r="L219">
            <v>5.458515283842795E-2</v>
          </cell>
          <cell r="S219">
            <v>0.1965065502183406</v>
          </cell>
          <cell r="T219">
            <v>0.27074235807860264</v>
          </cell>
          <cell r="U219">
            <v>6.1135371179039298E-2</v>
          </cell>
          <cell r="V219">
            <v>0.15938864628820962</v>
          </cell>
          <cell r="AC219">
            <v>0.34061135371179041</v>
          </cell>
          <cell r="AD219">
            <v>8.5152838427947602E-2</v>
          </cell>
          <cell r="AE219">
            <v>0.38209606986899564</v>
          </cell>
          <cell r="AF219">
            <v>0.15283842794759825</v>
          </cell>
          <cell r="AM219">
            <v>0.42576419213973798</v>
          </cell>
          <cell r="AN219">
            <v>0.19868995633187772</v>
          </cell>
          <cell r="AO219">
            <v>0.13755458515283842</v>
          </cell>
          <cell r="AP219">
            <v>0.16157205240174671</v>
          </cell>
          <cell r="AW219">
            <v>0.46506550218340609</v>
          </cell>
          <cell r="AX219">
            <v>0.16375545851528384</v>
          </cell>
          <cell r="AY219">
            <v>0.68558951965065507</v>
          </cell>
          <cell r="AZ219">
            <v>0.55240174672489084</v>
          </cell>
          <cell r="BG219">
            <v>0.25545851528384278</v>
          </cell>
          <cell r="BH219">
            <v>0.55676855895196509</v>
          </cell>
          <cell r="BI219">
            <v>5.0218340611353711E-2</v>
          </cell>
          <cell r="BJ219">
            <v>7.8602620087336247E-2</v>
          </cell>
          <cell r="BQ219">
            <v>0.18995633187772926</v>
          </cell>
          <cell r="BR219">
            <v>3.9301310043668124E-2</v>
          </cell>
          <cell r="BS219">
            <v>6.3318777292576414E-2</v>
          </cell>
          <cell r="BT219">
            <v>5.0218340611353711E-2</v>
          </cell>
          <cell r="BX219">
            <v>7.8602620087336247E-2</v>
          </cell>
          <cell r="CJ219">
            <v>0.17685589519650655</v>
          </cell>
          <cell r="CK219">
            <v>0.35589519650655022</v>
          </cell>
        </row>
        <row r="220">
          <cell r="A220" t="str">
            <v>Juuso Parssinen</v>
          </cell>
          <cell r="B220" t="str">
            <v>NSH</v>
          </cell>
          <cell r="I220">
            <v>0.33842794759825329</v>
          </cell>
          <cell r="J220">
            <v>0.79912663755458513</v>
          </cell>
          <cell r="K220">
            <v>0.50655021834061131</v>
          </cell>
          <cell r="L220">
            <v>0.79475982532751088</v>
          </cell>
          <cell r="S220">
            <v>8.9519650655021835E-2</v>
          </cell>
          <cell r="T220">
            <v>0.83624454148471616</v>
          </cell>
          <cell r="U220">
            <v>0.65938864628820959</v>
          </cell>
          <cell r="V220">
            <v>0.54366812227074235</v>
          </cell>
          <cell r="AC220">
            <v>0.36244541484716158</v>
          </cell>
          <cell r="AD220">
            <v>0.30131004366812225</v>
          </cell>
          <cell r="AE220">
            <v>0.56113537117903933</v>
          </cell>
          <cell r="AF220">
            <v>0.29694323144104806</v>
          </cell>
          <cell r="AM220">
            <v>0.22707423580786026</v>
          </cell>
          <cell r="AN220">
            <v>0.71615720524017468</v>
          </cell>
          <cell r="AO220">
            <v>0.58078602620087338</v>
          </cell>
          <cell r="AP220">
            <v>0.68558951965065507</v>
          </cell>
          <cell r="AW220">
            <v>0.80349344978165937</v>
          </cell>
          <cell r="AX220">
            <v>0.4366812227074236</v>
          </cell>
          <cell r="AY220">
            <v>0.32751091703056767</v>
          </cell>
          <cell r="AZ220">
            <v>0.65502183406113534</v>
          </cell>
          <cell r="BG220">
            <v>0.45851528384279477</v>
          </cell>
          <cell r="BH220">
            <v>0.40611353711790393</v>
          </cell>
          <cell r="BI220">
            <v>0.70524017467248912</v>
          </cell>
          <cell r="BJ220">
            <v>0.74672489082969429</v>
          </cell>
          <cell r="BQ220">
            <v>0.32751091703056767</v>
          </cell>
          <cell r="BR220">
            <v>0.65502183406113534</v>
          </cell>
          <cell r="BS220">
            <v>0.55676855895196509</v>
          </cell>
          <cell r="BT220">
            <v>0.62445414847161573</v>
          </cell>
          <cell r="BX220">
            <v>0.46943231441048033</v>
          </cell>
          <cell r="CJ220">
            <v>0.55021834061135366</v>
          </cell>
          <cell r="CK220">
            <v>0.60043668122270744</v>
          </cell>
        </row>
        <row r="221">
          <cell r="A221" t="str">
            <v>Kaapo Kakko</v>
          </cell>
          <cell r="B221" t="str">
            <v>NYR</v>
          </cell>
          <cell r="I221">
            <v>0.62227074235807855</v>
          </cell>
          <cell r="J221">
            <v>0.51528384279475981</v>
          </cell>
          <cell r="K221">
            <v>0.66157205240174677</v>
          </cell>
          <cell r="L221">
            <v>0.58296943231441045</v>
          </cell>
          <cell r="S221">
            <v>0.69213973799126638</v>
          </cell>
          <cell r="T221">
            <v>0.49563318777292575</v>
          </cell>
          <cell r="U221">
            <v>0.55458515283842791</v>
          </cell>
          <cell r="V221">
            <v>0.58296943231441045</v>
          </cell>
          <cell r="AC221">
            <v>0.72489082969432317</v>
          </cell>
          <cell r="AD221">
            <v>0.51746724890829698</v>
          </cell>
          <cell r="AE221">
            <v>0.65938864628820959</v>
          </cell>
          <cell r="AF221">
            <v>0.5873362445414847</v>
          </cell>
          <cell r="AM221">
            <v>0.75327510917030571</v>
          </cell>
          <cell r="AN221">
            <v>0.54148471615720528</v>
          </cell>
          <cell r="AO221">
            <v>0.61353711790393017</v>
          </cell>
          <cell r="AP221">
            <v>0.67248908296943233</v>
          </cell>
          <cell r="AW221">
            <v>0.59388646288209612</v>
          </cell>
          <cell r="AX221">
            <v>0.69868995633187769</v>
          </cell>
          <cell r="AY221">
            <v>0.51310043668122274</v>
          </cell>
          <cell r="AZ221">
            <v>0.65502183406113534</v>
          </cell>
          <cell r="BG221">
            <v>0.80131004366812231</v>
          </cell>
          <cell r="BH221">
            <v>0.49563318777292575</v>
          </cell>
          <cell r="BI221">
            <v>0.60917030567685593</v>
          </cell>
          <cell r="BJ221">
            <v>0.66593886462882101</v>
          </cell>
          <cell r="BQ221">
            <v>0.69213973799126638</v>
          </cell>
          <cell r="BR221">
            <v>0.48471615720524019</v>
          </cell>
          <cell r="BS221">
            <v>0.75327510917030571</v>
          </cell>
          <cell r="BT221">
            <v>0.611353711790393</v>
          </cell>
          <cell r="BX221">
            <v>0.77292576419213976</v>
          </cell>
          <cell r="CJ221">
            <v>0.93013100436681218</v>
          </cell>
          <cell r="CK221">
            <v>0.34497816593886466</v>
          </cell>
        </row>
        <row r="222">
          <cell r="A222" t="str">
            <v>Kailer Yamamoto</v>
          </cell>
          <cell r="B222" t="str">
            <v>EDM</v>
          </cell>
          <cell r="I222">
            <v>0.70087336244541487</v>
          </cell>
          <cell r="J222">
            <v>0.76419213973799127</v>
          </cell>
          <cell r="K222">
            <v>0.72489082969432317</v>
          </cell>
          <cell r="L222">
            <v>0.79039301310043664</v>
          </cell>
          <cell r="S222">
            <v>0.50218340611353707</v>
          </cell>
          <cell r="T222">
            <v>0.44978165938864628</v>
          </cell>
          <cell r="U222">
            <v>0.25545851528384278</v>
          </cell>
          <cell r="V222">
            <v>0.44978165938864628</v>
          </cell>
          <cell r="AC222">
            <v>0.65283842794759828</v>
          </cell>
          <cell r="AD222">
            <v>0.74890829694323147</v>
          </cell>
          <cell r="AE222">
            <v>0.72489082969432317</v>
          </cell>
          <cell r="AF222">
            <v>0.45414847161572053</v>
          </cell>
          <cell r="AM222">
            <v>0.54366812227074235</v>
          </cell>
          <cell r="AN222">
            <v>0.34934497816593885</v>
          </cell>
          <cell r="AO222">
            <v>0.51965065502183405</v>
          </cell>
          <cell r="AP222">
            <v>0.48471615720524019</v>
          </cell>
          <cell r="AW222">
            <v>0.56768558951965065</v>
          </cell>
          <cell r="AX222">
            <v>0.41484716157205243</v>
          </cell>
          <cell r="AY222">
            <v>0.75545851528384278</v>
          </cell>
          <cell r="AZ222">
            <v>0.30786026200873362</v>
          </cell>
          <cell r="BG222">
            <v>0.89956331877729256</v>
          </cell>
          <cell r="BH222">
            <v>0.52183406113537123</v>
          </cell>
          <cell r="BI222">
            <v>0.52838427947598254</v>
          </cell>
          <cell r="BJ222">
            <v>0.73580786026200873</v>
          </cell>
          <cell r="BQ222">
            <v>0.71615720524017468</v>
          </cell>
          <cell r="BR222">
            <v>0.81222707423580787</v>
          </cell>
          <cell r="BS222">
            <v>0.82096069868995636</v>
          </cell>
          <cell r="BT222">
            <v>0.71179039301310043</v>
          </cell>
          <cell r="BX222">
            <v>0.61790393013100442</v>
          </cell>
          <cell r="CJ222">
            <v>0.50218340611353707</v>
          </cell>
          <cell r="CK222">
            <v>0.5633187772925764</v>
          </cell>
        </row>
        <row r="223">
          <cell r="A223" t="str">
            <v>Karson Kuhlman</v>
          </cell>
          <cell r="B223" t="str">
            <v>SEA, WPG</v>
          </cell>
          <cell r="I223">
            <v>0.37554585152838427</v>
          </cell>
          <cell r="J223">
            <v>0.50436681222707425</v>
          </cell>
          <cell r="K223">
            <v>0.10698689956331878</v>
          </cell>
          <cell r="L223">
            <v>0.63318777292576423</v>
          </cell>
          <cell r="S223">
            <v>4.8034934497816595E-2</v>
          </cell>
          <cell r="T223">
            <v>9.8253275109170299E-2</v>
          </cell>
          <cell r="U223">
            <v>4.3668122270742356E-2</v>
          </cell>
          <cell r="V223">
            <v>3.9301310043668124E-2</v>
          </cell>
          <cell r="AC223">
            <v>0.75545851528384278</v>
          </cell>
          <cell r="AD223">
            <v>0.59170305676855894</v>
          </cell>
          <cell r="AE223">
            <v>0.48471615720524019</v>
          </cell>
          <cell r="AF223">
            <v>0.54585152838427953</v>
          </cell>
          <cell r="AM223">
            <v>0.34497816593886466</v>
          </cell>
          <cell r="AN223">
            <v>0.45633187772925765</v>
          </cell>
          <cell r="AO223">
            <v>4.5851528384279479E-2</v>
          </cell>
          <cell r="AP223">
            <v>0.5240174672489083</v>
          </cell>
          <cell r="AW223">
            <v>0.6266375545851528</v>
          </cell>
          <cell r="AX223">
            <v>0.45633187772925765</v>
          </cell>
          <cell r="AY223">
            <v>0.388646288209607</v>
          </cell>
          <cell r="AZ223">
            <v>0.59825327510917026</v>
          </cell>
          <cell r="BG223">
            <v>0.21397379912663755</v>
          </cell>
          <cell r="BH223">
            <v>0.55240174672489084</v>
          </cell>
          <cell r="BI223">
            <v>0.1331877729257642</v>
          </cell>
          <cell r="BJ223">
            <v>0.12663755458515283</v>
          </cell>
          <cell r="BQ223">
            <v>0.57205240174672489</v>
          </cell>
          <cell r="BR223">
            <v>0.52838427947598254</v>
          </cell>
          <cell r="BS223">
            <v>0.14410480349344978</v>
          </cell>
          <cell r="BT223">
            <v>0.62882096069868998</v>
          </cell>
          <cell r="BX223">
            <v>0.38646288209606988</v>
          </cell>
          <cell r="CJ223">
            <v>0.75327510917030571</v>
          </cell>
          <cell r="CK223">
            <v>0.37336244541484714</v>
          </cell>
        </row>
        <row r="224">
          <cell r="A224" t="str">
            <v>Kasperi Kapanen</v>
          </cell>
          <cell r="B224" t="str">
            <v>PIT, STL</v>
          </cell>
          <cell r="I224">
            <v>0.45196506550218341</v>
          </cell>
          <cell r="J224">
            <v>0.16157205240174671</v>
          </cell>
          <cell r="K224">
            <v>0.49344978165938863</v>
          </cell>
          <cell r="L224">
            <v>0.3056768558951965</v>
          </cell>
          <cell r="S224">
            <v>0.46724890829694321</v>
          </cell>
          <cell r="T224">
            <v>0.82096069868995636</v>
          </cell>
          <cell r="U224">
            <v>0.91921397379912662</v>
          </cell>
          <cell r="V224">
            <v>0.70742358078602618</v>
          </cell>
          <cell r="AC224">
            <v>0.15720524017467249</v>
          </cell>
          <cell r="AD224">
            <v>2.6200873362445413E-2</v>
          </cell>
          <cell r="AE224">
            <v>0.22270742358078602</v>
          </cell>
          <cell r="AF224">
            <v>5.0218340611353711E-2</v>
          </cell>
          <cell r="AM224">
            <v>0.3056768558951965</v>
          </cell>
          <cell r="AN224">
            <v>8.9519650655021835E-2</v>
          </cell>
          <cell r="AO224">
            <v>0.44759825327510916</v>
          </cell>
          <cell r="AP224">
            <v>0.16157205240174671</v>
          </cell>
          <cell r="AW224">
            <v>0.23580786026200873</v>
          </cell>
          <cell r="AX224">
            <v>1.3100436681222707E-2</v>
          </cell>
          <cell r="AY224">
            <v>0.14192139737991266</v>
          </cell>
          <cell r="AZ224">
            <v>3.2751091703056769E-2</v>
          </cell>
          <cell r="BG224">
            <v>0.30786026200873362</v>
          </cell>
          <cell r="BH224">
            <v>0.15938864628820962</v>
          </cell>
          <cell r="BI224">
            <v>0.48689956331877732</v>
          </cell>
          <cell r="BJ224">
            <v>0.42794759825327511</v>
          </cell>
          <cell r="BQ224">
            <v>0.26855895196506552</v>
          </cell>
          <cell r="BR224">
            <v>4.8034934497816595E-2</v>
          </cell>
          <cell r="BS224">
            <v>0.31004366812227074</v>
          </cell>
          <cell r="BT224">
            <v>0.11135371179039301</v>
          </cell>
          <cell r="BX224">
            <v>0.17903930131004367</v>
          </cell>
          <cell r="CJ224">
            <v>0.56550218340611358</v>
          </cell>
          <cell r="CK224">
            <v>0.29039301310043669</v>
          </cell>
        </row>
        <row r="225">
          <cell r="A225" t="str">
            <v>Keegan Kolesar</v>
          </cell>
          <cell r="B225" t="str">
            <v>VGK</v>
          </cell>
          <cell r="I225">
            <v>7.2052401746724892E-2</v>
          </cell>
          <cell r="J225">
            <v>0.69213973799126638</v>
          </cell>
          <cell r="K225">
            <v>0.33842794759825329</v>
          </cell>
          <cell r="L225">
            <v>0.29039301310043669</v>
          </cell>
          <cell r="S225">
            <v>0.34934497816593885</v>
          </cell>
          <cell r="T225">
            <v>0.2816593886462882</v>
          </cell>
          <cell r="U225">
            <v>0.70305676855895194</v>
          </cell>
          <cell r="V225">
            <v>0.26419213973799127</v>
          </cell>
          <cell r="AC225">
            <v>0.66375545851528384</v>
          </cell>
          <cell r="AD225">
            <v>0.92794759825327511</v>
          </cell>
          <cell r="AE225">
            <v>0.89519650655021832</v>
          </cell>
          <cell r="AF225">
            <v>0.83842794759825323</v>
          </cell>
          <cell r="AM225">
            <v>4.8034934497816595E-2</v>
          </cell>
          <cell r="AN225">
            <v>0.72925764192139741</v>
          </cell>
          <cell r="AO225">
            <v>0.28384279475982532</v>
          </cell>
          <cell r="AP225">
            <v>0.29257641921397382</v>
          </cell>
          <cell r="AW225">
            <v>0.82314410480349343</v>
          </cell>
          <cell r="AX225">
            <v>0.81877729257641918</v>
          </cell>
          <cell r="AY225">
            <v>0.84061135371179041</v>
          </cell>
          <cell r="AZ225">
            <v>0.77947598253275108</v>
          </cell>
          <cell r="BG225">
            <v>0.33624454148471616</v>
          </cell>
          <cell r="BH225">
            <v>4.148471615720524E-2</v>
          </cell>
          <cell r="BI225">
            <v>0.61353711790393017</v>
          </cell>
          <cell r="BJ225">
            <v>0.83406113537117899</v>
          </cell>
          <cell r="BQ225">
            <v>0.2183406113537118</v>
          </cell>
          <cell r="BR225">
            <v>0.88209606986899558</v>
          </cell>
          <cell r="BS225">
            <v>0.68995633187772931</v>
          </cell>
          <cell r="BT225">
            <v>0.55676855895196509</v>
          </cell>
          <cell r="BX225">
            <v>0.30131004366812225</v>
          </cell>
          <cell r="CJ225">
            <v>0.1222707423580786</v>
          </cell>
          <cell r="CK225">
            <v>0.83842794759825323</v>
          </cell>
        </row>
        <row r="226">
          <cell r="A226" t="str">
            <v>Kent Johnson</v>
          </cell>
          <cell r="B226" t="str">
            <v>CBJ</v>
          </cell>
          <cell r="I226">
            <v>0.12882096069868995</v>
          </cell>
          <cell r="J226">
            <v>7.6419213973799124E-2</v>
          </cell>
          <cell r="K226">
            <v>0.45196506550218341</v>
          </cell>
          <cell r="L226">
            <v>0.11353711790393013</v>
          </cell>
          <cell r="S226">
            <v>0.34279475982532753</v>
          </cell>
          <cell r="T226">
            <v>0.5</v>
          </cell>
          <cell r="U226">
            <v>0.67903930131004364</v>
          </cell>
          <cell r="V226">
            <v>0.41484716157205243</v>
          </cell>
          <cell r="AC226">
            <v>0.13100436681222707</v>
          </cell>
          <cell r="AD226">
            <v>0.19213973799126638</v>
          </cell>
          <cell r="AE226">
            <v>0.23362445414847161</v>
          </cell>
          <cell r="AF226">
            <v>0.14192139737991266</v>
          </cell>
          <cell r="AM226">
            <v>0.21615720524017468</v>
          </cell>
          <cell r="AN226">
            <v>0.21397379912663755</v>
          </cell>
          <cell r="AO226">
            <v>0.71834061135371174</v>
          </cell>
          <cell r="AP226">
            <v>0.2205240174672489</v>
          </cell>
          <cell r="AW226">
            <v>0.72925764192139741</v>
          </cell>
          <cell r="AX226">
            <v>0.4366812227074236</v>
          </cell>
          <cell r="AY226">
            <v>0.84061135371179041</v>
          </cell>
          <cell r="AZ226">
            <v>0.4366812227074236</v>
          </cell>
          <cell r="BG226">
            <v>0.50655021834061131</v>
          </cell>
          <cell r="BH226">
            <v>0.94104803493449785</v>
          </cell>
          <cell r="BI226">
            <v>0.75545851528384278</v>
          </cell>
          <cell r="BJ226">
            <v>0.61790393013100442</v>
          </cell>
          <cell r="BQ226">
            <v>9.3886462882096067E-2</v>
          </cell>
          <cell r="BR226">
            <v>7.6419213973799124E-2</v>
          </cell>
          <cell r="BS226">
            <v>0.27729257641921395</v>
          </cell>
          <cell r="BT226">
            <v>7.6419213973799124E-2</v>
          </cell>
          <cell r="BX226">
            <v>0.10262008733624454</v>
          </cell>
          <cell r="CJ226">
            <v>0.79475982532751088</v>
          </cell>
          <cell r="CK226">
            <v>0.2576419213973799</v>
          </cell>
        </row>
        <row r="227">
          <cell r="A227" t="str">
            <v>Kevin Fiala</v>
          </cell>
          <cell r="B227" t="str">
            <v>L.A</v>
          </cell>
          <cell r="I227">
            <v>0.71397379912663761</v>
          </cell>
          <cell r="J227">
            <v>0.82314410480349343</v>
          </cell>
          <cell r="K227">
            <v>0.86462882096069871</v>
          </cell>
          <cell r="L227">
            <v>0.81222707423580787</v>
          </cell>
          <cell r="S227">
            <v>0.34934497816593885</v>
          </cell>
          <cell r="T227">
            <v>0.98908296943231444</v>
          </cell>
          <cell r="U227">
            <v>0.98471615720524019</v>
          </cell>
          <cell r="V227">
            <v>0.93449781659388642</v>
          </cell>
          <cell r="AC227">
            <v>0.65720524017467252</v>
          </cell>
          <cell r="AD227">
            <v>0.57205240174672489</v>
          </cell>
          <cell r="AE227">
            <v>0.22707423580786026</v>
          </cell>
          <cell r="AF227">
            <v>0.49563318777292575</v>
          </cell>
          <cell r="AM227">
            <v>0.58296943231441045</v>
          </cell>
          <cell r="AN227">
            <v>0.83842794759825323</v>
          </cell>
          <cell r="AO227">
            <v>0.87991266375545851</v>
          </cell>
          <cell r="AP227">
            <v>0.8253275109170306</v>
          </cell>
          <cell r="AW227">
            <v>0.2205240174672489</v>
          </cell>
          <cell r="AX227">
            <v>0.26200873362445415</v>
          </cell>
          <cell r="AY227">
            <v>0.11353711790393013</v>
          </cell>
          <cell r="AZ227">
            <v>0.14192139737991266</v>
          </cell>
          <cell r="BG227">
            <v>0.81659388646288211</v>
          </cell>
          <cell r="BH227">
            <v>0.66812227074235808</v>
          </cell>
          <cell r="BI227">
            <v>0.80349344978165937</v>
          </cell>
          <cell r="BJ227">
            <v>0.35807860262008734</v>
          </cell>
          <cell r="BQ227">
            <v>0.72925764192139741</v>
          </cell>
          <cell r="BR227">
            <v>0.79475982532751088</v>
          </cell>
          <cell r="BS227">
            <v>0.59170305676855894</v>
          </cell>
          <cell r="BT227">
            <v>0.75327510917030571</v>
          </cell>
          <cell r="BX227">
            <v>0.70960698689956336</v>
          </cell>
          <cell r="CJ227">
            <v>0.20305676855895197</v>
          </cell>
          <cell r="CK227">
            <v>0.72707423580786024</v>
          </cell>
        </row>
        <row r="228">
          <cell r="A228" t="str">
            <v>Kevin Hayes</v>
          </cell>
          <cell r="B228" t="str">
            <v>PHI</v>
          </cell>
          <cell r="I228">
            <v>0.76200873362445409</v>
          </cell>
          <cell r="J228">
            <v>0.59388646288209612</v>
          </cell>
          <cell r="K228">
            <v>0.42358078602620086</v>
          </cell>
          <cell r="L228">
            <v>0.66375545851528384</v>
          </cell>
          <cell r="S228">
            <v>0.32096069868995636</v>
          </cell>
          <cell r="T228">
            <v>0.71179039301310043</v>
          </cell>
          <cell r="U228">
            <v>0.9366812227074236</v>
          </cell>
          <cell r="V228">
            <v>0.5633187772925764</v>
          </cell>
          <cell r="AC228">
            <v>0.27947598253275108</v>
          </cell>
          <cell r="AD228">
            <v>0.14628820960698691</v>
          </cell>
          <cell r="AE228">
            <v>0.38209606986899564</v>
          </cell>
          <cell r="AF228">
            <v>0.24017467248908297</v>
          </cell>
          <cell r="AM228">
            <v>0.90829694323144106</v>
          </cell>
          <cell r="AN228">
            <v>0.80131004366812231</v>
          </cell>
          <cell r="AO228">
            <v>0.60480349344978168</v>
          </cell>
          <cell r="AP228">
            <v>0.86244541484716153</v>
          </cell>
          <cell r="AW228">
            <v>0.26200873362445415</v>
          </cell>
          <cell r="AX228">
            <v>6.9868995633187769E-2</v>
          </cell>
          <cell r="AY228">
            <v>0.37117903930131002</v>
          </cell>
          <cell r="AZ228">
            <v>0.16375545851528384</v>
          </cell>
          <cell r="BG228">
            <v>0.88209606986899558</v>
          </cell>
          <cell r="BH228">
            <v>0.6746724890829694</v>
          </cell>
          <cell r="BI228">
            <v>0.29912663755458513</v>
          </cell>
          <cell r="BJ228">
            <v>0.34061135371179041</v>
          </cell>
          <cell r="BQ228">
            <v>0.57860262008733621</v>
          </cell>
          <cell r="BR228">
            <v>0.37117903930131002</v>
          </cell>
          <cell r="BS228">
            <v>0.38427947598253276</v>
          </cell>
          <cell r="BT228">
            <v>0.47161572052401746</v>
          </cell>
          <cell r="BX228">
            <v>0.59825327510917026</v>
          </cell>
          <cell r="CJ228">
            <v>0.75327510917030571</v>
          </cell>
          <cell r="CK228">
            <v>0.27729257641921395</v>
          </cell>
        </row>
        <row r="229">
          <cell r="A229" t="str">
            <v>Kevin Labanc</v>
          </cell>
          <cell r="B229" t="str">
            <v>S.J</v>
          </cell>
          <cell r="I229">
            <v>0.77729257641921401</v>
          </cell>
          <cell r="J229">
            <v>0.87991266375545851</v>
          </cell>
          <cell r="K229">
            <v>0.81441048034934493</v>
          </cell>
          <cell r="L229">
            <v>0.84716157205240172</v>
          </cell>
          <cell r="S229">
            <v>0.73580786026200873</v>
          </cell>
          <cell r="T229">
            <v>0.61353711790393017</v>
          </cell>
          <cell r="U229">
            <v>0.79912663755458513</v>
          </cell>
          <cell r="V229">
            <v>0.69432314410480345</v>
          </cell>
          <cell r="AC229">
            <v>0.6506550218340611</v>
          </cell>
          <cell r="AD229">
            <v>0.75982532751091703</v>
          </cell>
          <cell r="AE229">
            <v>9.606986899563319E-2</v>
          </cell>
          <cell r="AF229">
            <v>0.50436681222707425</v>
          </cell>
          <cell r="AM229">
            <v>0.91484716157205237</v>
          </cell>
          <cell r="AN229">
            <v>0.79694323144104806</v>
          </cell>
          <cell r="AO229">
            <v>0.84497816593886466</v>
          </cell>
          <cell r="AP229">
            <v>0.79257641921397382</v>
          </cell>
          <cell r="AW229">
            <v>0.88209606986899558</v>
          </cell>
          <cell r="AX229">
            <v>0.89082969432314407</v>
          </cell>
          <cell r="AY229">
            <v>0.58515283842794763</v>
          </cell>
          <cell r="AZ229">
            <v>0.76200873362445409</v>
          </cell>
          <cell r="BG229">
            <v>0.57860262008733621</v>
          </cell>
          <cell r="BH229">
            <v>0.40829694323144106</v>
          </cell>
          <cell r="BI229">
            <v>0.76637554585152834</v>
          </cell>
          <cell r="BJ229">
            <v>0.24672489082969432</v>
          </cell>
          <cell r="BQ229">
            <v>0.77947598253275108</v>
          </cell>
          <cell r="BR229">
            <v>0.90174672489082974</v>
          </cell>
          <cell r="BS229">
            <v>0.42576419213973798</v>
          </cell>
          <cell r="BT229">
            <v>0.78384279475982532</v>
          </cell>
          <cell r="BX229">
            <v>0.90829694323144106</v>
          </cell>
          <cell r="CJ229">
            <v>0.26855895196506552</v>
          </cell>
          <cell r="CK229">
            <v>8.5152838427947602E-2</v>
          </cell>
        </row>
        <row r="230">
          <cell r="A230" t="str">
            <v>Kevin Stenlund</v>
          </cell>
          <cell r="B230" t="str">
            <v>WPG</v>
          </cell>
          <cell r="I230">
            <v>0.36026200873362446</v>
          </cell>
          <cell r="J230">
            <v>0.16593886462882096</v>
          </cell>
          <cell r="K230">
            <v>0.1331877729257642</v>
          </cell>
          <cell r="L230">
            <v>0.31659388646288211</v>
          </cell>
          <cell r="S230">
            <v>0.1222707423580786</v>
          </cell>
          <cell r="T230">
            <v>5.6768558951965066E-2</v>
          </cell>
          <cell r="U230">
            <v>4.3668122270742356E-2</v>
          </cell>
          <cell r="V230">
            <v>4.3668122270742356E-2</v>
          </cell>
          <cell r="AC230">
            <v>0.94978165938864634</v>
          </cell>
          <cell r="AD230">
            <v>0.54366812227074235</v>
          </cell>
          <cell r="AE230">
            <v>0.97379912663755464</v>
          </cell>
          <cell r="AF230">
            <v>0.88427947598253276</v>
          </cell>
          <cell r="AM230">
            <v>0.19213973799126638</v>
          </cell>
          <cell r="AN230">
            <v>2.8384279475982533E-2</v>
          </cell>
          <cell r="AO230">
            <v>0.18558951965065501</v>
          </cell>
          <cell r="AP230">
            <v>0.12008733624454149</v>
          </cell>
          <cell r="AW230">
            <v>0.94759825327510916</v>
          </cell>
          <cell r="AX230">
            <v>0.29912663755458513</v>
          </cell>
          <cell r="AY230">
            <v>0.95196506550218341</v>
          </cell>
          <cell r="AZ230">
            <v>0.87991266375545851</v>
          </cell>
          <cell r="BG230">
            <v>4.5851528384279479E-2</v>
          </cell>
          <cell r="BH230">
            <v>5.458515283842795E-2</v>
          </cell>
          <cell r="BI230">
            <v>0.11790393013100436</v>
          </cell>
          <cell r="BJ230">
            <v>0.61790393013100442</v>
          </cell>
          <cell r="BQ230">
            <v>0.73362445414847166</v>
          </cell>
          <cell r="BR230">
            <v>0.23580786026200873</v>
          </cell>
          <cell r="BS230">
            <v>0.66593886462882101</v>
          </cell>
          <cell r="BT230">
            <v>0.61353711790393017</v>
          </cell>
          <cell r="BX230">
            <v>0.42576419213973798</v>
          </cell>
          <cell r="CJ230">
            <v>0.38646288209606988</v>
          </cell>
          <cell r="CK230">
            <v>0.25545851528384278</v>
          </cell>
        </row>
        <row r="231">
          <cell r="A231" t="str">
            <v>Kiefer Sherwood</v>
          </cell>
          <cell r="B231" t="str">
            <v>NSH</v>
          </cell>
          <cell r="I231">
            <v>0.30349344978165937</v>
          </cell>
          <cell r="J231">
            <v>0.41921397379912662</v>
          </cell>
          <cell r="K231">
            <v>0.75764192139737996</v>
          </cell>
          <cell r="L231">
            <v>0.45414847161572053</v>
          </cell>
          <cell r="S231">
            <v>0.79475982532751088</v>
          </cell>
          <cell r="T231">
            <v>0.36026200873362446</v>
          </cell>
          <cell r="U231">
            <v>0.39519650655021832</v>
          </cell>
          <cell r="V231">
            <v>0.58951965065502188</v>
          </cell>
          <cell r="AC231">
            <v>0.22270742358078602</v>
          </cell>
          <cell r="AD231">
            <v>0.21179039301310043</v>
          </cell>
          <cell r="AE231">
            <v>0.71179039301310043</v>
          </cell>
          <cell r="AF231">
            <v>8.9519650655021835E-2</v>
          </cell>
          <cell r="AM231">
            <v>0.81877729257641918</v>
          </cell>
          <cell r="AN231">
            <v>0.8253275109170306</v>
          </cell>
          <cell r="AO231">
            <v>0.94323144104803491</v>
          </cell>
          <cell r="AP231">
            <v>0.87117903930131002</v>
          </cell>
          <cell r="AW231">
            <v>0.75764192139737996</v>
          </cell>
          <cell r="AX231">
            <v>0.40393013100436681</v>
          </cell>
          <cell r="AY231">
            <v>0.72052401746724892</v>
          </cell>
          <cell r="AZ231">
            <v>0.20305676855895197</v>
          </cell>
          <cell r="BG231">
            <v>0.4366812227074236</v>
          </cell>
          <cell r="BH231">
            <v>0.85152838427947597</v>
          </cell>
          <cell r="BI231">
            <v>0.9126637554585153</v>
          </cell>
          <cell r="BJ231">
            <v>0.96506550218340614</v>
          </cell>
          <cell r="BQ231">
            <v>0.22707423580786026</v>
          </cell>
          <cell r="BR231">
            <v>0.27947598253275108</v>
          </cell>
          <cell r="BS231">
            <v>0.83187772925764192</v>
          </cell>
          <cell r="BT231">
            <v>0.21397379912663755</v>
          </cell>
          <cell r="BX231">
            <v>0.4759825327510917</v>
          </cell>
          <cell r="CJ231">
            <v>8.0786026200873357E-2</v>
          </cell>
          <cell r="CK231">
            <v>0.65502183406113534</v>
          </cell>
        </row>
        <row r="232">
          <cell r="A232" t="str">
            <v>Kieffer Bellows</v>
          </cell>
          <cell r="B232" t="str">
            <v>NYI, PHI</v>
          </cell>
          <cell r="I232">
            <v>0.17903930131004367</v>
          </cell>
          <cell r="J232">
            <v>0.11135371179039301</v>
          </cell>
          <cell r="K232">
            <v>3.7117903930131008E-2</v>
          </cell>
          <cell r="L232">
            <v>0.11135371179039301</v>
          </cell>
          <cell r="S232">
            <v>0.55676855895196509</v>
          </cell>
          <cell r="T232">
            <v>2.1834061135371178E-3</v>
          </cell>
          <cell r="U232">
            <v>2.1834061135371178E-3</v>
          </cell>
          <cell r="V232">
            <v>3.4934497816593885E-2</v>
          </cell>
          <cell r="AC232">
            <v>0.59388646288209612</v>
          </cell>
          <cell r="AD232">
            <v>0.39082969432314413</v>
          </cell>
          <cell r="AE232">
            <v>0.1222707423580786</v>
          </cell>
          <cell r="AF232">
            <v>0.69868995633187769</v>
          </cell>
          <cell r="AM232">
            <v>0.2816593886462882</v>
          </cell>
          <cell r="AN232">
            <v>7.2052401746724892E-2</v>
          </cell>
          <cell r="AO232">
            <v>0.15283842794759825</v>
          </cell>
          <cell r="AP232">
            <v>0.19213973799126638</v>
          </cell>
          <cell r="AW232">
            <v>0.78165938864628826</v>
          </cell>
          <cell r="AX232">
            <v>0.76200873362445409</v>
          </cell>
          <cell r="AY232">
            <v>0.1091703056768559</v>
          </cell>
          <cell r="AZ232">
            <v>0.93231441048034935</v>
          </cell>
          <cell r="BG232">
            <v>6.5502183406113537E-2</v>
          </cell>
          <cell r="BH232">
            <v>0.72707423580786024</v>
          </cell>
          <cell r="BI232">
            <v>3.7117903930131008E-2</v>
          </cell>
          <cell r="BJ232">
            <v>4.3668122270742356E-3</v>
          </cell>
          <cell r="BQ232">
            <v>0.31004366812227074</v>
          </cell>
          <cell r="BR232">
            <v>0.1703056768558952</v>
          </cell>
          <cell r="BS232">
            <v>2.6200873362445413E-2</v>
          </cell>
          <cell r="BT232">
            <v>0.26419213973799127</v>
          </cell>
          <cell r="BX232">
            <v>0.29694323144104806</v>
          </cell>
          <cell r="CJ232">
            <v>0.52838427947598254</v>
          </cell>
          <cell r="CK232">
            <v>0.69868995633187769</v>
          </cell>
        </row>
        <row r="233">
          <cell r="A233" t="str">
            <v>Kirby Dach</v>
          </cell>
          <cell r="B233" t="str">
            <v>MTL</v>
          </cell>
          <cell r="I233">
            <v>0.47379912663755458</v>
          </cell>
          <cell r="J233">
            <v>0.37772925764192139</v>
          </cell>
          <cell r="K233">
            <v>0.64628820960698685</v>
          </cell>
          <cell r="L233">
            <v>0.49344978165938863</v>
          </cell>
          <cell r="S233">
            <v>0.388646288209607</v>
          </cell>
          <cell r="T233">
            <v>0.31877729257641924</v>
          </cell>
          <cell r="U233">
            <v>0.36244541484716158</v>
          </cell>
          <cell r="V233">
            <v>0.29694323144104806</v>
          </cell>
          <cell r="AC233">
            <v>0.67903930131004364</v>
          </cell>
          <cell r="AD233">
            <v>0.46724890829694321</v>
          </cell>
          <cell r="AE233">
            <v>0.5393013100436681</v>
          </cell>
          <cell r="AF233">
            <v>0.29694323144104806</v>
          </cell>
          <cell r="AM233">
            <v>0.79475982532751088</v>
          </cell>
          <cell r="AN233">
            <v>0.65720524017467252</v>
          </cell>
          <cell r="AO233">
            <v>0.70960698689956336</v>
          </cell>
          <cell r="AP233">
            <v>0.75982532751091703</v>
          </cell>
          <cell r="AW233">
            <v>0.83406113537117899</v>
          </cell>
          <cell r="AX233">
            <v>0.86899563318777295</v>
          </cell>
          <cell r="AY233">
            <v>0.76200873362445409</v>
          </cell>
          <cell r="AZ233">
            <v>0.70960698689956336</v>
          </cell>
          <cell r="BG233">
            <v>0.85589519650655022</v>
          </cell>
          <cell r="BH233">
            <v>0.68777292576419213</v>
          </cell>
          <cell r="BI233">
            <v>0.79257641921397382</v>
          </cell>
          <cell r="BJ233">
            <v>0.70960698689956336</v>
          </cell>
          <cell r="BQ233">
            <v>0.5633187772925764</v>
          </cell>
          <cell r="BR233">
            <v>0.388646288209607</v>
          </cell>
          <cell r="BS233">
            <v>0.62227074235807855</v>
          </cell>
          <cell r="BT233">
            <v>0.38646288209606988</v>
          </cell>
          <cell r="BX233">
            <v>0.5873362445414847</v>
          </cell>
          <cell r="CJ233">
            <v>0.18558951965065501</v>
          </cell>
          <cell r="CK233">
            <v>0.61790393013100442</v>
          </cell>
        </row>
        <row r="234">
          <cell r="A234" t="str">
            <v>Kirill Kaprizov</v>
          </cell>
          <cell r="B234" t="str">
            <v>MIN</v>
          </cell>
          <cell r="I234">
            <v>0.81659388646288211</v>
          </cell>
          <cell r="J234">
            <v>0.57860262008733621</v>
          </cell>
          <cell r="K234">
            <v>0.50436681222707425</v>
          </cell>
          <cell r="L234">
            <v>0.64192139737991272</v>
          </cell>
          <cell r="S234">
            <v>0.82751091703056767</v>
          </cell>
          <cell r="T234">
            <v>0.43449781659388648</v>
          </cell>
          <cell r="U234">
            <v>0.46943231441048033</v>
          </cell>
          <cell r="V234">
            <v>0.68122270742358082</v>
          </cell>
          <cell r="AC234">
            <v>0.87991266375545851</v>
          </cell>
          <cell r="AD234">
            <v>0.94541484716157209</v>
          </cell>
          <cell r="AE234">
            <v>0.75545851528384278</v>
          </cell>
          <cell r="AF234">
            <v>0.79912663755458513</v>
          </cell>
          <cell r="AM234">
            <v>0.87554585152838427</v>
          </cell>
          <cell r="AN234">
            <v>0.80131004366812231</v>
          </cell>
          <cell r="AO234">
            <v>0.84497816593886466</v>
          </cell>
          <cell r="AP234">
            <v>0.83187772925764192</v>
          </cell>
          <cell r="AW234">
            <v>0.90829694323144106</v>
          </cell>
          <cell r="AX234">
            <v>0.78384279475982532</v>
          </cell>
          <cell r="AY234">
            <v>0.48034934497816595</v>
          </cell>
          <cell r="AZ234">
            <v>0.55240174672489084</v>
          </cell>
          <cell r="BG234">
            <v>0.98471615720524019</v>
          </cell>
          <cell r="BH234">
            <v>0.99126637554585151</v>
          </cell>
          <cell r="BI234">
            <v>0.4366812227074236</v>
          </cell>
          <cell r="BJ234">
            <v>0.57860262008733621</v>
          </cell>
          <cell r="BQ234">
            <v>0.888646288209607</v>
          </cell>
          <cell r="BR234">
            <v>0.84061135371179041</v>
          </cell>
          <cell r="BS234">
            <v>0.68777292576419213</v>
          </cell>
          <cell r="BT234">
            <v>0.78165938864628826</v>
          </cell>
          <cell r="BX234">
            <v>0.94104803493449785</v>
          </cell>
          <cell r="CJ234">
            <v>0.48034934497816595</v>
          </cell>
          <cell r="CK234">
            <v>0.72707423580786024</v>
          </cell>
        </row>
        <row r="235">
          <cell r="A235" t="str">
            <v>Kirill Marchenko</v>
          </cell>
          <cell r="B235" t="str">
            <v>CBJ</v>
          </cell>
          <cell r="I235">
            <v>0.28602620087336245</v>
          </cell>
          <cell r="J235">
            <v>0.36681222707423583</v>
          </cell>
          <cell r="K235">
            <v>0.2205240174672489</v>
          </cell>
          <cell r="L235">
            <v>0.37336244541484714</v>
          </cell>
          <cell r="S235">
            <v>0.8253275109170306</v>
          </cell>
          <cell r="T235">
            <v>3.4934497816593885E-2</v>
          </cell>
          <cell r="U235">
            <v>0.12445414847161572</v>
          </cell>
          <cell r="V235">
            <v>0.24017467248908297</v>
          </cell>
          <cell r="AC235">
            <v>0.17903930131004367</v>
          </cell>
          <cell r="AD235">
            <v>0.25327510917030566</v>
          </cell>
          <cell r="AE235">
            <v>0.1943231441048035</v>
          </cell>
          <cell r="AF235">
            <v>0.20087336244541484</v>
          </cell>
          <cell r="AM235">
            <v>0.46288209606986902</v>
          </cell>
          <cell r="AN235">
            <v>0.59170305676855894</v>
          </cell>
          <cell r="AO235">
            <v>0.53056768558951961</v>
          </cell>
          <cell r="AP235">
            <v>0.58951965065502188</v>
          </cell>
          <cell r="AW235">
            <v>0.92358078602620086</v>
          </cell>
          <cell r="AX235">
            <v>0.84279475982532748</v>
          </cell>
          <cell r="AY235">
            <v>0.76200873362445409</v>
          </cell>
          <cell r="AZ235">
            <v>0.84279475982532748</v>
          </cell>
          <cell r="BG235">
            <v>0.65502183406113534</v>
          </cell>
          <cell r="BH235">
            <v>0.56768558951965065</v>
          </cell>
          <cell r="BI235">
            <v>0.26855895196506552</v>
          </cell>
          <cell r="BJ235">
            <v>0.15938864628820962</v>
          </cell>
          <cell r="BQ235">
            <v>0.1943231441048035</v>
          </cell>
          <cell r="BR235">
            <v>0.27729257641921395</v>
          </cell>
          <cell r="BS235">
            <v>0.12882096069868995</v>
          </cell>
          <cell r="BT235">
            <v>0.27729257641921395</v>
          </cell>
          <cell r="BX235">
            <v>0.36681222707423583</v>
          </cell>
          <cell r="CJ235">
            <v>0.76855895196506552</v>
          </cell>
          <cell r="CK235">
            <v>0.54803493449781659</v>
          </cell>
        </row>
        <row r="236">
          <cell r="A236" t="str">
            <v>Klim Kostin</v>
          </cell>
          <cell r="B236" t="str">
            <v>EDM</v>
          </cell>
          <cell r="I236">
            <v>0.15502183406113537</v>
          </cell>
          <cell r="J236">
            <v>0.36026200873362446</v>
          </cell>
          <cell r="K236">
            <v>0.75327510917030571</v>
          </cell>
          <cell r="L236">
            <v>0.22270742358078602</v>
          </cell>
          <cell r="S236">
            <v>0.90611353711790388</v>
          </cell>
          <cell r="T236">
            <v>0.42139737991266374</v>
          </cell>
          <cell r="U236">
            <v>0.61790393013100442</v>
          </cell>
          <cell r="V236">
            <v>0.75764192139737996</v>
          </cell>
          <cell r="AC236">
            <v>0.78384279475982532</v>
          </cell>
          <cell r="AD236">
            <v>0.80786026200873362</v>
          </cell>
          <cell r="AE236">
            <v>0.86462882096069871</v>
          </cell>
          <cell r="AF236">
            <v>0.65502183406113534</v>
          </cell>
          <cell r="AM236">
            <v>3.7117903930131008E-2</v>
          </cell>
          <cell r="AN236">
            <v>4.3668122270742356E-2</v>
          </cell>
          <cell r="AO236">
            <v>0.5393013100436681</v>
          </cell>
          <cell r="AP236">
            <v>1.7467248908296942E-2</v>
          </cell>
          <cell r="AW236">
            <v>0.54148471615720528</v>
          </cell>
          <cell r="AX236">
            <v>0.38646288209606988</v>
          </cell>
          <cell r="AY236">
            <v>0.76200873362445409</v>
          </cell>
          <cell r="AZ236">
            <v>0.41921397379912662</v>
          </cell>
          <cell r="BG236">
            <v>0.13755458515283842</v>
          </cell>
          <cell r="BH236">
            <v>0.53711790393013104</v>
          </cell>
          <cell r="BI236">
            <v>0.91703056768558955</v>
          </cell>
          <cell r="BJ236">
            <v>0.9606986899563319</v>
          </cell>
          <cell r="BQ236">
            <v>0.37991266375545851</v>
          </cell>
          <cell r="BR236">
            <v>0.52620087336244536</v>
          </cell>
          <cell r="BS236">
            <v>0.90393013100436681</v>
          </cell>
          <cell r="BT236">
            <v>0.33624454148471616</v>
          </cell>
          <cell r="BX236">
            <v>0.32532751091703055</v>
          </cell>
          <cell r="CJ236">
            <v>2.8384279475982533E-2</v>
          </cell>
          <cell r="CK236">
            <v>0.99563318777292575</v>
          </cell>
        </row>
        <row r="237">
          <cell r="A237" t="str">
            <v>Kyle Connor</v>
          </cell>
          <cell r="B237" t="str">
            <v>WPG</v>
          </cell>
          <cell r="I237">
            <v>0.73144104803493448</v>
          </cell>
          <cell r="J237">
            <v>0.78165938864628826</v>
          </cell>
          <cell r="K237">
            <v>0.70524017467248912</v>
          </cell>
          <cell r="L237">
            <v>0.74235807860262004</v>
          </cell>
          <cell r="S237">
            <v>0.79912663755458513</v>
          </cell>
          <cell r="T237">
            <v>0.61353711790393017</v>
          </cell>
          <cell r="U237">
            <v>0.65938864628820959</v>
          </cell>
          <cell r="V237">
            <v>0.75764192139737996</v>
          </cell>
          <cell r="AC237">
            <v>0.44978165938864628</v>
          </cell>
          <cell r="AD237">
            <v>0.45414847161572053</v>
          </cell>
          <cell r="AE237">
            <v>0.31004366812227074</v>
          </cell>
          <cell r="AF237">
            <v>0.25327510917030566</v>
          </cell>
          <cell r="AM237">
            <v>0.70742358078602618</v>
          </cell>
          <cell r="AN237">
            <v>0.81004366812227069</v>
          </cell>
          <cell r="AO237">
            <v>0.81877729257641918</v>
          </cell>
          <cell r="AP237">
            <v>0.63973799126637554</v>
          </cell>
          <cell r="AW237">
            <v>0.2576419213973799</v>
          </cell>
          <cell r="AX237">
            <v>0.2576419213973799</v>
          </cell>
          <cell r="AY237">
            <v>5.0218340611353711E-2</v>
          </cell>
          <cell r="AZ237">
            <v>0.10480349344978165</v>
          </cell>
          <cell r="BG237">
            <v>0.96943231441048039</v>
          </cell>
          <cell r="BH237">
            <v>0.9126637554585153</v>
          </cell>
          <cell r="BI237">
            <v>0.76637554585152834</v>
          </cell>
          <cell r="BJ237">
            <v>0.56550218340611358</v>
          </cell>
          <cell r="BQ237">
            <v>0.63973799126637554</v>
          </cell>
          <cell r="BR237">
            <v>0.72270742358078599</v>
          </cell>
          <cell r="BS237">
            <v>0.53275109170305679</v>
          </cell>
          <cell r="BT237">
            <v>0.54803493449781659</v>
          </cell>
          <cell r="BX237">
            <v>0.60698689956331875</v>
          </cell>
          <cell r="CJ237">
            <v>0.80786026200873362</v>
          </cell>
          <cell r="CK237">
            <v>7.6419213973799124E-2</v>
          </cell>
        </row>
        <row r="238">
          <cell r="A238" t="str">
            <v>Kyle Okposo</v>
          </cell>
          <cell r="B238" t="str">
            <v>BUF</v>
          </cell>
          <cell r="I238">
            <v>0.36462882096069871</v>
          </cell>
          <cell r="J238">
            <v>0.27947598253275108</v>
          </cell>
          <cell r="K238">
            <v>0.16157205240174671</v>
          </cell>
          <cell r="L238">
            <v>0.29694323144104806</v>
          </cell>
          <cell r="S238">
            <v>0.15502183406113537</v>
          </cell>
          <cell r="T238">
            <v>0.40393013100436681</v>
          </cell>
          <cell r="U238">
            <v>0.36244541484716158</v>
          </cell>
          <cell r="V238">
            <v>0.21397379912663755</v>
          </cell>
          <cell r="AC238">
            <v>0.91048034934497812</v>
          </cell>
          <cell r="AD238">
            <v>0.70524017467248912</v>
          </cell>
          <cell r="AE238">
            <v>0.75545851528384278</v>
          </cell>
          <cell r="AF238">
            <v>0.85371179039301315</v>
          </cell>
          <cell r="AM238">
            <v>0.15938864628820962</v>
          </cell>
          <cell r="AN238">
            <v>0.18122270742358079</v>
          </cell>
          <cell r="AO238">
            <v>2.4017467248908297E-2</v>
          </cell>
          <cell r="AP238">
            <v>0.12663755458515283</v>
          </cell>
          <cell r="AW238">
            <v>0.98253275109170302</v>
          </cell>
          <cell r="AX238">
            <v>0.97161572052401746</v>
          </cell>
          <cell r="AY238">
            <v>0.97816593886462877</v>
          </cell>
          <cell r="AZ238">
            <v>0.98689956331877726</v>
          </cell>
          <cell r="BG238">
            <v>0.54148471615720528</v>
          </cell>
          <cell r="BH238">
            <v>0.2183406113537118</v>
          </cell>
          <cell r="BI238">
            <v>0.10480349344978165</v>
          </cell>
          <cell r="BJ238">
            <v>0.24672489082969432</v>
          </cell>
          <cell r="BQ238">
            <v>0.67248908296943233</v>
          </cell>
          <cell r="BR238">
            <v>0.40829694323144106</v>
          </cell>
          <cell r="BS238">
            <v>0.33187772925764192</v>
          </cell>
          <cell r="BT238">
            <v>0.57641921397379914</v>
          </cell>
          <cell r="BX238">
            <v>0.57641921397379914</v>
          </cell>
          <cell r="CJ238">
            <v>0.32096069868995636</v>
          </cell>
          <cell r="CK238">
            <v>0.65502183406113534</v>
          </cell>
        </row>
        <row r="239">
          <cell r="A239" t="str">
            <v>Kyle Palmieri</v>
          </cell>
          <cell r="B239" t="str">
            <v>NYI</v>
          </cell>
          <cell r="I239">
            <v>0.68558951965065507</v>
          </cell>
          <cell r="J239">
            <v>0.8733624454148472</v>
          </cell>
          <cell r="K239">
            <v>0.9366812227074236</v>
          </cell>
          <cell r="L239">
            <v>0.83624454148471616</v>
          </cell>
          <cell r="S239">
            <v>0.82751091703056767</v>
          </cell>
          <cell r="T239">
            <v>0.66812227074235808</v>
          </cell>
          <cell r="U239">
            <v>0.86026200873362446</v>
          </cell>
          <cell r="V239">
            <v>0.83187772925764192</v>
          </cell>
          <cell r="AC239">
            <v>0.12663755458515283</v>
          </cell>
          <cell r="AD239">
            <v>0.22925764192139739</v>
          </cell>
          <cell r="AE239">
            <v>0.62008733624454149</v>
          </cell>
          <cell r="AF239">
            <v>0.27510917030567683</v>
          </cell>
          <cell r="AM239">
            <v>0.58951965065502188</v>
          </cell>
          <cell r="AN239">
            <v>0.87554585152838427</v>
          </cell>
          <cell r="AO239">
            <v>0.94104803493449785</v>
          </cell>
          <cell r="AP239">
            <v>0.79257641921397382</v>
          </cell>
          <cell r="AW239">
            <v>0.10698689956331878</v>
          </cell>
          <cell r="AX239">
            <v>0.40829694323144106</v>
          </cell>
          <cell r="AY239">
            <v>0.48034934497816595</v>
          </cell>
          <cell r="AZ239">
            <v>0.49563318777292575</v>
          </cell>
          <cell r="BG239">
            <v>0.81441048034934493</v>
          </cell>
          <cell r="BH239">
            <v>0.81004366812227069</v>
          </cell>
          <cell r="BI239">
            <v>0.95196506550218341</v>
          </cell>
          <cell r="BJ239">
            <v>0.96943231441048039</v>
          </cell>
          <cell r="BQ239">
            <v>0.39519650655021832</v>
          </cell>
          <cell r="BR239">
            <v>0.69868995633187769</v>
          </cell>
          <cell r="BS239">
            <v>0.89082969432314407</v>
          </cell>
          <cell r="BT239">
            <v>0.65502183406113534</v>
          </cell>
          <cell r="BX239">
            <v>0.61353711790393017</v>
          </cell>
          <cell r="CJ239">
            <v>0.44978165938864628</v>
          </cell>
          <cell r="CK239">
            <v>0.77074235807860259</v>
          </cell>
        </row>
        <row r="240">
          <cell r="A240" t="str">
            <v>Lane Pederson</v>
          </cell>
          <cell r="B240" t="str">
            <v>CBJ, VAN</v>
          </cell>
          <cell r="I240">
            <v>0.42794759825327511</v>
          </cell>
          <cell r="J240">
            <v>0.76637554585152834</v>
          </cell>
          <cell r="K240">
            <v>0.77510917030567683</v>
          </cell>
          <cell r="L240">
            <v>0.77729257641921401</v>
          </cell>
          <cell r="S240">
            <v>0.4126637554585153</v>
          </cell>
          <cell r="T240">
            <v>0.18340611353711792</v>
          </cell>
          <cell r="U240">
            <v>0.57205240174672489</v>
          </cell>
          <cell r="V240">
            <v>0.1965065502183406</v>
          </cell>
          <cell r="AC240">
            <v>9.606986899563319E-2</v>
          </cell>
          <cell r="AD240">
            <v>3.2751091703056769E-2</v>
          </cell>
          <cell r="AE240">
            <v>0.13100436681222707</v>
          </cell>
          <cell r="AF240">
            <v>0.12663755458515283</v>
          </cell>
          <cell r="AM240">
            <v>0.57860262008733621</v>
          </cell>
          <cell r="AN240">
            <v>0.8973799126637555</v>
          </cell>
          <cell r="AO240">
            <v>0.88427947598253276</v>
          </cell>
          <cell r="AP240">
            <v>0.8253275109170306</v>
          </cell>
          <cell r="AW240">
            <v>0.31222707423580787</v>
          </cell>
          <cell r="AX240">
            <v>9.606986899563319E-2</v>
          </cell>
          <cell r="AY240">
            <v>0.75982532751091703</v>
          </cell>
          <cell r="AZ240">
            <v>0.4366812227074236</v>
          </cell>
          <cell r="BG240">
            <v>0.28602620087336245</v>
          </cell>
          <cell r="BH240">
            <v>0.51528384279475981</v>
          </cell>
          <cell r="BI240">
            <v>0.82096069868995636</v>
          </cell>
          <cell r="BJ240">
            <v>0.57860262008733621</v>
          </cell>
          <cell r="BQ240">
            <v>0.20524017467248909</v>
          </cell>
          <cell r="BR240">
            <v>0.31441048034934499</v>
          </cell>
          <cell r="BS240">
            <v>0.42139737991266374</v>
          </cell>
          <cell r="BT240">
            <v>0.43231441048034935</v>
          </cell>
          <cell r="BX240">
            <v>0.33624454148471616</v>
          </cell>
          <cell r="CJ240">
            <v>6.768558951965066E-2</v>
          </cell>
          <cell r="CK240">
            <v>0.81877729257641918</v>
          </cell>
        </row>
        <row r="241">
          <cell r="A241" t="str">
            <v>Lars Eller</v>
          </cell>
          <cell r="B241" t="str">
            <v>COL, WSH</v>
          </cell>
          <cell r="I241">
            <v>0.48253275109170307</v>
          </cell>
          <cell r="J241">
            <v>0.34716157205240172</v>
          </cell>
          <cell r="K241">
            <v>0.23580786026200873</v>
          </cell>
          <cell r="L241">
            <v>0.34061135371179041</v>
          </cell>
          <cell r="S241">
            <v>0.23144104803493451</v>
          </cell>
          <cell r="T241">
            <v>0.15502183406113537</v>
          </cell>
          <cell r="U241">
            <v>0.29475982532751094</v>
          </cell>
          <cell r="V241">
            <v>0.11353711790393013</v>
          </cell>
          <cell r="AC241">
            <v>0.80349344978165937</v>
          </cell>
          <cell r="AD241">
            <v>0.89956331877729256</v>
          </cell>
          <cell r="AE241">
            <v>0.80349344978165937</v>
          </cell>
          <cell r="AF241">
            <v>0.83842794759825323</v>
          </cell>
          <cell r="AM241">
            <v>0.29039301310043669</v>
          </cell>
          <cell r="AN241">
            <v>0.23580786026200873</v>
          </cell>
          <cell r="AO241">
            <v>0.14847161572052403</v>
          </cell>
          <cell r="AP241">
            <v>0.21179039301310043</v>
          </cell>
          <cell r="AW241">
            <v>0.77510917030567683</v>
          </cell>
          <cell r="AX241">
            <v>0.8973799126637555</v>
          </cell>
          <cell r="AY241">
            <v>0.87991266375545851</v>
          </cell>
          <cell r="AZ241">
            <v>0.81441048034934493</v>
          </cell>
          <cell r="BG241">
            <v>0.57641921397379914</v>
          </cell>
          <cell r="BH241">
            <v>0.14628820960698691</v>
          </cell>
          <cell r="BI241">
            <v>0.16593886462882096</v>
          </cell>
          <cell r="BJ241">
            <v>0.388646288209607</v>
          </cell>
          <cell r="BQ241">
            <v>0.63318777292576423</v>
          </cell>
          <cell r="BR241">
            <v>0.61353711790393017</v>
          </cell>
          <cell r="BS241">
            <v>0.47161572052401746</v>
          </cell>
          <cell r="BT241">
            <v>0.59606986899563319</v>
          </cell>
          <cell r="BX241">
            <v>0.45851528384279477</v>
          </cell>
          <cell r="CJ241">
            <v>0.38646288209606988</v>
          </cell>
          <cell r="CK241">
            <v>0.26637554585152839</v>
          </cell>
        </row>
        <row r="242">
          <cell r="A242" t="str">
            <v>Laurent Dauphin</v>
          </cell>
          <cell r="B242" t="str">
            <v>ARI</v>
          </cell>
          <cell r="I242">
            <v>0.10262008733624454</v>
          </cell>
          <cell r="J242">
            <v>8.5152838427947602E-2</v>
          </cell>
          <cell r="K242">
            <v>6.5502183406113534E-3</v>
          </cell>
          <cell r="L242">
            <v>0.11353711790393013</v>
          </cell>
          <cell r="S242">
            <v>6.9868995633187769E-2</v>
          </cell>
          <cell r="T242">
            <v>2.1834061135371178E-3</v>
          </cell>
          <cell r="U242">
            <v>2.1834061135371178E-3</v>
          </cell>
          <cell r="V242">
            <v>8.7336244541484712E-3</v>
          </cell>
          <cell r="AC242">
            <v>0.27292576419213976</v>
          </cell>
          <cell r="AD242">
            <v>0.42139737991266374</v>
          </cell>
          <cell r="AE242">
            <v>0.85807860262008728</v>
          </cell>
          <cell r="AF242">
            <v>0.27510917030567683</v>
          </cell>
          <cell r="AM242">
            <v>0.22489082969432314</v>
          </cell>
          <cell r="AN242">
            <v>0.2576419213973799</v>
          </cell>
          <cell r="AO242">
            <v>4.3668122270742356E-3</v>
          </cell>
          <cell r="AP242">
            <v>0.25327510917030566</v>
          </cell>
          <cell r="AW242">
            <v>0.44541484716157204</v>
          </cell>
          <cell r="AX242">
            <v>0.62008733624454149</v>
          </cell>
          <cell r="AY242">
            <v>0.99344978165938869</v>
          </cell>
          <cell r="AZ242">
            <v>0.30131004366812225</v>
          </cell>
          <cell r="BG242">
            <v>0.18777292576419213</v>
          </cell>
          <cell r="BH242">
            <v>0.41703056768558949</v>
          </cell>
          <cell r="BI242">
            <v>6.5502183406113534E-3</v>
          </cell>
          <cell r="BJ242">
            <v>0.11790393013100436</v>
          </cell>
          <cell r="BQ242">
            <v>0.11353711790393013</v>
          </cell>
          <cell r="BR242">
            <v>0.15065502183406113</v>
          </cell>
          <cell r="BS242">
            <v>2.6200873362445413E-2</v>
          </cell>
          <cell r="BT242">
            <v>0.13100436681222707</v>
          </cell>
          <cell r="BX242">
            <v>2.8384279475982533E-2</v>
          </cell>
          <cell r="CJ242">
            <v>0.15065502183406113</v>
          </cell>
          <cell r="CK242">
            <v>0.21615720524017468</v>
          </cell>
        </row>
        <row r="243">
          <cell r="A243" t="str">
            <v>Lawson Crouse</v>
          </cell>
          <cell r="B243" t="str">
            <v>ARI</v>
          </cell>
          <cell r="I243">
            <v>0.26419213973799127</v>
          </cell>
          <cell r="J243">
            <v>0.3056768558951965</v>
          </cell>
          <cell r="K243">
            <v>0.72707423580786024</v>
          </cell>
          <cell r="L243">
            <v>0.3056768558951965</v>
          </cell>
          <cell r="S243">
            <v>0.70960698689956336</v>
          </cell>
          <cell r="T243">
            <v>0.68995633187772931</v>
          </cell>
          <cell r="U243">
            <v>0.70305676855895194</v>
          </cell>
          <cell r="V243">
            <v>0.72707423580786024</v>
          </cell>
          <cell r="AC243">
            <v>0.23362445414847161</v>
          </cell>
          <cell r="AD243">
            <v>0.30786026200873362</v>
          </cell>
          <cell r="AE243">
            <v>0.35371179039301309</v>
          </cell>
          <cell r="AF243">
            <v>0.41484716157205243</v>
          </cell>
          <cell r="AM243">
            <v>0.71615720524017468</v>
          </cell>
          <cell r="AN243">
            <v>0.68777292576419213</v>
          </cell>
          <cell r="AO243">
            <v>0.83406113537117899</v>
          </cell>
          <cell r="AP243">
            <v>0.73799126637554591</v>
          </cell>
          <cell r="AW243">
            <v>0.44978165938864628</v>
          </cell>
          <cell r="AX243">
            <v>0.49563318777292575</v>
          </cell>
          <cell r="AY243">
            <v>0.56986899563318782</v>
          </cell>
          <cell r="AZ243">
            <v>0.63100436681222705</v>
          </cell>
          <cell r="BG243">
            <v>0.68340611353711789</v>
          </cell>
          <cell r="BH243">
            <v>0.17685589519650655</v>
          </cell>
          <cell r="BI243">
            <v>0.90829694323144106</v>
          </cell>
          <cell r="BJ243">
            <v>0.84279475982532748</v>
          </cell>
          <cell r="BQ243">
            <v>0.20742358078602621</v>
          </cell>
          <cell r="BR243">
            <v>0.26419213973799127</v>
          </cell>
          <cell r="BS243">
            <v>0.57860262008733621</v>
          </cell>
          <cell r="BT243">
            <v>0.31222707423580787</v>
          </cell>
          <cell r="BX243">
            <v>0.52838427947598254</v>
          </cell>
          <cell r="CJ243">
            <v>0.51091703056768556</v>
          </cell>
          <cell r="CK243">
            <v>0.24890829694323144</v>
          </cell>
        </row>
        <row r="244">
          <cell r="A244" t="str">
            <v>Leon Draisaitl</v>
          </cell>
          <cell r="B244" t="str">
            <v>EDM</v>
          </cell>
          <cell r="I244">
            <v>0.82751091703056767</v>
          </cell>
          <cell r="J244">
            <v>0.79475982532751088</v>
          </cell>
          <cell r="K244">
            <v>0.92576419213973804</v>
          </cell>
          <cell r="L244">
            <v>0.86899563318777295</v>
          </cell>
          <cell r="S244">
            <v>0.67685589519650657</v>
          </cell>
          <cell r="T244">
            <v>0.94541484716157209</v>
          </cell>
          <cell r="U244">
            <v>0.99563318777292575</v>
          </cell>
          <cell r="V244">
            <v>0.91048034934497812</v>
          </cell>
          <cell r="AC244">
            <v>0.35152838427947597</v>
          </cell>
          <cell r="AD244">
            <v>0.43231441048034935</v>
          </cell>
          <cell r="AE244">
            <v>0.1091703056768559</v>
          </cell>
          <cell r="AF244">
            <v>0.23580786026200873</v>
          </cell>
          <cell r="AM244">
            <v>0.81004366812227069</v>
          </cell>
          <cell r="AN244">
            <v>0.56550218340611358</v>
          </cell>
          <cell r="AO244">
            <v>0.888646288209607</v>
          </cell>
          <cell r="AP244">
            <v>0.76419213973799127</v>
          </cell>
          <cell r="AW244">
            <v>9.606986899563319E-2</v>
          </cell>
          <cell r="AX244">
            <v>9.1703056768558958E-2</v>
          </cell>
          <cell r="AY244">
            <v>1.7467248908296942E-2</v>
          </cell>
          <cell r="AZ244">
            <v>8.0786026200873357E-2</v>
          </cell>
          <cell r="BG244">
            <v>0.99344978165938869</v>
          </cell>
          <cell r="BH244">
            <v>0.66593886462882101</v>
          </cell>
          <cell r="BI244">
            <v>0.83842794759825323</v>
          </cell>
          <cell r="BJ244">
            <v>0.42794759825327511</v>
          </cell>
          <cell r="BQ244">
            <v>0.6506550218340611</v>
          </cell>
          <cell r="BR244">
            <v>0.72270742358078599</v>
          </cell>
          <cell r="BS244">
            <v>0.56550218340611358</v>
          </cell>
          <cell r="BT244">
            <v>0.71615720524017468</v>
          </cell>
          <cell r="BX244">
            <v>0.6746724890829694</v>
          </cell>
          <cell r="CJ244">
            <v>0.80786026200873362</v>
          </cell>
          <cell r="CK244">
            <v>0.5633187772925764</v>
          </cell>
        </row>
        <row r="245">
          <cell r="A245" t="str">
            <v>Liam Foudy</v>
          </cell>
          <cell r="B245" t="str">
            <v>CBJ</v>
          </cell>
          <cell r="I245">
            <v>0.21615720524017468</v>
          </cell>
          <cell r="J245">
            <v>0.19213973799126638</v>
          </cell>
          <cell r="K245">
            <v>0.11353711790393013</v>
          </cell>
          <cell r="L245">
            <v>0.12882096069868995</v>
          </cell>
          <cell r="S245">
            <v>0.44323144104803491</v>
          </cell>
          <cell r="T245">
            <v>0.1943231441048035</v>
          </cell>
          <cell r="U245">
            <v>0.49563318777292575</v>
          </cell>
          <cell r="V245">
            <v>0.23144104803493451</v>
          </cell>
          <cell r="AC245">
            <v>4.8034934497816595E-2</v>
          </cell>
          <cell r="AD245">
            <v>0.17685589519650655</v>
          </cell>
          <cell r="AE245">
            <v>4.3668122270742356E-3</v>
          </cell>
          <cell r="AF245">
            <v>0.12663755458515283</v>
          </cell>
          <cell r="AM245">
            <v>0.43013100436681223</v>
          </cell>
          <cell r="AN245">
            <v>0.44759825327510916</v>
          </cell>
          <cell r="AO245">
            <v>0.28820960698689957</v>
          </cell>
          <cell r="AP245">
            <v>0.28602620087336245</v>
          </cell>
          <cell r="AW245">
            <v>0.34061135371179041</v>
          </cell>
          <cell r="AX245">
            <v>0.51746724890829698</v>
          </cell>
          <cell r="AY245">
            <v>2.1834061135371178E-2</v>
          </cell>
          <cell r="AZ245">
            <v>0.48034934497816595</v>
          </cell>
          <cell r="BG245">
            <v>0.26200873362445415</v>
          </cell>
          <cell r="BH245">
            <v>0.27074235807860264</v>
          </cell>
          <cell r="BI245">
            <v>0.13973799126637554</v>
          </cell>
          <cell r="BJ245">
            <v>1.5283842794759825E-2</v>
          </cell>
          <cell r="BQ245">
            <v>8.0786026200873357E-2</v>
          </cell>
          <cell r="BR245">
            <v>0.16157205240174671</v>
          </cell>
          <cell r="BS245">
            <v>1.9650655021834062E-2</v>
          </cell>
          <cell r="BT245">
            <v>8.0786026200873357E-2</v>
          </cell>
          <cell r="BX245">
            <v>8.0786026200873357E-2</v>
          </cell>
          <cell r="CJ245">
            <v>0.89956331877729256</v>
          </cell>
          <cell r="CK245">
            <v>0.45851528384279477</v>
          </cell>
        </row>
        <row r="246">
          <cell r="A246" t="str">
            <v>Liam O'Brien</v>
          </cell>
          <cell r="B246" t="str">
            <v>ARI</v>
          </cell>
          <cell r="I246">
            <v>4.3668122270742356E-3</v>
          </cell>
          <cell r="J246">
            <v>2.1834061135371178E-2</v>
          </cell>
          <cell r="K246">
            <v>9.8253275109170299E-2</v>
          </cell>
          <cell r="L246">
            <v>1.3100436681222707E-2</v>
          </cell>
          <cell r="S246">
            <v>7.8602620087336247E-2</v>
          </cell>
          <cell r="T246">
            <v>0.2816593886462882</v>
          </cell>
          <cell r="U246">
            <v>0.31004366812227074</v>
          </cell>
          <cell r="V246">
            <v>0.11572052401746726</v>
          </cell>
          <cell r="AC246">
            <v>0.32532751091703055</v>
          </cell>
          <cell r="AD246">
            <v>0.38209606986899564</v>
          </cell>
          <cell r="AE246">
            <v>0.59606986899563319</v>
          </cell>
          <cell r="AF246">
            <v>0.65502183406113534</v>
          </cell>
          <cell r="AM246">
            <v>3.2751091703056769E-2</v>
          </cell>
          <cell r="AN246">
            <v>0.15502183406113537</v>
          </cell>
          <cell r="AO246">
            <v>0.13973799126637554</v>
          </cell>
          <cell r="AP246">
            <v>0.10480349344978165</v>
          </cell>
          <cell r="AW246">
            <v>0.66375545851528384</v>
          </cell>
          <cell r="AX246">
            <v>0.60480349344978168</v>
          </cell>
          <cell r="AY246">
            <v>0.88427947598253276</v>
          </cell>
          <cell r="AZ246">
            <v>0.89519650655021832</v>
          </cell>
          <cell r="BG246">
            <v>0.19213973799126638</v>
          </cell>
          <cell r="BH246">
            <v>0.18122270742358079</v>
          </cell>
          <cell r="BI246">
            <v>0.47161572052401746</v>
          </cell>
          <cell r="BJ246">
            <v>0.64628820960698685</v>
          </cell>
          <cell r="BQ246">
            <v>1.9650655021834062E-2</v>
          </cell>
          <cell r="BR246">
            <v>3.7117903930131008E-2</v>
          </cell>
          <cell r="BS246">
            <v>0.17467248908296942</v>
          </cell>
          <cell r="BT246">
            <v>5.458515283842795E-2</v>
          </cell>
          <cell r="BX246">
            <v>6.1135371179039298E-2</v>
          </cell>
          <cell r="CJ246">
            <v>4.3668122270742356E-3</v>
          </cell>
          <cell r="CK246">
            <v>0.96943231441048039</v>
          </cell>
        </row>
        <row r="247">
          <cell r="A247" t="str">
            <v>Logan Brown</v>
          </cell>
          <cell r="B247" t="str">
            <v>STL</v>
          </cell>
          <cell r="I247">
            <v>1.9650655021834062E-2</v>
          </cell>
          <cell r="J247">
            <v>1.0917030567685589E-2</v>
          </cell>
          <cell r="K247">
            <v>0.10698689956331878</v>
          </cell>
          <cell r="L247">
            <v>8.7336244541484712E-3</v>
          </cell>
          <cell r="S247">
            <v>0.18340611353711792</v>
          </cell>
          <cell r="T247">
            <v>0.40393013100436681</v>
          </cell>
          <cell r="U247">
            <v>0.32751091703056767</v>
          </cell>
          <cell r="V247">
            <v>0.24454148471615719</v>
          </cell>
          <cell r="AC247">
            <v>0.45414847161572053</v>
          </cell>
          <cell r="AD247">
            <v>0.53493449781659386</v>
          </cell>
          <cell r="AE247">
            <v>0.48908296943231439</v>
          </cell>
          <cell r="AF247">
            <v>0.71834061135371174</v>
          </cell>
          <cell r="AM247">
            <v>9.1703056768558958E-2</v>
          </cell>
          <cell r="AN247">
            <v>0.12445414847161572</v>
          </cell>
          <cell r="AO247">
            <v>0.21179039301310043</v>
          </cell>
          <cell r="AP247">
            <v>7.6419213973799124E-2</v>
          </cell>
          <cell r="AW247">
            <v>0.77292576419213976</v>
          </cell>
          <cell r="AX247">
            <v>0.5633187772925764</v>
          </cell>
          <cell r="AY247">
            <v>0.86026200873362446</v>
          </cell>
          <cell r="AZ247">
            <v>0.91048034934497812</v>
          </cell>
          <cell r="BG247">
            <v>9.3886462882096067E-2</v>
          </cell>
          <cell r="BH247">
            <v>0.81441048034934493</v>
          </cell>
          <cell r="BI247">
            <v>0.26200873362445415</v>
          </cell>
          <cell r="BJ247">
            <v>0.3056768558951965</v>
          </cell>
          <cell r="BQ247">
            <v>6.5502183406113537E-2</v>
          </cell>
          <cell r="BR247">
            <v>4.148471615720524E-2</v>
          </cell>
          <cell r="BS247">
            <v>0.14410480349344978</v>
          </cell>
          <cell r="BT247">
            <v>4.8034934497816595E-2</v>
          </cell>
          <cell r="BX247">
            <v>0.1331877729257642</v>
          </cell>
          <cell r="CJ247">
            <v>0.40393013100436681</v>
          </cell>
          <cell r="CK247">
            <v>0.26637554585152839</v>
          </cell>
        </row>
        <row r="248">
          <cell r="A248" t="str">
            <v>Logan Couture</v>
          </cell>
          <cell r="B248" t="str">
            <v>S.J</v>
          </cell>
          <cell r="I248">
            <v>0.36899563318777295</v>
          </cell>
          <cell r="J248">
            <v>0.85152838427947597</v>
          </cell>
          <cell r="K248">
            <v>0.73144104803493448</v>
          </cell>
          <cell r="L248">
            <v>0.78384279475982532</v>
          </cell>
          <cell r="S248">
            <v>0.69213973799126638</v>
          </cell>
          <cell r="T248">
            <v>0.78602620087336239</v>
          </cell>
          <cell r="U248">
            <v>0.74235807860262004</v>
          </cell>
          <cell r="V248">
            <v>0.79475982532751088</v>
          </cell>
          <cell r="AC248">
            <v>0.36681222707423583</v>
          </cell>
          <cell r="AD248">
            <v>0.57641921397379914</v>
          </cell>
          <cell r="AE248">
            <v>5.0218340611353711E-2</v>
          </cell>
          <cell r="AF248">
            <v>0.32532751091703055</v>
          </cell>
          <cell r="AM248">
            <v>0.45196506550218341</v>
          </cell>
          <cell r="AN248">
            <v>0.64628820960698685</v>
          </cell>
          <cell r="AO248">
            <v>0.77510917030567683</v>
          </cell>
          <cell r="AP248">
            <v>0.63755458515283847</v>
          </cell>
          <cell r="AW248">
            <v>0.50436681222707425</v>
          </cell>
          <cell r="AX248">
            <v>0.71615720524017468</v>
          </cell>
          <cell r="AY248">
            <v>0.23144104803493451</v>
          </cell>
          <cell r="AZ248">
            <v>0.49563318777292575</v>
          </cell>
          <cell r="BG248">
            <v>0.611353711790393</v>
          </cell>
          <cell r="BH248">
            <v>0.3296943231441048</v>
          </cell>
          <cell r="BI248">
            <v>0.86462882096069871</v>
          </cell>
          <cell r="BJ248">
            <v>0.25982532751091703</v>
          </cell>
          <cell r="BQ248">
            <v>0.35152838427947597</v>
          </cell>
          <cell r="BR248">
            <v>0.83406113537117899</v>
          </cell>
          <cell r="BS248">
            <v>0.29694323144104806</v>
          </cell>
          <cell r="BT248">
            <v>0.62445414847161573</v>
          </cell>
          <cell r="BX248">
            <v>0.58296943231441045</v>
          </cell>
          <cell r="CJ248">
            <v>0.888646288209607</v>
          </cell>
          <cell r="CK248">
            <v>5.458515283842795E-2</v>
          </cell>
        </row>
        <row r="249">
          <cell r="A249" t="str">
            <v>Logan O'Connor</v>
          </cell>
          <cell r="B249" t="str">
            <v>COL</v>
          </cell>
          <cell r="I249">
            <v>0.17685589519650655</v>
          </cell>
          <cell r="J249">
            <v>0.20524017467248909</v>
          </cell>
          <cell r="K249">
            <v>0.37991266375545851</v>
          </cell>
          <cell r="L249">
            <v>0.11353711790393013</v>
          </cell>
          <cell r="S249">
            <v>0.1965065502183406</v>
          </cell>
          <cell r="T249">
            <v>0.55021834061135366</v>
          </cell>
          <cell r="U249">
            <v>0.65938864628820959</v>
          </cell>
          <cell r="V249">
            <v>0.34497816593886466</v>
          </cell>
          <cell r="AC249">
            <v>0.76200873362445409</v>
          </cell>
          <cell r="AD249">
            <v>0.64192139737991272</v>
          </cell>
          <cell r="AE249">
            <v>0.94323144104803491</v>
          </cell>
          <cell r="AF249">
            <v>0.85371179039301315</v>
          </cell>
          <cell r="AM249">
            <v>3.9301310043668124E-2</v>
          </cell>
          <cell r="AN249">
            <v>0.17903930131004367</v>
          </cell>
          <cell r="AO249">
            <v>0.31877729257641924</v>
          </cell>
          <cell r="AP249">
            <v>6.768558951965066E-2</v>
          </cell>
          <cell r="AW249">
            <v>0.76637554585152834</v>
          </cell>
          <cell r="AX249">
            <v>0.62445414847161573</v>
          </cell>
          <cell r="AY249">
            <v>0.90174672489082974</v>
          </cell>
          <cell r="AZ249">
            <v>0.76200873362445409</v>
          </cell>
          <cell r="BG249">
            <v>0.46288209606986902</v>
          </cell>
          <cell r="BH249">
            <v>8.9519650655021835E-2</v>
          </cell>
          <cell r="BI249">
            <v>0.54148471615720528</v>
          </cell>
          <cell r="BJ249">
            <v>0.89301310043668125</v>
          </cell>
          <cell r="BQ249">
            <v>0.39082969432314413</v>
          </cell>
          <cell r="BR249">
            <v>0.3296943231441048</v>
          </cell>
          <cell r="BS249">
            <v>0.86462882096069871</v>
          </cell>
          <cell r="BT249">
            <v>0.35807860262008734</v>
          </cell>
          <cell r="BX249">
            <v>0.25982532751091703</v>
          </cell>
          <cell r="CJ249">
            <v>0.27292576419213976</v>
          </cell>
          <cell r="CK249">
            <v>0.53056768558951961</v>
          </cell>
        </row>
        <row r="250">
          <cell r="A250" t="str">
            <v>Lucas Raymond</v>
          </cell>
          <cell r="B250" t="str">
            <v>DET</v>
          </cell>
          <cell r="I250">
            <v>0.15283842794759825</v>
          </cell>
          <cell r="J250">
            <v>0.22489082969432314</v>
          </cell>
          <cell r="K250">
            <v>0.25109170305676853</v>
          </cell>
          <cell r="L250">
            <v>0.14410480349344978</v>
          </cell>
          <cell r="S250">
            <v>0.42358078602620086</v>
          </cell>
          <cell r="T250">
            <v>0.18777292576419213</v>
          </cell>
          <cell r="U250">
            <v>0.17903930131004367</v>
          </cell>
          <cell r="V250">
            <v>0.22270742358078602</v>
          </cell>
          <cell r="AC250">
            <v>0.30131004366812225</v>
          </cell>
          <cell r="AD250">
            <v>0.1091703056768559</v>
          </cell>
          <cell r="AE250">
            <v>0.21615720524017468</v>
          </cell>
          <cell r="AF250">
            <v>0.17685589519650655</v>
          </cell>
          <cell r="AM250">
            <v>0.49781659388646288</v>
          </cell>
          <cell r="AN250">
            <v>0.60043668122270744</v>
          </cell>
          <cell r="AO250">
            <v>0.45414847161572053</v>
          </cell>
          <cell r="AP250">
            <v>0.45196506550218341</v>
          </cell>
          <cell r="AW250">
            <v>0.18777292576419213</v>
          </cell>
          <cell r="AX250">
            <v>5.458515283842795E-2</v>
          </cell>
          <cell r="AY250">
            <v>0.38427947598253276</v>
          </cell>
          <cell r="AZ250">
            <v>5.6768558951965066E-2</v>
          </cell>
          <cell r="BG250">
            <v>0.70524017467248912</v>
          </cell>
          <cell r="BH250">
            <v>0.43013100436681223</v>
          </cell>
          <cell r="BI250">
            <v>0.3296943231441048</v>
          </cell>
          <cell r="BJ250">
            <v>0.2183406113537118</v>
          </cell>
          <cell r="BQ250">
            <v>0.17467248908296942</v>
          </cell>
          <cell r="BR250">
            <v>0.11790393013100436</v>
          </cell>
          <cell r="BS250">
            <v>0.16157205240174671</v>
          </cell>
          <cell r="BT250">
            <v>0.11790393013100436</v>
          </cell>
          <cell r="BX250">
            <v>8.7336244541484712E-2</v>
          </cell>
          <cell r="CJ250">
            <v>0.74672489082969429</v>
          </cell>
          <cell r="CK250">
            <v>0.81004366812227069</v>
          </cell>
        </row>
        <row r="251">
          <cell r="A251" t="str">
            <v>Lukas Reichel</v>
          </cell>
          <cell r="B251" t="str">
            <v>CHI</v>
          </cell>
          <cell r="I251">
            <v>0.18995633187772926</v>
          </cell>
          <cell r="J251">
            <v>0.10698689956331878</v>
          </cell>
          <cell r="K251">
            <v>0.64192139737991272</v>
          </cell>
          <cell r="L251">
            <v>0.18777292576419213</v>
          </cell>
          <cell r="S251">
            <v>0.81659388646288211</v>
          </cell>
          <cell r="T251">
            <v>0.36026200873362446</v>
          </cell>
          <cell r="U251">
            <v>0.55458515283842791</v>
          </cell>
          <cell r="V251">
            <v>0.60698689956331875</v>
          </cell>
          <cell r="AC251">
            <v>5.6768558951965066E-2</v>
          </cell>
          <cell r="AD251">
            <v>0.41484716157205243</v>
          </cell>
          <cell r="AE251">
            <v>0.16157205240174671</v>
          </cell>
          <cell r="AF251">
            <v>0.4606986899563319</v>
          </cell>
          <cell r="AM251">
            <v>0.59606986899563319</v>
          </cell>
          <cell r="AN251">
            <v>0.54585152838427953</v>
          </cell>
          <cell r="AO251">
            <v>0.89519650655021832</v>
          </cell>
          <cell r="AP251">
            <v>0.55895196506550215</v>
          </cell>
          <cell r="AW251">
            <v>3.0567685589519649E-2</v>
          </cell>
          <cell r="AX251">
            <v>0.53711790393013104</v>
          </cell>
          <cell r="AY251">
            <v>0.13755458515283842</v>
          </cell>
          <cell r="AZ251">
            <v>0.5873362445414847</v>
          </cell>
          <cell r="BG251">
            <v>0.72052401746724892</v>
          </cell>
          <cell r="BH251">
            <v>0.75764192139737996</v>
          </cell>
          <cell r="BI251">
            <v>0.86244541484716153</v>
          </cell>
          <cell r="BJ251">
            <v>0.73580786026200873</v>
          </cell>
          <cell r="BQ251">
            <v>6.9868995633187769E-2</v>
          </cell>
          <cell r="BR251">
            <v>0.17685589519650655</v>
          </cell>
          <cell r="BS251">
            <v>0.36899563318777295</v>
          </cell>
          <cell r="BT251">
            <v>0.2423580786026201</v>
          </cell>
          <cell r="BX251">
            <v>0.24890829694323144</v>
          </cell>
          <cell r="CJ251">
            <v>0.61572052401746724</v>
          </cell>
          <cell r="CK251">
            <v>7.6419213973799124E-2</v>
          </cell>
        </row>
        <row r="252">
          <cell r="A252" t="str">
            <v>Lukas Sedlak</v>
          </cell>
          <cell r="B252" t="str">
            <v>COL, PHI</v>
          </cell>
          <cell r="I252">
            <v>0.37117903930131002</v>
          </cell>
          <cell r="J252">
            <v>0.52620087336244536</v>
          </cell>
          <cell r="K252">
            <v>0.30349344978165937</v>
          </cell>
          <cell r="L252">
            <v>0.38427947598253276</v>
          </cell>
          <cell r="S252">
            <v>0.37991266375545851</v>
          </cell>
          <cell r="T252">
            <v>0.36026200873362446</v>
          </cell>
          <cell r="U252">
            <v>0.55458515283842791</v>
          </cell>
          <cell r="V252">
            <v>0.32096069868995636</v>
          </cell>
          <cell r="AC252">
            <v>0.91703056768558955</v>
          </cell>
          <cell r="AD252">
            <v>0.98908296943231444</v>
          </cell>
          <cell r="AE252">
            <v>0.91703056768558955</v>
          </cell>
          <cell r="AF252">
            <v>0.92139737991266379</v>
          </cell>
          <cell r="AM252">
            <v>0.37336244541484714</v>
          </cell>
          <cell r="AN252">
            <v>0.89082969432314407</v>
          </cell>
          <cell r="AO252">
            <v>0.65283842794759828</v>
          </cell>
          <cell r="AP252">
            <v>0.76419213973799127</v>
          </cell>
          <cell r="AW252">
            <v>0.95851528384279472</v>
          </cell>
          <cell r="AX252">
            <v>0.99344978165938869</v>
          </cell>
          <cell r="AY252">
            <v>0.79475982532751088</v>
          </cell>
          <cell r="AZ252">
            <v>0.93231441048034935</v>
          </cell>
          <cell r="BG252">
            <v>0.16375545851528384</v>
          </cell>
          <cell r="BH252">
            <v>0.23799126637554585</v>
          </cell>
          <cell r="BI252">
            <v>0.28602620087336245</v>
          </cell>
          <cell r="BJ252">
            <v>0.59388646288209612</v>
          </cell>
          <cell r="BQ252">
            <v>0.6746724890829694</v>
          </cell>
          <cell r="BR252">
            <v>0.8973799126637555</v>
          </cell>
          <cell r="BS252">
            <v>0.73799126637554591</v>
          </cell>
          <cell r="BT252">
            <v>0.72052401746724892</v>
          </cell>
          <cell r="BX252">
            <v>0.73144104803493448</v>
          </cell>
          <cell r="CJ252">
            <v>0.21615720524017468</v>
          </cell>
          <cell r="CK252">
            <v>0.71179039301310043</v>
          </cell>
        </row>
        <row r="253">
          <cell r="A253" t="str">
            <v>Luke Evangelista</v>
          </cell>
          <cell r="B253" t="str">
            <v>NSH</v>
          </cell>
          <cell r="I253">
            <v>0.34716157205240172</v>
          </cell>
          <cell r="J253">
            <v>0.50655021834061131</v>
          </cell>
          <cell r="K253">
            <v>0.94978165938864634</v>
          </cell>
          <cell r="L253">
            <v>0.4366812227074236</v>
          </cell>
          <cell r="S253">
            <v>0.96943231441048039</v>
          </cell>
          <cell r="T253">
            <v>0.56986899563318782</v>
          </cell>
          <cell r="U253">
            <v>0.79912663755458513</v>
          </cell>
          <cell r="V253">
            <v>0.90174672489082974</v>
          </cell>
          <cell r="AC253">
            <v>5.458515283842795E-2</v>
          </cell>
          <cell r="AD253">
            <v>5.458515283842795E-2</v>
          </cell>
          <cell r="AE253">
            <v>0.72489082969432317</v>
          </cell>
          <cell r="AF253">
            <v>3.4934497816593885E-2</v>
          </cell>
          <cell r="AM253">
            <v>0.92794759825327511</v>
          </cell>
          <cell r="AN253">
            <v>0.90174672489082974</v>
          </cell>
          <cell r="AO253">
            <v>1</v>
          </cell>
          <cell r="AP253">
            <v>0.92139737991266379</v>
          </cell>
          <cell r="AW253">
            <v>0.25545851528384278</v>
          </cell>
          <cell r="AX253">
            <v>7.4235807860262015E-2</v>
          </cell>
          <cell r="AY253">
            <v>0.70524017467248912</v>
          </cell>
          <cell r="AZ253">
            <v>0.15720524017467249</v>
          </cell>
          <cell r="BG253">
            <v>0.58078602620087338</v>
          </cell>
          <cell r="BH253">
            <v>0.98908296943231444</v>
          </cell>
          <cell r="BI253">
            <v>0.98689956331877726</v>
          </cell>
          <cell r="BJ253">
            <v>0.99344978165938869</v>
          </cell>
          <cell r="BQ253">
            <v>0.1091703056768559</v>
          </cell>
          <cell r="BR253">
            <v>0.20960698689956331</v>
          </cell>
          <cell r="BS253">
            <v>0.93449781659388642</v>
          </cell>
          <cell r="BT253">
            <v>0.16375545851528384</v>
          </cell>
          <cell r="BX253">
            <v>0.51965065502183405</v>
          </cell>
          <cell r="CJ253">
            <v>0.611353711790393</v>
          </cell>
          <cell r="CK253">
            <v>0.81659388646288211</v>
          </cell>
        </row>
        <row r="254">
          <cell r="A254" t="str">
            <v>Luke Glendening</v>
          </cell>
          <cell r="B254" t="str">
            <v>DAL</v>
          </cell>
          <cell r="I254">
            <v>8.9519650655021835E-2</v>
          </cell>
          <cell r="J254">
            <v>0.20960698689956331</v>
          </cell>
          <cell r="K254">
            <v>1.3100436681222707E-2</v>
          </cell>
          <cell r="L254">
            <v>8.0786026200873357E-2</v>
          </cell>
          <cell r="S254">
            <v>1.5283842794759825E-2</v>
          </cell>
          <cell r="T254">
            <v>1.9650655021834062E-2</v>
          </cell>
          <cell r="U254">
            <v>2.1834061135371178E-3</v>
          </cell>
          <cell r="V254">
            <v>6.5502183406113534E-3</v>
          </cell>
          <cell r="AC254">
            <v>0.66812227074235808</v>
          </cell>
          <cell r="AD254">
            <v>0.75545851528384278</v>
          </cell>
          <cell r="AE254">
            <v>0.82969432314410485</v>
          </cell>
          <cell r="AF254">
            <v>0.62008733624454149</v>
          </cell>
          <cell r="AM254">
            <v>5.0218340611353711E-2</v>
          </cell>
          <cell r="AN254">
            <v>9.606986899563319E-2</v>
          </cell>
          <cell r="AO254">
            <v>8.7336244541484712E-3</v>
          </cell>
          <cell r="AP254">
            <v>5.0218340611353711E-2</v>
          </cell>
          <cell r="AW254">
            <v>0.63100436681222705</v>
          </cell>
          <cell r="AX254">
            <v>0.57641921397379914</v>
          </cell>
          <cell r="AY254">
            <v>0.55895196506550215</v>
          </cell>
          <cell r="AZ254">
            <v>0.4366812227074236</v>
          </cell>
          <cell r="BG254">
            <v>8.9519650655021835E-2</v>
          </cell>
          <cell r="BH254">
            <v>8.5152838427947602E-2</v>
          </cell>
          <cell r="BI254">
            <v>1.5283842794759825E-2</v>
          </cell>
          <cell r="BJ254">
            <v>6.3318777292576414E-2</v>
          </cell>
          <cell r="BQ254">
            <v>0.23799126637554585</v>
          </cell>
          <cell r="BR254">
            <v>0.38646288209606988</v>
          </cell>
          <cell r="BS254">
            <v>3.2751091703056769E-2</v>
          </cell>
          <cell r="BT254">
            <v>0.18122270742358079</v>
          </cell>
          <cell r="BX254">
            <v>6.3318777292576414E-2</v>
          </cell>
          <cell r="CJ254">
            <v>0.18558951965065501</v>
          </cell>
          <cell r="CK254">
            <v>0.81004366812227069</v>
          </cell>
        </row>
        <row r="255">
          <cell r="A255" t="str">
            <v>Luke Kunin</v>
          </cell>
          <cell r="B255" t="str">
            <v>S.J</v>
          </cell>
          <cell r="I255">
            <v>0.1943231441048035</v>
          </cell>
          <cell r="J255">
            <v>0.31222707423580787</v>
          </cell>
          <cell r="K255">
            <v>0.24672489082969432</v>
          </cell>
          <cell r="L255">
            <v>0.15283842794759825</v>
          </cell>
          <cell r="S255">
            <v>0.29694323144104806</v>
          </cell>
          <cell r="T255">
            <v>0.24890829694323144</v>
          </cell>
          <cell r="U255">
            <v>0.45851528384279477</v>
          </cell>
          <cell r="V255">
            <v>0.18122270742358079</v>
          </cell>
          <cell r="AC255">
            <v>0.20524017467248909</v>
          </cell>
          <cell r="AD255">
            <v>0.85152838427947597</v>
          </cell>
          <cell r="AE255">
            <v>0.13755458515283842</v>
          </cell>
          <cell r="AF255">
            <v>0.63755458515283847</v>
          </cell>
          <cell r="AM255">
            <v>0.1943231441048035</v>
          </cell>
          <cell r="AN255">
            <v>7.8602620087336247E-2</v>
          </cell>
          <cell r="AO255">
            <v>0.16157205240174671</v>
          </cell>
          <cell r="AP255">
            <v>8.7336244541484712E-2</v>
          </cell>
          <cell r="AW255">
            <v>7.8602620087336247E-2</v>
          </cell>
          <cell r="AX255">
            <v>0.43231441048034935</v>
          </cell>
          <cell r="AY255">
            <v>0.36244541484716158</v>
          </cell>
          <cell r="AZ255">
            <v>0.39956331877729256</v>
          </cell>
          <cell r="BG255">
            <v>0.36244541484716158</v>
          </cell>
          <cell r="BH255">
            <v>0.30349344978165937</v>
          </cell>
          <cell r="BI255">
            <v>0.34497816593886466</v>
          </cell>
          <cell r="BJ255">
            <v>0.2183406113537118</v>
          </cell>
          <cell r="BQ255">
            <v>0.15283842794759825</v>
          </cell>
          <cell r="BR255">
            <v>0.55021834061135366</v>
          </cell>
          <cell r="BS255">
            <v>0.11790393013100436</v>
          </cell>
          <cell r="BT255">
            <v>0.29039301310043669</v>
          </cell>
          <cell r="BX255">
            <v>9.8253275109170299E-2</v>
          </cell>
          <cell r="CJ255">
            <v>5.6768558951965066E-2</v>
          </cell>
          <cell r="CK255">
            <v>0.71179039301310043</v>
          </cell>
        </row>
        <row r="256">
          <cell r="A256" t="str">
            <v>MacKenzie Entwistle</v>
          </cell>
          <cell r="B256" t="str">
            <v>CHI</v>
          </cell>
          <cell r="I256">
            <v>1.0917030567685589E-2</v>
          </cell>
          <cell r="J256">
            <v>6.5502183406113534E-3</v>
          </cell>
          <cell r="K256">
            <v>5.8951965065502182E-2</v>
          </cell>
          <cell r="L256">
            <v>2.1834061135371178E-3</v>
          </cell>
          <cell r="S256">
            <v>6.3318777292576414E-2</v>
          </cell>
          <cell r="T256">
            <v>7.4235807860262015E-2</v>
          </cell>
          <cell r="U256">
            <v>3.0567685589519649E-2</v>
          </cell>
          <cell r="V256">
            <v>3.7117903930131008E-2</v>
          </cell>
          <cell r="AC256">
            <v>0.4759825327510917</v>
          </cell>
          <cell r="AD256">
            <v>0.82096069868995636</v>
          </cell>
          <cell r="AE256">
            <v>0.41484716157205243</v>
          </cell>
          <cell r="AF256">
            <v>0.74454148471615722</v>
          </cell>
          <cell r="AM256">
            <v>0.10043668122270742</v>
          </cell>
          <cell r="AN256">
            <v>6.3318777292576414E-2</v>
          </cell>
          <cell r="AO256">
            <v>0.25327510917030566</v>
          </cell>
          <cell r="AP256">
            <v>5.8951965065502182E-2</v>
          </cell>
          <cell r="AW256">
            <v>0.89956331877729256</v>
          </cell>
          <cell r="AX256">
            <v>0.96506550218340614</v>
          </cell>
          <cell r="AY256">
            <v>0.82751091703056767</v>
          </cell>
          <cell r="AZ256">
            <v>0.96288209606986896</v>
          </cell>
          <cell r="BG256">
            <v>0.18122270742358079</v>
          </cell>
          <cell r="BH256">
            <v>7.8602620087336247E-2</v>
          </cell>
          <cell r="BI256">
            <v>0.17467248908296942</v>
          </cell>
          <cell r="BJ256">
            <v>0.23799126637554585</v>
          </cell>
          <cell r="BQ256">
            <v>5.8951965065502182E-2</v>
          </cell>
          <cell r="BR256">
            <v>5.2401746724890827E-2</v>
          </cell>
          <cell r="BS256">
            <v>7.6419213973799124E-2</v>
          </cell>
          <cell r="BT256">
            <v>2.8384279475982533E-2</v>
          </cell>
          <cell r="BX256">
            <v>8.5152838427947602E-2</v>
          </cell>
          <cell r="CJ256">
            <v>0.59170305676855894</v>
          </cell>
          <cell r="CK256">
            <v>0.44323144104803491</v>
          </cell>
        </row>
        <row r="257">
          <cell r="A257" t="str">
            <v>Marco Rossi</v>
          </cell>
          <cell r="B257" t="str">
            <v>MIN</v>
          </cell>
          <cell r="I257">
            <v>0.27292576419213976</v>
          </cell>
          <cell r="J257">
            <v>0.19213973799126638</v>
          </cell>
          <cell r="K257">
            <v>1.0917030567685589E-2</v>
          </cell>
          <cell r="L257">
            <v>8.296943231441048E-2</v>
          </cell>
          <cell r="S257">
            <v>2.1834061135371178E-3</v>
          </cell>
          <cell r="T257">
            <v>4.3668122270742356E-2</v>
          </cell>
          <cell r="U257">
            <v>0.16157205240174671</v>
          </cell>
          <cell r="V257">
            <v>1.0917030567685589E-2</v>
          </cell>
          <cell r="AC257">
            <v>0.3296943231441048</v>
          </cell>
          <cell r="AD257">
            <v>0.73144104803493448</v>
          </cell>
          <cell r="AE257">
            <v>0.44323144104803491</v>
          </cell>
          <cell r="AF257">
            <v>0.63755458515283847</v>
          </cell>
          <cell r="AM257">
            <v>0.34934497816593885</v>
          </cell>
          <cell r="AN257">
            <v>0.28602620087336245</v>
          </cell>
          <cell r="AO257">
            <v>1.9650655021834062E-2</v>
          </cell>
          <cell r="AP257">
            <v>0.14192139737991266</v>
          </cell>
          <cell r="AW257">
            <v>0.15502183406113537</v>
          </cell>
          <cell r="AX257">
            <v>0.24890829694323144</v>
          </cell>
          <cell r="AY257">
            <v>0.58515283842794763</v>
          </cell>
          <cell r="AZ257">
            <v>0.22707423580786026</v>
          </cell>
          <cell r="BG257">
            <v>0.27510917030567683</v>
          </cell>
          <cell r="BH257">
            <v>0.34279475982532753</v>
          </cell>
          <cell r="BI257">
            <v>1.3100436681222707E-2</v>
          </cell>
          <cell r="BJ257">
            <v>2.8384279475982533E-2</v>
          </cell>
          <cell r="BQ257">
            <v>0.26419213973799127</v>
          </cell>
          <cell r="BR257">
            <v>0.36462882096069871</v>
          </cell>
          <cell r="BS257">
            <v>8.7336244541484712E-3</v>
          </cell>
          <cell r="BT257">
            <v>0.19213973799126638</v>
          </cell>
          <cell r="BX257">
            <v>5.6768558951965066E-2</v>
          </cell>
          <cell r="CJ257">
            <v>0.22925764192139739</v>
          </cell>
          <cell r="CK257">
            <v>0.84061135371179041</v>
          </cell>
        </row>
        <row r="258">
          <cell r="A258" t="str">
            <v>Marcus Foligno</v>
          </cell>
          <cell r="B258" t="str">
            <v>MIN</v>
          </cell>
          <cell r="I258">
            <v>0.49781659388646288</v>
          </cell>
          <cell r="J258">
            <v>0.39519650655021832</v>
          </cell>
          <cell r="K258">
            <v>0.21179039301310043</v>
          </cell>
          <cell r="L258">
            <v>0.26419213973799127</v>
          </cell>
          <cell r="S258">
            <v>0.30786026200873362</v>
          </cell>
          <cell r="T258">
            <v>0.31877729257641924</v>
          </cell>
          <cell r="U258">
            <v>0.36244541484716158</v>
          </cell>
          <cell r="V258">
            <v>0.24454148471615719</v>
          </cell>
          <cell r="AC258">
            <v>0.51528384279475981</v>
          </cell>
          <cell r="AD258">
            <v>0.49781659388646288</v>
          </cell>
          <cell r="AE258">
            <v>0.78384279475982532</v>
          </cell>
          <cell r="AF258">
            <v>0.56550218340611358</v>
          </cell>
          <cell r="AM258">
            <v>0.48689956331877732</v>
          </cell>
          <cell r="AN258">
            <v>0.57205240174672489</v>
          </cell>
          <cell r="AO258">
            <v>0.35807860262008734</v>
          </cell>
          <cell r="AP258">
            <v>0.31659388646288211</v>
          </cell>
          <cell r="AW258">
            <v>0.4759825327510917</v>
          </cell>
          <cell r="AX258">
            <v>0.17467248908296942</v>
          </cell>
          <cell r="AY258">
            <v>0.56986899563318782</v>
          </cell>
          <cell r="AZ258">
            <v>0.39956331877729256</v>
          </cell>
          <cell r="BG258">
            <v>0.5393013100436681</v>
          </cell>
          <cell r="BH258">
            <v>0.14847161572052403</v>
          </cell>
          <cell r="BI258">
            <v>0.29475982532751094</v>
          </cell>
          <cell r="BJ258">
            <v>0.56550218340611358</v>
          </cell>
          <cell r="BQ258">
            <v>0.48689956331877732</v>
          </cell>
          <cell r="BR258">
            <v>0.39519650655021832</v>
          </cell>
          <cell r="BS258">
            <v>0.41484716157205243</v>
          </cell>
          <cell r="BT258">
            <v>0.34061135371179041</v>
          </cell>
          <cell r="BX258">
            <v>0.32096069868995636</v>
          </cell>
          <cell r="CJ258">
            <v>0.10043668122270742</v>
          </cell>
          <cell r="CK258">
            <v>0.85589519650655022</v>
          </cell>
        </row>
        <row r="259">
          <cell r="A259" t="str">
            <v>Marcus Johansson</v>
          </cell>
          <cell r="B259" t="str">
            <v>MIN, WSH</v>
          </cell>
          <cell r="I259">
            <v>0.69650655021834063</v>
          </cell>
          <cell r="J259">
            <v>0.43231441048034935</v>
          </cell>
          <cell r="K259">
            <v>0.65283842794759828</v>
          </cell>
          <cell r="L259">
            <v>0.67030567685589515</v>
          </cell>
          <cell r="S259">
            <v>0.53493449781659386</v>
          </cell>
          <cell r="T259">
            <v>0.30786026200873362</v>
          </cell>
          <cell r="U259">
            <v>0.42358078602620086</v>
          </cell>
          <cell r="V259">
            <v>0.35589519650655022</v>
          </cell>
          <cell r="AC259">
            <v>0.25327510917030566</v>
          </cell>
          <cell r="AD259">
            <v>0.77729257641921401</v>
          </cell>
          <cell r="AE259">
            <v>0.61353711790393017</v>
          </cell>
          <cell r="AF259">
            <v>0.5873362445414847</v>
          </cell>
          <cell r="AM259">
            <v>0.66375545851528384</v>
          </cell>
          <cell r="AN259">
            <v>0.39082969432314413</v>
          </cell>
          <cell r="AO259">
            <v>0.71834061135371174</v>
          </cell>
          <cell r="AP259">
            <v>0.65502183406113534</v>
          </cell>
          <cell r="AW259">
            <v>0.21179039301310043</v>
          </cell>
          <cell r="AX259">
            <v>0.72489082969432317</v>
          </cell>
          <cell r="AY259">
            <v>0.52620087336244536</v>
          </cell>
          <cell r="AZ259">
            <v>0.59825327510917026</v>
          </cell>
          <cell r="BG259">
            <v>0.49126637554585151</v>
          </cell>
          <cell r="BH259">
            <v>0.46943231441048033</v>
          </cell>
          <cell r="BI259">
            <v>0.51528384279475981</v>
          </cell>
          <cell r="BJ259">
            <v>0.72925764192139741</v>
          </cell>
          <cell r="BQ259">
            <v>0.49563318777292575</v>
          </cell>
          <cell r="BR259">
            <v>0.58078602620087338</v>
          </cell>
          <cell r="BS259">
            <v>0.68122270742358082</v>
          </cell>
          <cell r="BT259">
            <v>0.68340611353711789</v>
          </cell>
          <cell r="BX259">
            <v>0.55021834061135366</v>
          </cell>
          <cell r="CJ259">
            <v>0.91703056768558955</v>
          </cell>
          <cell r="CK259">
            <v>0.44323144104803491</v>
          </cell>
        </row>
        <row r="260">
          <cell r="A260" t="str">
            <v>Mark Jankowski</v>
          </cell>
          <cell r="B260" t="str">
            <v>NSH</v>
          </cell>
          <cell r="I260">
            <v>0.14192139737991266</v>
          </cell>
          <cell r="J260">
            <v>0.18777292576419213</v>
          </cell>
          <cell r="K260">
            <v>3.7117903930131008E-2</v>
          </cell>
          <cell r="L260">
            <v>9.3886462882096067E-2</v>
          </cell>
          <cell r="S260">
            <v>0.24454148471615719</v>
          </cell>
          <cell r="T260">
            <v>0.15938864628820962</v>
          </cell>
          <cell r="U260">
            <v>0.23144104803493451</v>
          </cell>
          <cell r="V260">
            <v>0.11790393013100436</v>
          </cell>
          <cell r="AC260">
            <v>0.19213973799126638</v>
          </cell>
          <cell r="AD260">
            <v>0.44323144104803491</v>
          </cell>
          <cell r="AE260">
            <v>0.94541484716157209</v>
          </cell>
          <cell r="AF260">
            <v>0.56550218340611358</v>
          </cell>
          <cell r="AM260">
            <v>0.44978165938864628</v>
          </cell>
          <cell r="AN260">
            <v>0.33187772925764192</v>
          </cell>
          <cell r="AO260">
            <v>0.20087336244541484</v>
          </cell>
          <cell r="AP260">
            <v>0.22925764192139739</v>
          </cell>
          <cell r="AW260">
            <v>0.55676855895196509</v>
          </cell>
          <cell r="AX260">
            <v>0.67030567685589515</v>
          </cell>
          <cell r="AY260">
            <v>0.90174672489082974</v>
          </cell>
          <cell r="AZ260">
            <v>0.86681222707423577</v>
          </cell>
          <cell r="BG260">
            <v>0.18558951965065501</v>
          </cell>
          <cell r="BH260">
            <v>3.0567685589519649E-2</v>
          </cell>
          <cell r="BI260">
            <v>4.3668122270742356E-2</v>
          </cell>
          <cell r="BJ260">
            <v>0.52183406113537123</v>
          </cell>
          <cell r="BQ260">
            <v>0.12008733624454149</v>
          </cell>
          <cell r="BR260">
            <v>0.22925764192139739</v>
          </cell>
          <cell r="BS260">
            <v>0.33842794759825329</v>
          </cell>
          <cell r="BT260">
            <v>0.18340611353711792</v>
          </cell>
          <cell r="BX260">
            <v>0.14847161572052403</v>
          </cell>
          <cell r="CJ260">
            <v>0.34934497816593885</v>
          </cell>
          <cell r="CK260">
            <v>0.23144104803493451</v>
          </cell>
        </row>
        <row r="261">
          <cell r="A261" t="str">
            <v>Mark Kastelic</v>
          </cell>
          <cell r="B261" t="str">
            <v>OTT</v>
          </cell>
          <cell r="I261">
            <v>0.41921397379912662</v>
          </cell>
          <cell r="J261">
            <v>0.37336244541484714</v>
          </cell>
          <cell r="K261">
            <v>0.21179039301310043</v>
          </cell>
          <cell r="L261">
            <v>0.3056768558951965</v>
          </cell>
          <cell r="S261">
            <v>0.67685589519650657</v>
          </cell>
          <cell r="T261">
            <v>8.9519650655021835E-2</v>
          </cell>
          <cell r="U261">
            <v>0.11572052401746726</v>
          </cell>
          <cell r="V261">
            <v>0.24017467248908297</v>
          </cell>
          <cell r="AC261">
            <v>0.62008733624454149</v>
          </cell>
          <cell r="AD261">
            <v>0.9366812227074236</v>
          </cell>
          <cell r="AE261">
            <v>0.42794759825327511</v>
          </cell>
          <cell r="AF261">
            <v>0.79912663755458513</v>
          </cell>
          <cell r="AM261">
            <v>0.10480349344978165</v>
          </cell>
          <cell r="AN261">
            <v>0.18777292576419213</v>
          </cell>
          <cell r="AO261">
            <v>0.3056768558951965</v>
          </cell>
          <cell r="AP261">
            <v>0.11353711790393013</v>
          </cell>
          <cell r="AW261">
            <v>0.49344978165938863</v>
          </cell>
          <cell r="AX261">
            <v>0.94104803493449785</v>
          </cell>
          <cell r="AY261">
            <v>0.73144104803493448</v>
          </cell>
          <cell r="AZ261">
            <v>0.81441048034934493</v>
          </cell>
          <cell r="BG261">
            <v>8.7336244541484712E-3</v>
          </cell>
          <cell r="BH261">
            <v>2.6200873362445413E-2</v>
          </cell>
          <cell r="BI261">
            <v>0.17248908296943233</v>
          </cell>
          <cell r="BJ261">
            <v>0.12663755458515283</v>
          </cell>
          <cell r="BQ261">
            <v>0.50655021834061131</v>
          </cell>
          <cell r="BR261">
            <v>0.71179039301310043</v>
          </cell>
          <cell r="BS261">
            <v>0.21179039301310043</v>
          </cell>
          <cell r="BT261">
            <v>0.54366812227074235</v>
          </cell>
          <cell r="BX261">
            <v>0.36244541484716158</v>
          </cell>
          <cell r="CJ261">
            <v>2.4017467248908297E-2</v>
          </cell>
          <cell r="CK261">
            <v>0.89082969432314407</v>
          </cell>
        </row>
        <row r="262">
          <cell r="A262" t="str">
            <v>Mark Scheifele</v>
          </cell>
          <cell r="B262" t="str">
            <v>WPG</v>
          </cell>
          <cell r="I262">
            <v>0.70742358078602618</v>
          </cell>
          <cell r="J262">
            <v>0.64628820960698685</v>
          </cell>
          <cell r="K262">
            <v>0.58296943231441045</v>
          </cell>
          <cell r="L262">
            <v>0.65283842794759828</v>
          </cell>
          <cell r="S262">
            <v>0.92139737991266379</v>
          </cell>
          <cell r="T262">
            <v>0.24454148471615719</v>
          </cell>
          <cell r="U262">
            <v>0.19868995633187772</v>
          </cell>
          <cell r="V262">
            <v>0.64410480349344978</v>
          </cell>
          <cell r="AC262">
            <v>0.20960698689956331</v>
          </cell>
          <cell r="AD262">
            <v>0.45414847161572053</v>
          </cell>
          <cell r="AE262">
            <v>0.4366812227074236</v>
          </cell>
          <cell r="AF262">
            <v>0.21179039301310043</v>
          </cell>
          <cell r="AM262">
            <v>0.6266375545851528</v>
          </cell>
          <cell r="AN262">
            <v>0.47816593886462883</v>
          </cell>
          <cell r="AO262">
            <v>0.69213973799126638</v>
          </cell>
          <cell r="AP262">
            <v>0.49344978165938863</v>
          </cell>
          <cell r="AW262">
            <v>3.4934497816593885E-2</v>
          </cell>
          <cell r="AX262">
            <v>0.26200873362445415</v>
          </cell>
          <cell r="AY262">
            <v>0.1331877729257642</v>
          </cell>
          <cell r="AZ262">
            <v>8.0786026200873357E-2</v>
          </cell>
          <cell r="BG262">
            <v>0.98689956331877726</v>
          </cell>
          <cell r="BH262">
            <v>0.88427947598253276</v>
          </cell>
          <cell r="BI262">
            <v>0.5633187772925764</v>
          </cell>
          <cell r="BJ262">
            <v>0.60698689956331875</v>
          </cell>
          <cell r="BQ262">
            <v>0.48253275109170307</v>
          </cell>
          <cell r="BR262">
            <v>0.55676855895196509</v>
          </cell>
          <cell r="BS262">
            <v>0.53711790393013104</v>
          </cell>
          <cell r="BT262">
            <v>0.42358078602620086</v>
          </cell>
          <cell r="BX262">
            <v>0.35371179039301309</v>
          </cell>
          <cell r="CJ262">
            <v>0.80786026200873362</v>
          </cell>
          <cell r="CK262">
            <v>0.6746724890829694</v>
          </cell>
        </row>
        <row r="263">
          <cell r="A263" t="str">
            <v>Mark Stone</v>
          </cell>
          <cell r="B263" t="str">
            <v>VGK</v>
          </cell>
          <cell r="I263">
            <v>0.79694323144104806</v>
          </cell>
          <cell r="J263">
            <v>0.84279475982532748</v>
          </cell>
          <cell r="K263">
            <v>0.89301310043668125</v>
          </cell>
          <cell r="L263">
            <v>0.86462882096069871</v>
          </cell>
          <cell r="S263">
            <v>0.83406113537117899</v>
          </cell>
          <cell r="T263">
            <v>0.77510917030567683</v>
          </cell>
          <cell r="U263">
            <v>0.76419213973799127</v>
          </cell>
          <cell r="V263">
            <v>0.87991266375545851</v>
          </cell>
          <cell r="AC263">
            <v>0.79475982532751088</v>
          </cell>
          <cell r="AD263">
            <v>0.94759825327510916</v>
          </cell>
          <cell r="AE263">
            <v>0.70742358078602618</v>
          </cell>
          <cell r="AF263">
            <v>0.93886462882096067</v>
          </cell>
          <cell r="AM263">
            <v>0.86244541484716153</v>
          </cell>
          <cell r="AN263">
            <v>0.87554585152838427</v>
          </cell>
          <cell r="AO263">
            <v>0.94978165938864634</v>
          </cell>
          <cell r="AP263">
            <v>0.88646288209606983</v>
          </cell>
          <cell r="AW263">
            <v>0.82096069868995636</v>
          </cell>
          <cell r="AX263">
            <v>0.76855895196506552</v>
          </cell>
          <cell r="AY263">
            <v>0.67903930131004364</v>
          </cell>
          <cell r="AZ263">
            <v>0.82969432314410485</v>
          </cell>
          <cell r="BG263">
            <v>0.91921397379912662</v>
          </cell>
          <cell r="BH263">
            <v>0.5873362445414847</v>
          </cell>
          <cell r="BI263">
            <v>0.8253275109170306</v>
          </cell>
          <cell r="BJ263">
            <v>0.80349344978165937</v>
          </cell>
          <cell r="BQ263">
            <v>0.84061135371179041</v>
          </cell>
          <cell r="BR263">
            <v>0.94541484716157209</v>
          </cell>
          <cell r="BS263">
            <v>0.89519650655021832</v>
          </cell>
          <cell r="BT263">
            <v>0.94323144104803491</v>
          </cell>
          <cell r="BX263">
            <v>0.98253275109170302</v>
          </cell>
          <cell r="CJ263">
            <v>0.888646288209607</v>
          </cell>
          <cell r="CK263">
            <v>0.40829694323144106</v>
          </cell>
        </row>
        <row r="264">
          <cell r="A264" t="str">
            <v>Martin Kaut</v>
          </cell>
          <cell r="B264" t="str">
            <v>COL, S.J</v>
          </cell>
          <cell r="I264">
            <v>0.29475982532751094</v>
          </cell>
          <cell r="J264">
            <v>0.33406113537117904</v>
          </cell>
          <cell r="K264">
            <v>0.31441048034934499</v>
          </cell>
          <cell r="L264">
            <v>0.33624454148471616</v>
          </cell>
          <cell r="S264">
            <v>0.33624454148471616</v>
          </cell>
          <cell r="T264">
            <v>0.29694323144104806</v>
          </cell>
          <cell r="U264">
            <v>7.8602620087336247E-2</v>
          </cell>
          <cell r="V264">
            <v>0.24454148471615719</v>
          </cell>
          <cell r="AC264">
            <v>0.57205240174672489</v>
          </cell>
          <cell r="AD264">
            <v>0.53493449781659386</v>
          </cell>
          <cell r="AE264">
            <v>0.48253275109170307</v>
          </cell>
          <cell r="AF264">
            <v>0.57860262008733621</v>
          </cell>
          <cell r="AM264">
            <v>8.9519650655021835E-2</v>
          </cell>
          <cell r="AN264">
            <v>0.16157205240174671</v>
          </cell>
          <cell r="AO264">
            <v>0.41048034934497818</v>
          </cell>
          <cell r="AP264">
            <v>0.23580786026200873</v>
          </cell>
          <cell r="AW264">
            <v>0.75764192139737996</v>
          </cell>
          <cell r="AX264">
            <v>0.68122270742358082</v>
          </cell>
          <cell r="AY264">
            <v>0.24017467248908297</v>
          </cell>
          <cell r="AZ264">
            <v>0.70960698689956336</v>
          </cell>
          <cell r="BG264">
            <v>6.1135371179039298E-2</v>
          </cell>
          <cell r="BH264">
            <v>0.32096069868995636</v>
          </cell>
          <cell r="BI264">
            <v>0.40174672489082969</v>
          </cell>
          <cell r="BJ264">
            <v>0.44323144104803491</v>
          </cell>
          <cell r="BQ264">
            <v>0.37117903930131002</v>
          </cell>
          <cell r="BR264">
            <v>0.38209606986899564</v>
          </cell>
          <cell r="BS264">
            <v>0.33842794759825329</v>
          </cell>
          <cell r="BT264">
            <v>0.39737991266375544</v>
          </cell>
          <cell r="BX264">
            <v>0.27729257641921395</v>
          </cell>
          <cell r="CJ264">
            <v>0.85807860262008728</v>
          </cell>
          <cell r="CK264">
            <v>0.53056768558951961</v>
          </cell>
        </row>
        <row r="265">
          <cell r="A265" t="str">
            <v>Martin Necas</v>
          </cell>
          <cell r="B265" t="str">
            <v>CAR</v>
          </cell>
          <cell r="I265">
            <v>0.94323144104803491</v>
          </cell>
          <cell r="J265">
            <v>0.77510917030567683</v>
          </cell>
          <cell r="K265">
            <v>0.83624454148471616</v>
          </cell>
          <cell r="L265">
            <v>0.83624454148471616</v>
          </cell>
          <cell r="S265">
            <v>0.54585152838427953</v>
          </cell>
          <cell r="T265">
            <v>0.69868995633187769</v>
          </cell>
          <cell r="U265">
            <v>0.93013100436681218</v>
          </cell>
          <cell r="V265">
            <v>0.63755458515283847</v>
          </cell>
          <cell r="AC265">
            <v>0.84061135371179041</v>
          </cell>
          <cell r="AD265">
            <v>0.6026200873362445</v>
          </cell>
          <cell r="AE265">
            <v>0.36462882096069871</v>
          </cell>
          <cell r="AF265">
            <v>0.71834061135371174</v>
          </cell>
          <cell r="AM265">
            <v>0.51091703056768556</v>
          </cell>
          <cell r="AN265">
            <v>0.23580786026200873</v>
          </cell>
          <cell r="AO265">
            <v>0.83187772925764192</v>
          </cell>
          <cell r="AP265">
            <v>0.34934497816593885</v>
          </cell>
          <cell r="AW265">
            <v>4.3668122270742356E-2</v>
          </cell>
          <cell r="AX265">
            <v>0.13100436681222707</v>
          </cell>
          <cell r="AY265">
            <v>4.5851528384279479E-2</v>
          </cell>
          <cell r="AZ265">
            <v>6.768558951965066E-2</v>
          </cell>
          <cell r="BG265">
            <v>0.86026200873362446</v>
          </cell>
          <cell r="BH265">
            <v>0.93013100436681218</v>
          </cell>
          <cell r="BI265">
            <v>0.65502183406113534</v>
          </cell>
          <cell r="BJ265">
            <v>0.388646288209607</v>
          </cell>
          <cell r="BQ265">
            <v>0.95196506550218341</v>
          </cell>
          <cell r="BR265">
            <v>0.75982532751091703</v>
          </cell>
          <cell r="BS265">
            <v>0.65502183406113534</v>
          </cell>
          <cell r="BT265">
            <v>0.85807860262008728</v>
          </cell>
          <cell r="BX265">
            <v>0.66812227074235808</v>
          </cell>
          <cell r="CJ265">
            <v>0.48689956331877732</v>
          </cell>
          <cell r="CK265">
            <v>0.68340611353711789</v>
          </cell>
        </row>
        <row r="266">
          <cell r="A266" t="str">
            <v>Mason Appleton</v>
          </cell>
          <cell r="B266" t="str">
            <v>WPG</v>
          </cell>
          <cell r="I266">
            <v>0.83187772925764192</v>
          </cell>
          <cell r="J266">
            <v>0.94104803493449785</v>
          </cell>
          <cell r="K266">
            <v>0.39519650655021832</v>
          </cell>
          <cell r="L266">
            <v>0.8973799126637555</v>
          </cell>
          <cell r="S266">
            <v>8.9519650655021835E-2</v>
          </cell>
          <cell r="T266">
            <v>0.56986899563318782</v>
          </cell>
          <cell r="U266">
            <v>0.36244541484716158</v>
          </cell>
          <cell r="V266">
            <v>0.28602620087336245</v>
          </cell>
          <cell r="AC266">
            <v>0.388646288209607</v>
          </cell>
          <cell r="AD266">
            <v>0.31441048034934499</v>
          </cell>
          <cell r="AE266">
            <v>0.69213973799126638</v>
          </cell>
          <cell r="AF266">
            <v>0.52838427947598254</v>
          </cell>
          <cell r="AM266">
            <v>0.80131004366812231</v>
          </cell>
          <cell r="AN266">
            <v>0.96288209606986896</v>
          </cell>
          <cell r="AO266">
            <v>0.68777292576419213</v>
          </cell>
          <cell r="AP266">
            <v>0.91484716157205237</v>
          </cell>
          <cell r="AW266">
            <v>0.11353711790393013</v>
          </cell>
          <cell r="AX266">
            <v>0.14410480349344978</v>
          </cell>
          <cell r="AY266">
            <v>0.33406113537117904</v>
          </cell>
          <cell r="AZ266">
            <v>0.36462882096069871</v>
          </cell>
          <cell r="BG266">
            <v>0.70742358078602618</v>
          </cell>
          <cell r="BH266">
            <v>0.50873362445414849</v>
          </cell>
          <cell r="BI266">
            <v>0.22707423580786026</v>
          </cell>
          <cell r="BJ266">
            <v>0.46288209606986902</v>
          </cell>
          <cell r="BQ266">
            <v>0.6746724890829694</v>
          </cell>
          <cell r="BR266">
            <v>0.83187772925764192</v>
          </cell>
          <cell r="BS266">
            <v>0.55895196506550215</v>
          </cell>
          <cell r="BT266">
            <v>0.8733624454148472</v>
          </cell>
          <cell r="BX266">
            <v>0.63973799126637554</v>
          </cell>
          <cell r="CJ266">
            <v>0.78602620087336239</v>
          </cell>
          <cell r="CK266">
            <v>0.66375545851528384</v>
          </cell>
        </row>
        <row r="267">
          <cell r="A267" t="str">
            <v>Mason Marchment</v>
          </cell>
          <cell r="B267" t="str">
            <v>DAL</v>
          </cell>
          <cell r="I267">
            <v>0.63755458515283847</v>
          </cell>
          <cell r="J267">
            <v>0.4126637554585153</v>
          </cell>
          <cell r="K267">
            <v>0.23799126637554585</v>
          </cell>
          <cell r="L267">
            <v>0.46943231441048033</v>
          </cell>
          <cell r="S267">
            <v>0.30786026200873362</v>
          </cell>
          <cell r="T267">
            <v>0.55021834061135366</v>
          </cell>
          <cell r="U267">
            <v>0.54803493449781659</v>
          </cell>
          <cell r="V267">
            <v>0.41484716157205243</v>
          </cell>
          <cell r="AC267">
            <v>0.23580786026200873</v>
          </cell>
          <cell r="AD267">
            <v>0.45414847161572053</v>
          </cell>
          <cell r="AE267">
            <v>0.48908296943231439</v>
          </cell>
          <cell r="AF267">
            <v>0.43013100436681223</v>
          </cell>
          <cell r="AM267">
            <v>0.52838427947598254</v>
          </cell>
          <cell r="AN267">
            <v>0.15720524017467249</v>
          </cell>
          <cell r="AO267">
            <v>0.1222707423580786</v>
          </cell>
          <cell r="AP267">
            <v>0.32532751091703055</v>
          </cell>
          <cell r="AW267">
            <v>0.13100436681222707</v>
          </cell>
          <cell r="AX267">
            <v>0.16157205240174671</v>
          </cell>
          <cell r="AY267">
            <v>0.14628820960698691</v>
          </cell>
          <cell r="AZ267">
            <v>0.16375545851528384</v>
          </cell>
          <cell r="BG267">
            <v>0.81004366812227069</v>
          </cell>
          <cell r="BH267">
            <v>0.5240174672489083</v>
          </cell>
          <cell r="BI267">
            <v>0.1703056768558952</v>
          </cell>
          <cell r="BJ267">
            <v>0.34061135371179041</v>
          </cell>
          <cell r="BQ267">
            <v>0.45196506550218341</v>
          </cell>
          <cell r="BR267">
            <v>0.3930131004366812</v>
          </cell>
          <cell r="BS267">
            <v>0.27074235807860264</v>
          </cell>
          <cell r="BT267">
            <v>0.43449781659388648</v>
          </cell>
          <cell r="BX267">
            <v>0.28384279475982532</v>
          </cell>
          <cell r="CJ267">
            <v>0.12882096069868995</v>
          </cell>
          <cell r="CK267">
            <v>0.9126637554585153</v>
          </cell>
        </row>
        <row r="268">
          <cell r="A268" t="str">
            <v>Mason McTavish</v>
          </cell>
          <cell r="B268" t="str">
            <v>ANA</v>
          </cell>
          <cell r="I268">
            <v>0.1703056768558952</v>
          </cell>
          <cell r="J268">
            <v>0.3930131004366812</v>
          </cell>
          <cell r="K268">
            <v>0.23144104803493451</v>
          </cell>
          <cell r="L268">
            <v>0.3056768558951965</v>
          </cell>
          <cell r="S268">
            <v>0.25545851528384278</v>
          </cell>
          <cell r="T268">
            <v>0.54148471615720528</v>
          </cell>
          <cell r="U268">
            <v>0.70305676855895194</v>
          </cell>
          <cell r="V268">
            <v>0.36244541484716158</v>
          </cell>
          <cell r="AC268">
            <v>3.2751091703056769E-2</v>
          </cell>
          <cell r="AD268">
            <v>2.4017467248908297E-2</v>
          </cell>
          <cell r="AE268">
            <v>0.14847161572052403</v>
          </cell>
          <cell r="AF268">
            <v>3.2751091703056769E-2</v>
          </cell>
          <cell r="AM268">
            <v>0.50655021834061131</v>
          </cell>
          <cell r="AN268">
            <v>0.74235807860262004</v>
          </cell>
          <cell r="AO268">
            <v>0.4759825327510917</v>
          </cell>
          <cell r="AP268">
            <v>0.66375545851528384</v>
          </cell>
          <cell r="AW268">
            <v>0.60698689956331875</v>
          </cell>
          <cell r="AX268">
            <v>0.49781659388646288</v>
          </cell>
          <cell r="AY268">
            <v>0.65938864628820959</v>
          </cell>
          <cell r="AZ268">
            <v>0.67903930131004364</v>
          </cell>
          <cell r="BG268">
            <v>0.56986899563318782</v>
          </cell>
          <cell r="BH268">
            <v>0.28602620087336245</v>
          </cell>
          <cell r="BI268">
            <v>0.30786026200873362</v>
          </cell>
          <cell r="BJ268">
            <v>0.34061135371179041</v>
          </cell>
          <cell r="BQ268">
            <v>4.8034934497816595E-2</v>
          </cell>
          <cell r="BR268">
            <v>0.10480349344978165</v>
          </cell>
          <cell r="BS268">
            <v>0.1091703056768559</v>
          </cell>
          <cell r="BT268">
            <v>9.1703056768558958E-2</v>
          </cell>
          <cell r="BX268">
            <v>0.20742358078602621</v>
          </cell>
          <cell r="CJ268">
            <v>0.28820960698689957</v>
          </cell>
          <cell r="CK268">
            <v>0.80131004366812231</v>
          </cell>
        </row>
        <row r="269">
          <cell r="A269" t="str">
            <v>Mason Shaw</v>
          </cell>
          <cell r="B269" t="str">
            <v>MIN</v>
          </cell>
          <cell r="I269">
            <v>0.26855895196506552</v>
          </cell>
          <cell r="J269">
            <v>0.18340611353711792</v>
          </cell>
          <cell r="K269">
            <v>0.11353711790393013</v>
          </cell>
          <cell r="L269">
            <v>0.12882096069868995</v>
          </cell>
          <cell r="S269">
            <v>0.45414847161572053</v>
          </cell>
          <cell r="T269">
            <v>0.42139737991266374</v>
          </cell>
          <cell r="U269">
            <v>0.19213973799126638</v>
          </cell>
          <cell r="V269">
            <v>0.41484716157205243</v>
          </cell>
          <cell r="AC269">
            <v>0.60917030567685593</v>
          </cell>
          <cell r="AD269">
            <v>0.98689956331877726</v>
          </cell>
          <cell r="AE269">
            <v>0.82314410480349343</v>
          </cell>
          <cell r="AF269">
            <v>0.92139737991266379</v>
          </cell>
          <cell r="AM269">
            <v>0.17248908296943233</v>
          </cell>
          <cell r="AN269">
            <v>0.26637554585152839</v>
          </cell>
          <cell r="AO269">
            <v>0.17248908296943233</v>
          </cell>
          <cell r="AP269">
            <v>0.17248908296943233</v>
          </cell>
          <cell r="AW269">
            <v>0.53056768558951961</v>
          </cell>
          <cell r="AX269">
            <v>0.76637554585152834</v>
          </cell>
          <cell r="AY269">
            <v>0.28602620087336245</v>
          </cell>
          <cell r="AZ269">
            <v>0.76200873362445409</v>
          </cell>
          <cell r="BG269">
            <v>0.10480349344978165</v>
          </cell>
          <cell r="BH269">
            <v>0.1222707423580786</v>
          </cell>
          <cell r="BI269">
            <v>0.14628820960698691</v>
          </cell>
          <cell r="BJ269">
            <v>0.46288209606986902</v>
          </cell>
          <cell r="BQ269">
            <v>0.38427947598253276</v>
          </cell>
          <cell r="BR269">
            <v>0.64847161572052403</v>
          </cell>
          <cell r="BS269">
            <v>0.32096069868995636</v>
          </cell>
          <cell r="BT269">
            <v>0.41484716157205243</v>
          </cell>
          <cell r="BX269">
            <v>0.34934497816593885</v>
          </cell>
          <cell r="CJ269">
            <v>3.7117903930131008E-2</v>
          </cell>
          <cell r="CK269">
            <v>0.94323144104803491</v>
          </cell>
        </row>
        <row r="270">
          <cell r="A270" t="str">
            <v>Mathew Barzal</v>
          </cell>
          <cell r="B270" t="str">
            <v>NYI</v>
          </cell>
          <cell r="I270">
            <v>0.84279475982532748</v>
          </cell>
          <cell r="J270">
            <v>0.66812227074235808</v>
          </cell>
          <cell r="K270">
            <v>0.69868995633187769</v>
          </cell>
          <cell r="L270">
            <v>0.70960698689956336</v>
          </cell>
          <cell r="S270">
            <v>0.50218340611353707</v>
          </cell>
          <cell r="T270">
            <v>0.92576419213973804</v>
          </cell>
          <cell r="U270">
            <v>0.9759825327510917</v>
          </cell>
          <cell r="V270">
            <v>0.83624454148471616</v>
          </cell>
          <cell r="AC270">
            <v>0.67030567685589515</v>
          </cell>
          <cell r="AD270">
            <v>0.40174672489082969</v>
          </cell>
          <cell r="AE270">
            <v>0.94759825327510916</v>
          </cell>
          <cell r="AF270">
            <v>0.63755458515283847</v>
          </cell>
          <cell r="AM270">
            <v>0.93231441048034935</v>
          </cell>
          <cell r="AN270">
            <v>0.50655021834061131</v>
          </cell>
          <cell r="AO270">
            <v>0.67685589519650657</v>
          </cell>
          <cell r="AP270">
            <v>0.67248908296943233</v>
          </cell>
          <cell r="AW270">
            <v>0.96288209606986896</v>
          </cell>
          <cell r="AX270">
            <v>0.85152838427947597</v>
          </cell>
          <cell r="AY270">
            <v>0.91921397379912662</v>
          </cell>
          <cell r="AZ270">
            <v>0.93231441048034935</v>
          </cell>
          <cell r="BG270">
            <v>0.89519650655021832</v>
          </cell>
          <cell r="BH270">
            <v>0.99563318777292575</v>
          </cell>
          <cell r="BI270">
            <v>0.51091703056768556</v>
          </cell>
          <cell r="BJ270">
            <v>0.86026200873362446</v>
          </cell>
          <cell r="BQ270">
            <v>0.83624454148471616</v>
          </cell>
          <cell r="BR270">
            <v>0.54148471615720528</v>
          </cell>
          <cell r="BS270">
            <v>0.9606986899563319</v>
          </cell>
          <cell r="BT270">
            <v>0.73362445414847166</v>
          </cell>
          <cell r="BX270">
            <v>0.9366812227074236</v>
          </cell>
          <cell r="CJ270">
            <v>0.61572052401746724</v>
          </cell>
          <cell r="CK270">
            <v>0.17903930131004367</v>
          </cell>
        </row>
        <row r="271">
          <cell r="A271" t="str">
            <v>Mathieu Joseph</v>
          </cell>
          <cell r="B271" t="str">
            <v>OTT</v>
          </cell>
          <cell r="I271">
            <v>0.49563318777292575</v>
          </cell>
          <cell r="J271">
            <v>0.41921397379912662</v>
          </cell>
          <cell r="K271">
            <v>0.55676855895196509</v>
          </cell>
          <cell r="L271">
            <v>0.4366812227074236</v>
          </cell>
          <cell r="S271">
            <v>2.1834061135371178E-3</v>
          </cell>
          <cell r="T271">
            <v>0.73580786026200873</v>
          </cell>
          <cell r="U271">
            <v>0.81441048034934493</v>
          </cell>
          <cell r="V271">
            <v>0.1965065502183406</v>
          </cell>
          <cell r="AC271">
            <v>0.36681222707423583</v>
          </cell>
          <cell r="AD271">
            <v>0.63318777292576423</v>
          </cell>
          <cell r="AE271">
            <v>0.57205240174672489</v>
          </cell>
          <cell r="AF271">
            <v>0.60917030567685593</v>
          </cell>
          <cell r="AM271">
            <v>9.3886462882096067E-2</v>
          </cell>
          <cell r="AN271">
            <v>0.11790393013100436</v>
          </cell>
          <cell r="AO271">
            <v>0.48471615720524019</v>
          </cell>
          <cell r="AP271">
            <v>0.14192139737991266</v>
          </cell>
          <cell r="AW271">
            <v>0.29694323144104806</v>
          </cell>
          <cell r="AX271">
            <v>0.72052401746724892</v>
          </cell>
          <cell r="AY271">
            <v>0.66157205240174677</v>
          </cell>
          <cell r="AZ271">
            <v>0.55240174672489084</v>
          </cell>
          <cell r="BG271">
            <v>0.22489082969432314</v>
          </cell>
          <cell r="BH271">
            <v>0.16593886462882096</v>
          </cell>
          <cell r="BI271">
            <v>0.68558951965065507</v>
          </cell>
          <cell r="BJ271">
            <v>0.78820960698689957</v>
          </cell>
          <cell r="BQ271">
            <v>0.42794759825327511</v>
          </cell>
          <cell r="BR271">
            <v>0.48689956331877732</v>
          </cell>
          <cell r="BS271">
            <v>0.5873362445414847</v>
          </cell>
          <cell r="BT271">
            <v>0.51965065502183405</v>
          </cell>
          <cell r="BX271">
            <v>0.26419213973799127</v>
          </cell>
          <cell r="CJ271">
            <v>0.20305676855895197</v>
          </cell>
          <cell r="CK271">
            <v>0.86681222707423577</v>
          </cell>
        </row>
        <row r="272">
          <cell r="A272" t="str">
            <v>Mathieu Olivier</v>
          </cell>
          <cell r="B272" t="str">
            <v>CBJ</v>
          </cell>
          <cell r="I272">
            <v>0.25982532751091703</v>
          </cell>
          <cell r="J272">
            <v>0.53711790393013104</v>
          </cell>
          <cell r="K272">
            <v>0.14628820960698691</v>
          </cell>
          <cell r="L272">
            <v>0.40611353711790393</v>
          </cell>
          <cell r="S272">
            <v>0.18340611353711792</v>
          </cell>
          <cell r="T272">
            <v>0.24454148471615719</v>
          </cell>
          <cell r="U272">
            <v>0.44104803493449779</v>
          </cell>
          <cell r="V272">
            <v>0.13100436681222707</v>
          </cell>
          <cell r="AC272">
            <v>4.3668122270742356E-2</v>
          </cell>
          <cell r="AD272">
            <v>0.11572052401746726</v>
          </cell>
          <cell r="AE272">
            <v>4.8034934497816595E-2</v>
          </cell>
          <cell r="AF272">
            <v>0.11353711790393013</v>
          </cell>
          <cell r="AM272">
            <v>0.35371179039301309</v>
          </cell>
          <cell r="AN272">
            <v>0.86026200873362446</v>
          </cell>
          <cell r="AO272">
            <v>0.25109170305676853</v>
          </cell>
          <cell r="AP272">
            <v>0.6026200873362445</v>
          </cell>
          <cell r="AW272">
            <v>0.23144104803493451</v>
          </cell>
          <cell r="AX272">
            <v>0.2205240174672489</v>
          </cell>
          <cell r="AY272">
            <v>0.26855895196506552</v>
          </cell>
          <cell r="AZ272">
            <v>0.26637554585152839</v>
          </cell>
          <cell r="BG272">
            <v>0.27947598253275108</v>
          </cell>
          <cell r="BH272">
            <v>5.2401746724890827E-2</v>
          </cell>
          <cell r="BI272">
            <v>0.12882096069868995</v>
          </cell>
          <cell r="BJ272">
            <v>7.8602620087336247E-2</v>
          </cell>
          <cell r="BQ272">
            <v>8.9519650655021835E-2</v>
          </cell>
          <cell r="BR272">
            <v>0.28820960698689957</v>
          </cell>
          <cell r="BS272">
            <v>4.8034934497816595E-2</v>
          </cell>
          <cell r="BT272">
            <v>0.21179039301310043</v>
          </cell>
          <cell r="BX272">
            <v>0.10698689956331878</v>
          </cell>
          <cell r="CJ272">
            <v>3.2751091703056769E-2</v>
          </cell>
          <cell r="CK272">
            <v>0.82751091703056767</v>
          </cell>
        </row>
        <row r="273">
          <cell r="A273" t="str">
            <v>Matias Maccelli</v>
          </cell>
          <cell r="B273" t="str">
            <v>ARI</v>
          </cell>
          <cell r="I273">
            <v>0.26637554585152839</v>
          </cell>
          <cell r="J273">
            <v>0.24890829694323144</v>
          </cell>
          <cell r="K273">
            <v>0.58296943231441045</v>
          </cell>
          <cell r="L273">
            <v>0.31659388646288211</v>
          </cell>
          <cell r="S273">
            <v>0.37991266375545851</v>
          </cell>
          <cell r="T273">
            <v>0.94759825327510916</v>
          </cell>
          <cell r="U273">
            <v>0.90829694323144106</v>
          </cell>
          <cell r="V273">
            <v>0.84061135371179041</v>
          </cell>
          <cell r="AC273">
            <v>0.18558951965065501</v>
          </cell>
          <cell r="AD273">
            <v>0.57423580786026196</v>
          </cell>
          <cell r="AE273">
            <v>0.56113537117903933</v>
          </cell>
          <cell r="AF273">
            <v>0.5873362445414847</v>
          </cell>
          <cell r="AM273">
            <v>0.69213973799126638</v>
          </cell>
          <cell r="AN273">
            <v>0.61353711790393017</v>
          </cell>
          <cell r="AO273">
            <v>0.69868995633187769</v>
          </cell>
          <cell r="AP273">
            <v>0.69650655021834063</v>
          </cell>
          <cell r="AW273">
            <v>0.35152838427947597</v>
          </cell>
          <cell r="AX273">
            <v>0.81877729257641918</v>
          </cell>
          <cell r="AY273">
            <v>0.81222707423580787</v>
          </cell>
          <cell r="AZ273">
            <v>0.81004366812227069</v>
          </cell>
          <cell r="BG273">
            <v>0.60698689956331875</v>
          </cell>
          <cell r="BH273">
            <v>0.23362445414847161</v>
          </cell>
          <cell r="BI273">
            <v>0.8253275109170306</v>
          </cell>
          <cell r="BJ273">
            <v>0.8493449781659389</v>
          </cell>
          <cell r="BQ273">
            <v>0.19213973799126638</v>
          </cell>
          <cell r="BR273">
            <v>0.34279475982532753</v>
          </cell>
          <cell r="BS273">
            <v>0.59606986899563319</v>
          </cell>
          <cell r="BT273">
            <v>0.39082969432314413</v>
          </cell>
          <cell r="BX273">
            <v>0.53275109170305679</v>
          </cell>
          <cell r="CJ273">
            <v>0.55458515283842791</v>
          </cell>
          <cell r="CK273">
            <v>0.38646288209606988</v>
          </cell>
        </row>
        <row r="274">
          <cell r="A274" t="str">
            <v>Mats Zuccarello</v>
          </cell>
          <cell r="B274" t="str">
            <v>MIN</v>
          </cell>
          <cell r="I274">
            <v>0.72707423580786024</v>
          </cell>
          <cell r="J274">
            <v>0.39956331877729256</v>
          </cell>
          <cell r="K274">
            <v>0.32096069868995636</v>
          </cell>
          <cell r="L274">
            <v>0.48689956331877732</v>
          </cell>
          <cell r="S274">
            <v>0.23144104803493451</v>
          </cell>
          <cell r="T274">
            <v>0.63755458515283847</v>
          </cell>
          <cell r="U274">
            <v>0.88209606986899558</v>
          </cell>
          <cell r="V274">
            <v>0.4606986899563319</v>
          </cell>
          <cell r="AC274">
            <v>0.58515283842794763</v>
          </cell>
          <cell r="AD274">
            <v>0.79257641921397382</v>
          </cell>
          <cell r="AE274">
            <v>0.66812227074235808</v>
          </cell>
          <cell r="AF274">
            <v>0.50436681222707425</v>
          </cell>
          <cell r="AM274">
            <v>0.81877729257641918</v>
          </cell>
          <cell r="AN274">
            <v>0.54803493449781659</v>
          </cell>
          <cell r="AO274">
            <v>0.53056768558951961</v>
          </cell>
          <cell r="AP274">
            <v>0.67248908296943233</v>
          </cell>
          <cell r="AW274">
            <v>0.57205240174672489</v>
          </cell>
          <cell r="AX274">
            <v>0.44541484716157204</v>
          </cell>
          <cell r="AY274">
            <v>0.34716157205240172</v>
          </cell>
          <cell r="AZ274">
            <v>0.21179039301310043</v>
          </cell>
          <cell r="BG274">
            <v>0.95633187772925765</v>
          </cell>
          <cell r="BH274">
            <v>0.98689956331877726</v>
          </cell>
          <cell r="BI274">
            <v>0.2576419213973799</v>
          </cell>
          <cell r="BJ274">
            <v>0.42794759825327511</v>
          </cell>
          <cell r="BQ274">
            <v>0.70524017467248912</v>
          </cell>
          <cell r="BR274">
            <v>0.5633187772925764</v>
          </cell>
          <cell r="BS274">
            <v>0.47816593886462883</v>
          </cell>
          <cell r="BT274">
            <v>0.51091703056768556</v>
          </cell>
          <cell r="BX274">
            <v>0.611353711790393</v>
          </cell>
          <cell r="CJ274">
            <v>0.66593886462882101</v>
          </cell>
          <cell r="CK274">
            <v>0.54366812227074235</v>
          </cell>
        </row>
        <row r="275">
          <cell r="A275" t="str">
            <v>Matt Boldy</v>
          </cell>
          <cell r="B275" t="str">
            <v>MIN</v>
          </cell>
          <cell r="I275">
            <v>0.67248908296943233</v>
          </cell>
          <cell r="J275">
            <v>0.40611353711790393</v>
          </cell>
          <cell r="K275">
            <v>0.33842794759825329</v>
          </cell>
          <cell r="L275">
            <v>0.42358078602620086</v>
          </cell>
          <cell r="S275">
            <v>0.86244541484716153</v>
          </cell>
          <cell r="T275">
            <v>8.0786026200873357E-2</v>
          </cell>
          <cell r="U275">
            <v>7.2052401746724892E-2</v>
          </cell>
          <cell r="V275">
            <v>0.47816593886462883</v>
          </cell>
          <cell r="AC275">
            <v>0.61790393013100442</v>
          </cell>
          <cell r="AD275">
            <v>0.93013100436681218</v>
          </cell>
          <cell r="AE275">
            <v>0.90611353711790388</v>
          </cell>
          <cell r="AF275">
            <v>0.85371179039301315</v>
          </cell>
          <cell r="AM275">
            <v>0.72925764192139741</v>
          </cell>
          <cell r="AN275">
            <v>0.58951965065502188</v>
          </cell>
          <cell r="AO275">
            <v>0.55676855895196509</v>
          </cell>
          <cell r="AP275">
            <v>0.61572052401746724</v>
          </cell>
          <cell r="AW275">
            <v>0.64847161572052403</v>
          </cell>
          <cell r="AX275">
            <v>0.75109170305676853</v>
          </cell>
          <cell r="AY275">
            <v>0.74672489082969429</v>
          </cell>
          <cell r="AZ275">
            <v>0.77947598253275108</v>
          </cell>
          <cell r="BG275">
            <v>0.72925764192139741</v>
          </cell>
          <cell r="BH275">
            <v>0.47379912663755458</v>
          </cell>
          <cell r="BI275">
            <v>0.2816593886462882</v>
          </cell>
          <cell r="BJ275">
            <v>0.67685589519650657</v>
          </cell>
          <cell r="BQ275">
            <v>0.67903930131004364</v>
          </cell>
          <cell r="BR275">
            <v>0.71834061135371174</v>
          </cell>
          <cell r="BS275">
            <v>0.71615720524017468</v>
          </cell>
          <cell r="BT275">
            <v>0.68995633187772931</v>
          </cell>
          <cell r="BX275">
            <v>0.74235807860262004</v>
          </cell>
          <cell r="CJ275">
            <v>0.36899563318777295</v>
          </cell>
          <cell r="CK275">
            <v>0.42358078602620086</v>
          </cell>
        </row>
        <row r="276">
          <cell r="A276" t="str">
            <v>Matt Duchene</v>
          </cell>
          <cell r="B276" t="str">
            <v>NSH</v>
          </cell>
          <cell r="I276">
            <v>0.6746724890829694</v>
          </cell>
          <cell r="J276">
            <v>0.54585152838427953</v>
          </cell>
          <cell r="K276">
            <v>0.79475982532751088</v>
          </cell>
          <cell r="L276">
            <v>0.58296943231441045</v>
          </cell>
          <cell r="S276">
            <v>0.5873362445414847</v>
          </cell>
          <cell r="T276">
            <v>0.8253275109170306</v>
          </cell>
          <cell r="U276">
            <v>0.64847161572052403</v>
          </cell>
          <cell r="V276">
            <v>0.77510917030567683</v>
          </cell>
          <cell r="AC276">
            <v>0.13537117903930132</v>
          </cell>
          <cell r="AD276">
            <v>0.13973799126637554</v>
          </cell>
          <cell r="AE276">
            <v>0.5</v>
          </cell>
          <cell r="AF276">
            <v>0.15283842794759825</v>
          </cell>
          <cell r="AM276">
            <v>0.78820960698689957</v>
          </cell>
          <cell r="AN276">
            <v>0.53493449781659386</v>
          </cell>
          <cell r="AO276">
            <v>0.92139737991266379</v>
          </cell>
          <cell r="AP276">
            <v>0.55021834061135366</v>
          </cell>
          <cell r="AW276">
            <v>0.24454148471615719</v>
          </cell>
          <cell r="AX276">
            <v>0.13973799126637554</v>
          </cell>
          <cell r="AY276">
            <v>0.33406113537117904</v>
          </cell>
          <cell r="AZ276">
            <v>0.26637554585152839</v>
          </cell>
          <cell r="BG276">
            <v>0.89082969432314407</v>
          </cell>
          <cell r="BH276">
            <v>0.84497816593886466</v>
          </cell>
          <cell r="BI276">
            <v>0.84279475982532748</v>
          </cell>
          <cell r="BJ276">
            <v>0.82969432314410485</v>
          </cell>
          <cell r="BQ276">
            <v>0.388646288209607</v>
          </cell>
          <cell r="BR276">
            <v>0.32314410480349343</v>
          </cell>
          <cell r="BS276">
            <v>0.72052401746724892</v>
          </cell>
          <cell r="BT276">
            <v>0.34497816593886466</v>
          </cell>
          <cell r="BX276">
            <v>0.49781659388646288</v>
          </cell>
          <cell r="CJ276">
            <v>0.75327510917030571</v>
          </cell>
          <cell r="CK276">
            <v>0.36244541484716158</v>
          </cell>
        </row>
        <row r="277">
          <cell r="A277" t="str">
            <v>Matt Martin</v>
          </cell>
          <cell r="B277" t="str">
            <v>NYI</v>
          </cell>
          <cell r="I277">
            <v>0.29912663755458513</v>
          </cell>
          <cell r="J277">
            <v>0.10480349344978165</v>
          </cell>
          <cell r="K277">
            <v>0.20087336244541484</v>
          </cell>
          <cell r="L277">
            <v>0.10043668122270742</v>
          </cell>
          <cell r="S277">
            <v>0.25545851528384278</v>
          </cell>
          <cell r="T277">
            <v>0.31877729257641924</v>
          </cell>
          <cell r="U277">
            <v>0.41048034934497818</v>
          </cell>
          <cell r="V277">
            <v>0.21397379912663755</v>
          </cell>
          <cell r="AC277">
            <v>0.80131004366812231</v>
          </cell>
          <cell r="AD277">
            <v>0.34279475982532753</v>
          </cell>
          <cell r="AE277">
            <v>0.87117903930131002</v>
          </cell>
          <cell r="AF277">
            <v>0.47816593886462883</v>
          </cell>
          <cell r="AM277">
            <v>0.15502183406113537</v>
          </cell>
          <cell r="AN277">
            <v>1.9650655021834062E-2</v>
          </cell>
          <cell r="AO277">
            <v>0.12882096069868995</v>
          </cell>
          <cell r="AP277">
            <v>4.5851528384279479E-2</v>
          </cell>
          <cell r="AW277">
            <v>0.95633187772925765</v>
          </cell>
          <cell r="AX277">
            <v>0.53493449781659386</v>
          </cell>
          <cell r="AY277">
            <v>0.72052401746724892</v>
          </cell>
          <cell r="AZ277">
            <v>0.67903930131004364</v>
          </cell>
          <cell r="BG277">
            <v>0.26855895196506552</v>
          </cell>
          <cell r="BH277">
            <v>6.768558951965066E-2</v>
          </cell>
          <cell r="BI277">
            <v>0.2205240174672489</v>
          </cell>
          <cell r="BJ277">
            <v>0.50436681222707425</v>
          </cell>
          <cell r="BQ277">
            <v>0.50873362445414849</v>
          </cell>
          <cell r="BR277">
            <v>0.1331877729257642</v>
          </cell>
          <cell r="BS277">
            <v>0.48471615720524019</v>
          </cell>
          <cell r="BT277">
            <v>0.16812227074235808</v>
          </cell>
          <cell r="BX277">
            <v>0.2576419213973799</v>
          </cell>
          <cell r="CJ277">
            <v>0.22925764192139739</v>
          </cell>
          <cell r="CK277">
            <v>0.74235807860262004</v>
          </cell>
        </row>
        <row r="278">
          <cell r="A278" t="str">
            <v>Matt Nieto</v>
          </cell>
          <cell r="B278" t="str">
            <v>COL, S.J</v>
          </cell>
          <cell r="I278">
            <v>0.35371179039301309</v>
          </cell>
          <cell r="J278">
            <v>0.64192139737991272</v>
          </cell>
          <cell r="K278">
            <v>0.54803493449781659</v>
          </cell>
          <cell r="L278">
            <v>0.59825327510917026</v>
          </cell>
          <cell r="S278">
            <v>0.61572052401746724</v>
          </cell>
          <cell r="T278">
            <v>0.30786026200873362</v>
          </cell>
          <cell r="U278">
            <v>0.15065502183406113</v>
          </cell>
          <cell r="V278">
            <v>0.39082969432314413</v>
          </cell>
          <cell r="AC278">
            <v>0.48689956331877732</v>
          </cell>
          <cell r="AD278">
            <v>0.58515283842794763</v>
          </cell>
          <cell r="AE278">
            <v>0.13973799126637554</v>
          </cell>
          <cell r="AF278">
            <v>0.52838427947598254</v>
          </cell>
          <cell r="AM278">
            <v>0.31004366812227074</v>
          </cell>
          <cell r="AN278">
            <v>0.46943231441048033</v>
          </cell>
          <cell r="AO278">
            <v>0.35807860262008734</v>
          </cell>
          <cell r="AP278">
            <v>0.46724890829694321</v>
          </cell>
          <cell r="AW278">
            <v>0.37772925764192139</v>
          </cell>
          <cell r="AX278">
            <v>0.42358078602620086</v>
          </cell>
          <cell r="AY278">
            <v>0.23144104803493451</v>
          </cell>
          <cell r="AZ278">
            <v>0.34061135371179041</v>
          </cell>
          <cell r="BG278">
            <v>0.29475982532751094</v>
          </cell>
          <cell r="BH278">
            <v>0.24672489082969432</v>
          </cell>
          <cell r="BI278">
            <v>0.6506550218340611</v>
          </cell>
          <cell r="BJ278">
            <v>0.23799126637554585</v>
          </cell>
          <cell r="BQ278">
            <v>0.38646288209606988</v>
          </cell>
          <cell r="BR278">
            <v>0.61790393013100442</v>
          </cell>
          <cell r="BS278">
            <v>0.27729257641921395</v>
          </cell>
          <cell r="BT278">
            <v>0.5873362445414847</v>
          </cell>
          <cell r="BX278">
            <v>0.40174672489082969</v>
          </cell>
          <cell r="CJ278">
            <v>0.68995633187772931</v>
          </cell>
          <cell r="CK278">
            <v>0.19213973799126638</v>
          </cell>
        </row>
        <row r="279">
          <cell r="A279" t="str">
            <v>Matthew Tkachuk</v>
          </cell>
          <cell r="B279" t="str">
            <v>FLA</v>
          </cell>
          <cell r="I279">
            <v>1</v>
          </cell>
          <cell r="J279">
            <v>1</v>
          </cell>
          <cell r="K279">
            <v>1</v>
          </cell>
          <cell r="L279">
            <v>1</v>
          </cell>
          <cell r="S279">
            <v>0.91048034934497812</v>
          </cell>
          <cell r="T279">
            <v>0.99344978165938869</v>
          </cell>
          <cell r="U279">
            <v>0.98034934497816595</v>
          </cell>
          <cell r="V279">
            <v>0.99344978165938869</v>
          </cell>
          <cell r="AC279">
            <v>0.66593886462882101</v>
          </cell>
          <cell r="AD279">
            <v>0.27729257641921395</v>
          </cell>
          <cell r="AE279">
            <v>0.39956331877729256</v>
          </cell>
          <cell r="AF279">
            <v>0.42358078602620086</v>
          </cell>
          <cell r="AM279">
            <v>1</v>
          </cell>
          <cell r="AN279">
            <v>1</v>
          </cell>
          <cell r="AO279">
            <v>0.99781659388646293</v>
          </cell>
          <cell r="AP279">
            <v>1</v>
          </cell>
          <cell r="AW279">
            <v>0.82314410480349343</v>
          </cell>
          <cell r="AX279">
            <v>0.46506550218340609</v>
          </cell>
          <cell r="AY279">
            <v>0.388646288209607</v>
          </cell>
          <cell r="AZ279">
            <v>0.46288209606986902</v>
          </cell>
          <cell r="BG279">
            <v>0.90611353711790388</v>
          </cell>
          <cell r="BH279">
            <v>0.72052401746724892</v>
          </cell>
          <cell r="BI279">
            <v>0.88427947598253276</v>
          </cell>
          <cell r="BJ279">
            <v>0.73580786026200873</v>
          </cell>
          <cell r="BQ279">
            <v>0.98471615720524019</v>
          </cell>
          <cell r="BR279">
            <v>0.97379912663755464</v>
          </cell>
          <cell r="BS279">
            <v>0.96288209606986896</v>
          </cell>
          <cell r="BT279">
            <v>0.98471615720524019</v>
          </cell>
          <cell r="BX279">
            <v>0.98471615720524019</v>
          </cell>
          <cell r="CJ279">
            <v>0.1703056768558952</v>
          </cell>
          <cell r="CK279">
            <v>0.94759825327510916</v>
          </cell>
        </row>
        <row r="280">
          <cell r="A280" t="str">
            <v>Mattias Janmark</v>
          </cell>
          <cell r="B280" t="str">
            <v>EDM</v>
          </cell>
          <cell r="I280">
            <v>0.15720524017467249</v>
          </cell>
          <cell r="J280">
            <v>0.45633187772925765</v>
          </cell>
          <cell r="K280">
            <v>0.32532751091703055</v>
          </cell>
          <cell r="L280">
            <v>0.2576419213973799</v>
          </cell>
          <cell r="S280">
            <v>0.1222707423580786</v>
          </cell>
          <cell r="T280">
            <v>0.59606986899563319</v>
          </cell>
          <cell r="U280">
            <v>0.64847161572052403</v>
          </cell>
          <cell r="V280">
            <v>0.34497816593886466</v>
          </cell>
          <cell r="AC280">
            <v>0.81877729257641918</v>
          </cell>
          <cell r="AD280">
            <v>0.74454148471615722</v>
          </cell>
          <cell r="AE280">
            <v>0.71179039301310043</v>
          </cell>
          <cell r="AF280">
            <v>0.75109170305676853</v>
          </cell>
          <cell r="AM280">
            <v>2.6200873362445413E-2</v>
          </cell>
          <cell r="AN280">
            <v>7.4235807860262015E-2</v>
          </cell>
          <cell r="AO280">
            <v>9.1703056768558958E-2</v>
          </cell>
          <cell r="AP280">
            <v>2.6200873362445413E-2</v>
          </cell>
          <cell r="AW280">
            <v>0.6026200873362445</v>
          </cell>
          <cell r="AX280">
            <v>0.34061135371179041</v>
          </cell>
          <cell r="AY280">
            <v>0.77074235807860259</v>
          </cell>
          <cell r="AZ280">
            <v>0.59825327510917026</v>
          </cell>
          <cell r="BG280">
            <v>0.53275109170305679</v>
          </cell>
          <cell r="BH280">
            <v>0.48471615720524019</v>
          </cell>
          <cell r="BI280">
            <v>0.45633187772925765</v>
          </cell>
          <cell r="BJ280">
            <v>0.59388646288209612</v>
          </cell>
          <cell r="BQ280">
            <v>0.40829694323144106</v>
          </cell>
          <cell r="BR280">
            <v>0.56986899563318782</v>
          </cell>
          <cell r="BS280">
            <v>0.48471615720524019</v>
          </cell>
          <cell r="BT280">
            <v>0.4126637554585153</v>
          </cell>
          <cell r="BX280">
            <v>0.24672489082969432</v>
          </cell>
          <cell r="CJ280">
            <v>0.27947598253275108</v>
          </cell>
          <cell r="CK280">
            <v>0.38646288209606988</v>
          </cell>
        </row>
        <row r="281">
          <cell r="A281" t="str">
            <v>Matty Beniers</v>
          </cell>
          <cell r="B281" t="str">
            <v>SEA</v>
          </cell>
          <cell r="I281">
            <v>0.57860262008733621</v>
          </cell>
          <cell r="J281">
            <v>0.23362445414847161</v>
          </cell>
          <cell r="K281">
            <v>0.91921397379912662</v>
          </cell>
          <cell r="L281">
            <v>0.4606986899563319</v>
          </cell>
          <cell r="S281">
            <v>0.78820960698689957</v>
          </cell>
          <cell r="T281">
            <v>0.78602620087336239</v>
          </cell>
          <cell r="U281">
            <v>0.64847161572052403</v>
          </cell>
          <cell r="V281">
            <v>0.84061135371179041</v>
          </cell>
          <cell r="AC281">
            <v>0.72707423580786024</v>
          </cell>
          <cell r="AD281">
            <v>0.79257641921397382</v>
          </cell>
          <cell r="AE281">
            <v>0.66812227074235808</v>
          </cell>
          <cell r="AF281">
            <v>0.83842794759825323</v>
          </cell>
          <cell r="AM281">
            <v>0.43231441048034935</v>
          </cell>
          <cell r="AN281">
            <v>0.40611353711790393</v>
          </cell>
          <cell r="AO281">
            <v>0.74890829694323147</v>
          </cell>
          <cell r="AP281">
            <v>0.5</v>
          </cell>
          <cell r="AW281">
            <v>0.23799126637554585</v>
          </cell>
          <cell r="AX281">
            <v>0.56550218340611358</v>
          </cell>
          <cell r="AY281">
            <v>0.6026200873362445</v>
          </cell>
          <cell r="AZ281">
            <v>0.63100436681222705</v>
          </cell>
          <cell r="BG281">
            <v>0.81222707423580787</v>
          </cell>
          <cell r="BH281">
            <v>0.83842794759825323</v>
          </cell>
          <cell r="BI281">
            <v>0.96288209606986896</v>
          </cell>
          <cell r="BJ281">
            <v>0.91921397379912662</v>
          </cell>
          <cell r="BQ281">
            <v>0.66157205240174677</v>
          </cell>
          <cell r="BR281">
            <v>0.43013100436681223</v>
          </cell>
          <cell r="BS281">
            <v>0.90174672489082974</v>
          </cell>
          <cell r="BT281">
            <v>0.70742358078602618</v>
          </cell>
          <cell r="BX281">
            <v>0.72489082969432317</v>
          </cell>
          <cell r="CJ281">
            <v>0.99126637554585151</v>
          </cell>
          <cell r="CK281">
            <v>0.72707423580786024</v>
          </cell>
        </row>
        <row r="282">
          <cell r="A282" t="str">
            <v>Max Comtois</v>
          </cell>
          <cell r="B282" t="str">
            <v>ANA</v>
          </cell>
          <cell r="I282">
            <v>0.2423580786026201</v>
          </cell>
          <cell r="J282">
            <v>0.27510917030567683</v>
          </cell>
          <cell r="K282">
            <v>0.36244541484716158</v>
          </cell>
          <cell r="L282">
            <v>0.15283842794759825</v>
          </cell>
          <cell r="S282">
            <v>0.53493449781659386</v>
          </cell>
          <cell r="T282">
            <v>0.1703056768558952</v>
          </cell>
          <cell r="U282">
            <v>0.26637554585152839</v>
          </cell>
          <cell r="V282">
            <v>0.25327510917030566</v>
          </cell>
          <cell r="AC282">
            <v>1.3100436681222707E-2</v>
          </cell>
          <cell r="AD282">
            <v>3.4934497816593885E-2</v>
          </cell>
          <cell r="AE282">
            <v>6.3318777292576414E-2</v>
          </cell>
          <cell r="AF282">
            <v>2.6200873362445413E-2</v>
          </cell>
          <cell r="AM282">
            <v>0.60043668122270744</v>
          </cell>
          <cell r="AN282">
            <v>0.63973799126637554</v>
          </cell>
          <cell r="AO282">
            <v>0.55021834061135366</v>
          </cell>
          <cell r="AP282">
            <v>0.44541484716157204</v>
          </cell>
          <cell r="AW282">
            <v>0.34279475982532753</v>
          </cell>
          <cell r="AX282">
            <v>0.72925764192139741</v>
          </cell>
          <cell r="AY282">
            <v>0.37117903930131002</v>
          </cell>
          <cell r="AZ282">
            <v>0.53493449781659386</v>
          </cell>
          <cell r="BG282">
            <v>0.54803493449781659</v>
          </cell>
          <cell r="BH282">
            <v>0.18558951965065501</v>
          </cell>
          <cell r="BI282">
            <v>0.36462882096069871</v>
          </cell>
          <cell r="BJ282">
            <v>0.33187772925764192</v>
          </cell>
          <cell r="BQ282">
            <v>4.5851528384279479E-2</v>
          </cell>
          <cell r="BR282">
            <v>8.296943231441048E-2</v>
          </cell>
          <cell r="BS282">
            <v>0.13100436681222707</v>
          </cell>
          <cell r="BT282">
            <v>3.4934497816593885E-2</v>
          </cell>
          <cell r="BX282">
            <v>0.13100436681222707</v>
          </cell>
          <cell r="CJ282">
            <v>0.1222707423580786</v>
          </cell>
          <cell r="CK282">
            <v>0.86681222707423577</v>
          </cell>
        </row>
        <row r="283">
          <cell r="A283" t="str">
            <v>Max Domi</v>
          </cell>
          <cell r="B283" t="str">
            <v>CHI, DAL</v>
          </cell>
          <cell r="I283">
            <v>0.33187772925764192</v>
          </cell>
          <cell r="J283">
            <v>0.38209606986899564</v>
          </cell>
          <cell r="K283">
            <v>0.4606986899563319</v>
          </cell>
          <cell r="L283">
            <v>0.31659388646288211</v>
          </cell>
          <cell r="S283">
            <v>0.1222707423580786</v>
          </cell>
          <cell r="T283">
            <v>0.79912663755458513</v>
          </cell>
          <cell r="U283">
            <v>0.8733624454148472</v>
          </cell>
          <cell r="V283">
            <v>0.53711790393013104</v>
          </cell>
          <cell r="AC283">
            <v>8.7336244541484712E-2</v>
          </cell>
          <cell r="AD283">
            <v>0.15065502183406113</v>
          </cell>
          <cell r="AE283">
            <v>0.33624454148471616</v>
          </cell>
          <cell r="AF283">
            <v>7.2052401746724892E-2</v>
          </cell>
          <cell r="AM283">
            <v>0.78602620087336239</v>
          </cell>
          <cell r="AN283">
            <v>0.81877729257641918</v>
          </cell>
          <cell r="AO283">
            <v>0.68777292576419213</v>
          </cell>
          <cell r="AP283">
            <v>0.78820960698689957</v>
          </cell>
          <cell r="AW283">
            <v>5.8951965065502182E-2</v>
          </cell>
          <cell r="AX283">
            <v>8.5152838427947602E-2</v>
          </cell>
          <cell r="AY283">
            <v>0.67248908296943233</v>
          </cell>
          <cell r="AZ283">
            <v>3.0567685589519649E-2</v>
          </cell>
          <cell r="BG283">
            <v>0.88646288209606983</v>
          </cell>
          <cell r="BH283">
            <v>0.76637554585152834</v>
          </cell>
          <cell r="BI283">
            <v>0.55458515283842791</v>
          </cell>
          <cell r="BJ283">
            <v>0.61790393013100442</v>
          </cell>
          <cell r="BQ283">
            <v>0.15065502183406113</v>
          </cell>
          <cell r="BR283">
            <v>0.23144104803493451</v>
          </cell>
          <cell r="BS283">
            <v>0.388646288209607</v>
          </cell>
          <cell r="BT283">
            <v>0.13973799126637554</v>
          </cell>
          <cell r="BX283">
            <v>0.19213973799126638</v>
          </cell>
          <cell r="CJ283">
            <v>0.1943231441048035</v>
          </cell>
          <cell r="CK283">
            <v>0.44323144104803491</v>
          </cell>
        </row>
        <row r="284">
          <cell r="A284" t="str">
            <v>Max Jones</v>
          </cell>
          <cell r="B284" t="str">
            <v>ANA</v>
          </cell>
          <cell r="I284">
            <v>7.6419213973799124E-2</v>
          </cell>
          <cell r="J284">
            <v>0.27292576419213976</v>
          </cell>
          <cell r="K284">
            <v>8.9519650655021835E-2</v>
          </cell>
          <cell r="L284">
            <v>0.20087336244541484</v>
          </cell>
          <cell r="S284">
            <v>0.46724890829694321</v>
          </cell>
          <cell r="T284">
            <v>0.2816593886462882</v>
          </cell>
          <cell r="U284">
            <v>0.16157205240174671</v>
          </cell>
          <cell r="V284">
            <v>0.3056768558951965</v>
          </cell>
          <cell r="AC284">
            <v>4.5851528384279479E-2</v>
          </cell>
          <cell r="AD284">
            <v>7.2052401746724892E-2</v>
          </cell>
          <cell r="AE284">
            <v>0.13100436681222707</v>
          </cell>
          <cell r="AF284">
            <v>3.7117903930131008E-2</v>
          </cell>
          <cell r="AM284">
            <v>0.32751091703056767</v>
          </cell>
          <cell r="AN284">
            <v>0.55676855895196509</v>
          </cell>
          <cell r="AO284">
            <v>0.17248908296943233</v>
          </cell>
          <cell r="AP284">
            <v>0.48471615720524019</v>
          </cell>
          <cell r="AW284">
            <v>0.73144104803493448</v>
          </cell>
          <cell r="AX284">
            <v>0.89519650655021832</v>
          </cell>
          <cell r="AY284">
            <v>0.55895196506550215</v>
          </cell>
          <cell r="AZ284">
            <v>0.79694323144104806</v>
          </cell>
          <cell r="BG284">
            <v>0.48471615720524019</v>
          </cell>
          <cell r="BH284">
            <v>0.17903930131004367</v>
          </cell>
          <cell r="BI284">
            <v>0.13973799126637554</v>
          </cell>
          <cell r="BJ284">
            <v>0.14628820960698691</v>
          </cell>
          <cell r="BQ284">
            <v>2.6200873362445413E-2</v>
          </cell>
          <cell r="BR284">
            <v>0.11135371179039301</v>
          </cell>
          <cell r="BS284">
            <v>5.2401746724890827E-2</v>
          </cell>
          <cell r="BT284">
            <v>6.768558951965066E-2</v>
          </cell>
          <cell r="BX284">
            <v>0.13755458515283842</v>
          </cell>
          <cell r="CJ284">
            <v>4.3668122270742356E-2</v>
          </cell>
          <cell r="CK284">
            <v>0.97161572052401746</v>
          </cell>
        </row>
        <row r="285">
          <cell r="A285" t="str">
            <v>Michael Amadio</v>
          </cell>
          <cell r="B285" t="str">
            <v>VGK</v>
          </cell>
          <cell r="I285">
            <v>0.54148471615720528</v>
          </cell>
          <cell r="J285">
            <v>0.47816593886462883</v>
          </cell>
          <cell r="K285">
            <v>0.76855895196506552</v>
          </cell>
          <cell r="L285">
            <v>0.52838427947598254</v>
          </cell>
          <cell r="S285">
            <v>0.89519650655021832</v>
          </cell>
          <cell r="T285">
            <v>0.34716157205240172</v>
          </cell>
          <cell r="U285">
            <v>0.58078602620087338</v>
          </cell>
          <cell r="V285">
            <v>0.69650655021834063</v>
          </cell>
          <cell r="AC285">
            <v>0.54148471615720528</v>
          </cell>
          <cell r="AD285">
            <v>0.65502183406113534</v>
          </cell>
          <cell r="AE285">
            <v>0.33406113537117904</v>
          </cell>
          <cell r="AF285">
            <v>0.63755458515283847</v>
          </cell>
          <cell r="AM285">
            <v>0.60480349344978168</v>
          </cell>
          <cell r="AN285">
            <v>0.35152838427947597</v>
          </cell>
          <cell r="AO285">
            <v>0.70524017467248912</v>
          </cell>
          <cell r="AP285">
            <v>0.5</v>
          </cell>
          <cell r="AW285">
            <v>0.68995633187772931</v>
          </cell>
          <cell r="AX285">
            <v>0.42794759825327511</v>
          </cell>
          <cell r="AY285">
            <v>0.13755458515283842</v>
          </cell>
          <cell r="AZ285">
            <v>0.60917030567685593</v>
          </cell>
          <cell r="BG285">
            <v>0.38427947598253276</v>
          </cell>
          <cell r="BH285">
            <v>0.50218340611353707</v>
          </cell>
          <cell r="BI285">
            <v>0.84716157205240172</v>
          </cell>
          <cell r="BJ285">
            <v>0.61790393013100442</v>
          </cell>
          <cell r="BQ285">
            <v>0.52620087336244536</v>
          </cell>
          <cell r="BR285">
            <v>0.5393013100436681</v>
          </cell>
          <cell r="BS285">
            <v>0.5873362445414847</v>
          </cell>
          <cell r="BT285">
            <v>0.60043668122270744</v>
          </cell>
          <cell r="BX285">
            <v>0.67248908296943233</v>
          </cell>
          <cell r="CJ285">
            <v>0.76855895196506552</v>
          </cell>
          <cell r="CK285">
            <v>0.14847161572052403</v>
          </cell>
        </row>
        <row r="286">
          <cell r="A286" t="str">
            <v>Michael Bunting</v>
          </cell>
          <cell r="B286" t="str">
            <v>TOR</v>
          </cell>
          <cell r="I286">
            <v>0.888646288209607</v>
          </cell>
          <cell r="J286">
            <v>0.94541484716157209</v>
          </cell>
          <cell r="K286">
            <v>0.92576419213973804</v>
          </cell>
          <cell r="L286">
            <v>0.96506550218340614</v>
          </cell>
          <cell r="S286">
            <v>0.62227074235807855</v>
          </cell>
          <cell r="T286">
            <v>0.72052401746724892</v>
          </cell>
          <cell r="U286">
            <v>0.8493449781659389</v>
          </cell>
          <cell r="V286">
            <v>0.69650655021834063</v>
          </cell>
          <cell r="AC286">
            <v>0.31222707423580787</v>
          </cell>
          <cell r="AD286">
            <v>0.20960698689956331</v>
          </cell>
          <cell r="AE286">
            <v>0.85807860262008728</v>
          </cell>
          <cell r="AF286">
            <v>0.28384279475982532</v>
          </cell>
          <cell r="AM286">
            <v>0.9366812227074236</v>
          </cell>
          <cell r="AN286">
            <v>0.91703056768558955</v>
          </cell>
          <cell r="AO286">
            <v>0.91703056768558955</v>
          </cell>
          <cell r="AP286">
            <v>0.9759825327510917</v>
          </cell>
          <cell r="AW286">
            <v>7.4235807860262015E-2</v>
          </cell>
          <cell r="AX286">
            <v>6.1135371179039298E-2</v>
          </cell>
          <cell r="AY286">
            <v>0.67903930131004364</v>
          </cell>
          <cell r="AZ286">
            <v>8.9519650655021835E-2</v>
          </cell>
          <cell r="BG286">
            <v>0.80786026200873362</v>
          </cell>
          <cell r="BH286">
            <v>0.95196506550218341</v>
          </cell>
          <cell r="BI286">
            <v>0.85152838427947597</v>
          </cell>
          <cell r="BJ286">
            <v>0.95196506550218341</v>
          </cell>
          <cell r="BQ286">
            <v>0.74235807860262004</v>
          </cell>
          <cell r="BR286">
            <v>0.77947598253275108</v>
          </cell>
          <cell r="BS286">
            <v>0.96724890829694321</v>
          </cell>
          <cell r="BT286">
            <v>0.87554585152838427</v>
          </cell>
          <cell r="BX286">
            <v>0.77074235807860259</v>
          </cell>
          <cell r="CJ286">
            <v>3.4934497816593885E-2</v>
          </cell>
          <cell r="CK286">
            <v>0.98253275109170302</v>
          </cell>
        </row>
        <row r="287">
          <cell r="A287" t="str">
            <v>Michael Eyssimont</v>
          </cell>
          <cell r="B287" t="str">
            <v>S.J, T.B, WPG</v>
          </cell>
          <cell r="I287">
            <v>0.88646288209606983</v>
          </cell>
          <cell r="J287">
            <v>0.9759825327510917</v>
          </cell>
          <cell r="K287">
            <v>0.63100436681222705</v>
          </cell>
          <cell r="L287">
            <v>0.93886462882096067</v>
          </cell>
          <cell r="S287">
            <v>0.26419213973799127</v>
          </cell>
          <cell r="T287">
            <v>0.44978165938864628</v>
          </cell>
          <cell r="U287">
            <v>0.27947598253275108</v>
          </cell>
          <cell r="V287">
            <v>0.31222707423580787</v>
          </cell>
          <cell r="AC287">
            <v>0.64628820960698685</v>
          </cell>
          <cell r="AD287">
            <v>0.82969432314410485</v>
          </cell>
          <cell r="AE287">
            <v>0.55240174672489084</v>
          </cell>
          <cell r="AF287">
            <v>0.65502183406113534</v>
          </cell>
          <cell r="AM287">
            <v>0.91921397379912662</v>
          </cell>
          <cell r="AN287">
            <v>0.95633187772925765</v>
          </cell>
          <cell r="AO287">
            <v>0.75327510917030571</v>
          </cell>
          <cell r="AP287">
            <v>0.94104803493449785</v>
          </cell>
          <cell r="AW287">
            <v>0.68777292576419213</v>
          </cell>
          <cell r="AX287">
            <v>0.84716157205240172</v>
          </cell>
          <cell r="AY287">
            <v>0.63537117903930129</v>
          </cell>
          <cell r="AZ287">
            <v>0.60917030567685593</v>
          </cell>
          <cell r="BG287">
            <v>0.35152838427947597</v>
          </cell>
          <cell r="BH287">
            <v>0.41048034934497818</v>
          </cell>
          <cell r="BI287">
            <v>0.41048034934497818</v>
          </cell>
          <cell r="BJ287">
            <v>0.50436681222707425</v>
          </cell>
          <cell r="BQ287">
            <v>0.87117903930131002</v>
          </cell>
          <cell r="BR287">
            <v>0.98253275109170302</v>
          </cell>
          <cell r="BS287">
            <v>0.62008733624454149</v>
          </cell>
          <cell r="BT287">
            <v>0.93449781659388642</v>
          </cell>
          <cell r="BX287">
            <v>0.86244541484716153</v>
          </cell>
          <cell r="CJ287">
            <v>3.9301310043668124E-2</v>
          </cell>
          <cell r="CK287">
            <v>0.95196506550218341</v>
          </cell>
        </row>
        <row r="288">
          <cell r="A288" t="str">
            <v>Michael McCarron</v>
          </cell>
          <cell r="B288" t="str">
            <v>NSH</v>
          </cell>
          <cell r="I288">
            <v>0.3930131004366812</v>
          </cell>
          <cell r="J288">
            <v>0.75327510917030571</v>
          </cell>
          <cell r="K288">
            <v>2.6200873362445413E-2</v>
          </cell>
          <cell r="L288">
            <v>0.388646288209607</v>
          </cell>
          <cell r="S288">
            <v>0.16812227074235808</v>
          </cell>
          <cell r="T288">
            <v>2.6200873362445413E-2</v>
          </cell>
          <cell r="U288">
            <v>9.606986899563319E-2</v>
          </cell>
          <cell r="V288">
            <v>2.4017467248908297E-2</v>
          </cell>
          <cell r="AC288">
            <v>6.5502183406113537E-2</v>
          </cell>
          <cell r="AD288">
            <v>0.67030567685589515</v>
          </cell>
          <cell r="AE288">
            <v>0.6506550218340611</v>
          </cell>
          <cell r="AF288">
            <v>0.39082969432314413</v>
          </cell>
          <cell r="AM288">
            <v>0.61790393013100442</v>
          </cell>
          <cell r="AN288">
            <v>0.92358078602620086</v>
          </cell>
          <cell r="AO288">
            <v>0.28384279475982532</v>
          </cell>
          <cell r="AP288">
            <v>0.57641921397379914</v>
          </cell>
          <cell r="AW288">
            <v>0.1222707423580786</v>
          </cell>
          <cell r="AX288">
            <v>0.78820960698689957</v>
          </cell>
          <cell r="AY288">
            <v>0.71179039301310043</v>
          </cell>
          <cell r="AZ288">
            <v>0.59825327510917026</v>
          </cell>
          <cell r="BG288">
            <v>5.2401746724890827E-2</v>
          </cell>
          <cell r="BH288">
            <v>1.0917030567685589E-2</v>
          </cell>
          <cell r="BI288">
            <v>2.1834061135371178E-2</v>
          </cell>
          <cell r="BJ288">
            <v>0.18122270742358079</v>
          </cell>
          <cell r="BQ288">
            <v>0.16157205240174671</v>
          </cell>
          <cell r="BR288">
            <v>0.77729257641921401</v>
          </cell>
          <cell r="BS288">
            <v>6.5502183406113537E-2</v>
          </cell>
          <cell r="BT288">
            <v>0.36244541484716158</v>
          </cell>
          <cell r="BX288">
            <v>0.17685589519650655</v>
          </cell>
          <cell r="CJ288">
            <v>5.6768558951965066E-2</v>
          </cell>
          <cell r="CK288">
            <v>0.74890829694323147</v>
          </cell>
        </row>
        <row r="289">
          <cell r="A289" t="str">
            <v>Michael McLeod</v>
          </cell>
          <cell r="B289" t="str">
            <v>N.J</v>
          </cell>
          <cell r="I289">
            <v>0.64410480349344978</v>
          </cell>
          <cell r="J289">
            <v>0.75327510917030571</v>
          </cell>
          <cell r="K289">
            <v>0.41703056768558949</v>
          </cell>
          <cell r="L289">
            <v>0.70960698689956336</v>
          </cell>
          <cell r="S289">
            <v>3.2751091703056769E-2</v>
          </cell>
          <cell r="T289">
            <v>0.888646288209607</v>
          </cell>
          <cell r="U289">
            <v>0.76419213973799127</v>
          </cell>
          <cell r="V289">
            <v>0.54366812227074235</v>
          </cell>
          <cell r="AC289">
            <v>0.39737991266375544</v>
          </cell>
          <cell r="AD289">
            <v>0.66157205240174677</v>
          </cell>
          <cell r="AE289">
            <v>0.78384279475982532</v>
          </cell>
          <cell r="AF289">
            <v>0.32532751091703055</v>
          </cell>
          <cell r="AM289">
            <v>0.1965065502183406</v>
          </cell>
          <cell r="AN289">
            <v>0.24672489082969432</v>
          </cell>
          <cell r="AO289">
            <v>0.2183406113537118</v>
          </cell>
          <cell r="AP289">
            <v>0.17903930131004367</v>
          </cell>
          <cell r="AW289">
            <v>8.5152838427947602E-2</v>
          </cell>
          <cell r="AX289">
            <v>0.18995633187772926</v>
          </cell>
          <cell r="AY289">
            <v>0.63537117903930129</v>
          </cell>
          <cell r="AZ289">
            <v>5.6768558951965066E-2</v>
          </cell>
          <cell r="BG289">
            <v>0.24890829694323144</v>
          </cell>
          <cell r="BH289">
            <v>9.606986899563319E-2</v>
          </cell>
          <cell r="BI289">
            <v>0.34061135371179041</v>
          </cell>
          <cell r="BJ289">
            <v>0.61790393013100442</v>
          </cell>
          <cell r="BQ289">
            <v>0.54803493449781659</v>
          </cell>
          <cell r="BR289">
            <v>0.76637554585152834</v>
          </cell>
          <cell r="BS289">
            <v>0.63755458515283847</v>
          </cell>
          <cell r="BT289">
            <v>0.55676855895196509</v>
          </cell>
          <cell r="BX289">
            <v>0.29912663755458513</v>
          </cell>
          <cell r="CJ289">
            <v>0.36026200873362446</v>
          </cell>
          <cell r="CK289">
            <v>0.76200873362445409</v>
          </cell>
        </row>
        <row r="290">
          <cell r="A290" t="str">
            <v>Michael Pezzetta</v>
          </cell>
          <cell r="B290" t="str">
            <v>MTL</v>
          </cell>
          <cell r="I290">
            <v>5.0218340611353711E-2</v>
          </cell>
          <cell r="J290">
            <v>0.20524017467248909</v>
          </cell>
          <cell r="K290">
            <v>0.66812227074235808</v>
          </cell>
          <cell r="L290">
            <v>0.17685589519650655</v>
          </cell>
          <cell r="S290">
            <v>0.63100436681222705</v>
          </cell>
          <cell r="T290">
            <v>0.33624454148471616</v>
          </cell>
          <cell r="U290">
            <v>0.75109170305676853</v>
          </cell>
          <cell r="V290">
            <v>0.43886462882096072</v>
          </cell>
          <cell r="AC290">
            <v>0.42576419213973798</v>
          </cell>
          <cell r="AD290">
            <v>0.41048034934497818</v>
          </cell>
          <cell r="AE290">
            <v>0.12882096069868995</v>
          </cell>
          <cell r="AF290">
            <v>0.54585152838427953</v>
          </cell>
          <cell r="AM290">
            <v>0.29694323144104806</v>
          </cell>
          <cell r="AN290">
            <v>0.47161572052401746</v>
          </cell>
          <cell r="AO290">
            <v>0.66812227074235808</v>
          </cell>
          <cell r="AP290">
            <v>0.37117903930131002</v>
          </cell>
          <cell r="AW290">
            <v>0.75327510917030571</v>
          </cell>
          <cell r="AX290">
            <v>0.92576419213973804</v>
          </cell>
          <cell r="AY290">
            <v>0.45851528384279477</v>
          </cell>
          <cell r="AZ290">
            <v>0.97161572052401746</v>
          </cell>
          <cell r="BG290">
            <v>2.6200873362445413E-2</v>
          </cell>
          <cell r="BH290">
            <v>0.32532751091703055</v>
          </cell>
          <cell r="BI290">
            <v>0.91048034934497812</v>
          </cell>
          <cell r="BJ290">
            <v>0.59388646288209612</v>
          </cell>
          <cell r="BQ290">
            <v>0.11790393013100436</v>
          </cell>
          <cell r="BR290">
            <v>0.22707423580786026</v>
          </cell>
          <cell r="BS290">
            <v>0.35589519650655022</v>
          </cell>
          <cell r="BT290">
            <v>0.26200873362445415</v>
          </cell>
          <cell r="BX290">
            <v>0.34497816593886466</v>
          </cell>
          <cell r="CJ290">
            <v>2.1834061135371178E-2</v>
          </cell>
          <cell r="CK290">
            <v>0.98034934497816595</v>
          </cell>
        </row>
        <row r="291">
          <cell r="A291" t="str">
            <v>Michael Rasmussen</v>
          </cell>
          <cell r="B291" t="str">
            <v>DET</v>
          </cell>
          <cell r="I291">
            <v>0.17248908296943233</v>
          </cell>
          <cell r="J291">
            <v>0.40393013100436681</v>
          </cell>
          <cell r="K291">
            <v>0.63973799126637554</v>
          </cell>
          <cell r="L291">
            <v>0.29039301310043669</v>
          </cell>
          <cell r="S291">
            <v>0.42358078602620086</v>
          </cell>
          <cell r="T291">
            <v>0.76200873362445409</v>
          </cell>
          <cell r="U291">
            <v>0.79912663755458513</v>
          </cell>
          <cell r="V291">
            <v>0.64410480349344978</v>
          </cell>
          <cell r="AC291">
            <v>0.50436681222707425</v>
          </cell>
          <cell r="AD291">
            <v>0.64192139737991272</v>
          </cell>
          <cell r="AE291">
            <v>0.35371179039301309</v>
          </cell>
          <cell r="AF291">
            <v>0.78602620087336239</v>
          </cell>
          <cell r="AM291">
            <v>0.48034934497816595</v>
          </cell>
          <cell r="AN291">
            <v>0.81441048034934493</v>
          </cell>
          <cell r="AO291">
            <v>0.74235807860262004</v>
          </cell>
          <cell r="AP291">
            <v>0.65502183406113534</v>
          </cell>
          <cell r="AW291">
            <v>0.52838427947598254</v>
          </cell>
          <cell r="AX291">
            <v>0.82969432314410485</v>
          </cell>
          <cell r="AY291">
            <v>0.22270742358078602</v>
          </cell>
          <cell r="AZ291">
            <v>0.85589519650655022</v>
          </cell>
          <cell r="BG291">
            <v>0.47161572052401746</v>
          </cell>
          <cell r="BH291">
            <v>0.51965065502183405</v>
          </cell>
          <cell r="BI291">
            <v>0.89519650655021832</v>
          </cell>
          <cell r="BJ291">
            <v>0.74672489082969429</v>
          </cell>
          <cell r="BQ291">
            <v>0.2576419213973799</v>
          </cell>
          <cell r="BR291">
            <v>0.47816593886462883</v>
          </cell>
          <cell r="BS291">
            <v>0.48471615720524019</v>
          </cell>
          <cell r="BT291">
            <v>0.51528384279475981</v>
          </cell>
          <cell r="BX291">
            <v>0.56986899563318782</v>
          </cell>
          <cell r="CJ291">
            <v>9.1703056768558958E-2</v>
          </cell>
          <cell r="CK291">
            <v>0.96506550218340614</v>
          </cell>
        </row>
        <row r="292">
          <cell r="A292" t="str">
            <v>Mika Zibanejad</v>
          </cell>
          <cell r="B292" t="str">
            <v>NYR</v>
          </cell>
          <cell r="I292">
            <v>0.55458515283842791</v>
          </cell>
          <cell r="J292">
            <v>0.56986899563318782</v>
          </cell>
          <cell r="K292">
            <v>0.65720524017467252</v>
          </cell>
          <cell r="L292">
            <v>0.50436681222707425</v>
          </cell>
          <cell r="S292">
            <v>0.74890829694323147</v>
          </cell>
          <cell r="T292">
            <v>0.8253275109170306</v>
          </cell>
          <cell r="U292">
            <v>0.89519650655021832</v>
          </cell>
          <cell r="V292">
            <v>0.83406113537117899</v>
          </cell>
          <cell r="AC292">
            <v>0.61353711790393017</v>
          </cell>
          <cell r="AD292">
            <v>0.15283842794759825</v>
          </cell>
          <cell r="AE292">
            <v>0.89956331877729256</v>
          </cell>
          <cell r="AF292">
            <v>0.44104803493449779</v>
          </cell>
          <cell r="AM292">
            <v>0.64628820960698685</v>
          </cell>
          <cell r="AN292">
            <v>0.60043668122270744</v>
          </cell>
          <cell r="AO292">
            <v>0.60480349344978168</v>
          </cell>
          <cell r="AP292">
            <v>0.6026200873362445</v>
          </cell>
          <cell r="AW292">
            <v>0.42139737991266374</v>
          </cell>
          <cell r="AX292">
            <v>0.14410480349344978</v>
          </cell>
          <cell r="AY292">
            <v>0.81222707423580787</v>
          </cell>
          <cell r="AZ292">
            <v>0.41921397379912662</v>
          </cell>
          <cell r="BG292">
            <v>0.74890829694323147</v>
          </cell>
          <cell r="BH292">
            <v>0.25109170305676853</v>
          </cell>
          <cell r="BI292">
            <v>0.70305676855895194</v>
          </cell>
          <cell r="BJ292">
            <v>0.87991266375545851</v>
          </cell>
          <cell r="BQ292">
            <v>0.59388646288209612</v>
          </cell>
          <cell r="BR292">
            <v>0.36026200873362446</v>
          </cell>
          <cell r="BS292">
            <v>0.88209606986899558</v>
          </cell>
          <cell r="BT292">
            <v>0.48471615720524019</v>
          </cell>
          <cell r="BX292">
            <v>0.68122270742358082</v>
          </cell>
          <cell r="CJ292">
            <v>0.84497816593886466</v>
          </cell>
          <cell r="CK292">
            <v>0.61572052401746724</v>
          </cell>
        </row>
        <row r="293">
          <cell r="A293" t="str">
            <v>Mikael Backlund</v>
          </cell>
          <cell r="B293" t="str">
            <v>CGY</v>
          </cell>
          <cell r="I293">
            <v>0.96943231441048039</v>
          </cell>
          <cell r="J293">
            <v>0.81659388646288211</v>
          </cell>
          <cell r="K293">
            <v>0.74890829694323147</v>
          </cell>
          <cell r="L293">
            <v>0.91703056768558955</v>
          </cell>
          <cell r="S293">
            <v>0.5873362445414847</v>
          </cell>
          <cell r="T293">
            <v>0.78602620087336239</v>
          </cell>
          <cell r="U293">
            <v>0.76419213973799127</v>
          </cell>
          <cell r="V293">
            <v>0.73580786026200873</v>
          </cell>
          <cell r="AC293">
            <v>0.98034934497816595</v>
          </cell>
          <cell r="AD293">
            <v>0.83842794759825323</v>
          </cell>
          <cell r="AE293">
            <v>0.89519650655021832</v>
          </cell>
          <cell r="AF293">
            <v>0.93886462882096067</v>
          </cell>
          <cell r="AM293">
            <v>0.84716157205240172</v>
          </cell>
          <cell r="AN293">
            <v>0.8733624454148472</v>
          </cell>
          <cell r="AO293">
            <v>0.6506550218340611</v>
          </cell>
          <cell r="AP293">
            <v>0.84716157205240172</v>
          </cell>
          <cell r="AW293">
            <v>0.88427947598253276</v>
          </cell>
          <cell r="AX293">
            <v>0.63537117903930129</v>
          </cell>
          <cell r="AY293">
            <v>0.94978165938864634</v>
          </cell>
          <cell r="AZ293">
            <v>0.82969432314410485</v>
          </cell>
          <cell r="BG293">
            <v>0.73580786026200873</v>
          </cell>
          <cell r="BH293">
            <v>0.46288209606986902</v>
          </cell>
          <cell r="BI293">
            <v>0.35589519650655022</v>
          </cell>
          <cell r="BJ293">
            <v>0.50436681222707425</v>
          </cell>
          <cell r="BQ293">
            <v>0.99126637554585151</v>
          </cell>
          <cell r="BR293">
            <v>0.89519650655021832</v>
          </cell>
          <cell r="BS293">
            <v>0.9126637554585153</v>
          </cell>
          <cell r="BT293">
            <v>0.97379912663755464</v>
          </cell>
          <cell r="BX293">
            <v>0.98689956331877726</v>
          </cell>
          <cell r="CJ293">
            <v>0.46506550218340609</v>
          </cell>
          <cell r="CK293">
            <v>0.11353711790393013</v>
          </cell>
        </row>
        <row r="294">
          <cell r="A294" t="str">
            <v>Mikael Granlund</v>
          </cell>
          <cell r="B294" t="str">
            <v>NSH, PIT</v>
          </cell>
          <cell r="I294">
            <v>0.43886462882096072</v>
          </cell>
          <cell r="J294">
            <v>0.53056768558951961</v>
          </cell>
          <cell r="K294">
            <v>0.28384279475982532</v>
          </cell>
          <cell r="L294">
            <v>0.58296943231441045</v>
          </cell>
          <cell r="S294">
            <v>0.11572052401746726</v>
          </cell>
          <cell r="T294">
            <v>0.4606986899563319</v>
          </cell>
          <cell r="U294">
            <v>0.39519650655021832</v>
          </cell>
          <cell r="V294">
            <v>0.23144104803493451</v>
          </cell>
          <cell r="AC294">
            <v>0.1222707423580786</v>
          </cell>
          <cell r="AD294">
            <v>0.15720524017467249</v>
          </cell>
          <cell r="AE294">
            <v>0.51965065502183405</v>
          </cell>
          <cell r="AF294">
            <v>0.16157205240174671</v>
          </cell>
          <cell r="AM294">
            <v>0.16593886462882096</v>
          </cell>
          <cell r="AN294">
            <v>0.19213973799126638</v>
          </cell>
          <cell r="AO294">
            <v>0.31877729257641924</v>
          </cell>
          <cell r="AP294">
            <v>0.26200873362445415</v>
          </cell>
          <cell r="AW294">
            <v>0.10262008733624454</v>
          </cell>
          <cell r="AX294">
            <v>0.12663755458515283</v>
          </cell>
          <cell r="AY294">
            <v>0.40611353711790393</v>
          </cell>
          <cell r="AZ294">
            <v>0.15720524017467249</v>
          </cell>
          <cell r="BG294">
            <v>0.62882096069868998</v>
          </cell>
          <cell r="BH294">
            <v>0.47816593886462883</v>
          </cell>
          <cell r="BI294">
            <v>0.30131004366812225</v>
          </cell>
          <cell r="BJ294">
            <v>0.52183406113537123</v>
          </cell>
          <cell r="BQ294">
            <v>0.24017467248908297</v>
          </cell>
          <cell r="BR294">
            <v>0.33842794759825329</v>
          </cell>
          <cell r="BS294">
            <v>0.33842794759825329</v>
          </cell>
          <cell r="BT294">
            <v>0.34934497816593885</v>
          </cell>
          <cell r="BX294">
            <v>0.12008733624454149</v>
          </cell>
          <cell r="CJ294">
            <v>0.76855895196506552</v>
          </cell>
          <cell r="CK294">
            <v>0.29039301310043669</v>
          </cell>
        </row>
        <row r="295">
          <cell r="A295" t="str">
            <v>Mike Hoffman</v>
          </cell>
          <cell r="B295" t="str">
            <v>MTL</v>
          </cell>
          <cell r="I295">
            <v>9.606986899563319E-2</v>
          </cell>
          <cell r="J295">
            <v>0.17467248908296942</v>
          </cell>
          <cell r="K295">
            <v>0.33842794759825329</v>
          </cell>
          <cell r="L295">
            <v>0.15283842794759825</v>
          </cell>
          <cell r="S295">
            <v>0.65938864628820959</v>
          </cell>
          <cell r="T295">
            <v>0.21615720524017468</v>
          </cell>
          <cell r="U295">
            <v>0.23580786026200873</v>
          </cell>
          <cell r="V295">
            <v>0.36244541484716158</v>
          </cell>
          <cell r="AC295">
            <v>0.43886462882096072</v>
          </cell>
          <cell r="AD295">
            <v>0.16375545851528384</v>
          </cell>
          <cell r="AE295">
            <v>0.59825327510917026</v>
          </cell>
          <cell r="AF295">
            <v>0.21179039301310043</v>
          </cell>
          <cell r="AM295">
            <v>0.36462882096069871</v>
          </cell>
          <cell r="AN295">
            <v>0.47379912663755458</v>
          </cell>
          <cell r="AO295">
            <v>0.36244541484716158</v>
          </cell>
          <cell r="AP295">
            <v>0.41048034934497818</v>
          </cell>
          <cell r="AW295">
            <v>0.81659388646288211</v>
          </cell>
          <cell r="AX295">
            <v>0.63973799126637554</v>
          </cell>
          <cell r="AY295">
            <v>0.92576419213973804</v>
          </cell>
          <cell r="AZ295">
            <v>0.70960698689956336</v>
          </cell>
          <cell r="BG295">
            <v>0.55676855895196509</v>
          </cell>
          <cell r="BH295">
            <v>0.44978165938864628</v>
          </cell>
          <cell r="BI295">
            <v>0.54148471615720528</v>
          </cell>
          <cell r="BJ295">
            <v>0.68340611353711789</v>
          </cell>
          <cell r="BQ295">
            <v>0.15502183406113537</v>
          </cell>
          <cell r="BR295">
            <v>0.13100436681222707</v>
          </cell>
          <cell r="BS295">
            <v>0.42358078602620086</v>
          </cell>
          <cell r="BT295">
            <v>0.14192139737991266</v>
          </cell>
          <cell r="BX295">
            <v>0.24454148471615719</v>
          </cell>
          <cell r="CJ295">
            <v>0.38646288209606988</v>
          </cell>
          <cell r="CK295">
            <v>6.1135371179039298E-2</v>
          </cell>
        </row>
        <row r="296">
          <cell r="A296" t="str">
            <v>Mikko Rantanen</v>
          </cell>
          <cell r="B296" t="str">
            <v>COL</v>
          </cell>
          <cell r="I296">
            <v>0.90393013100436681</v>
          </cell>
          <cell r="J296">
            <v>0.61572052401746724</v>
          </cell>
          <cell r="K296">
            <v>0.8733624454148472</v>
          </cell>
          <cell r="L296">
            <v>0.85371179039301315</v>
          </cell>
          <cell r="S296">
            <v>0.9759825327510917</v>
          </cell>
          <cell r="T296">
            <v>0.5</v>
          </cell>
          <cell r="U296">
            <v>0.58078602620087338</v>
          </cell>
          <cell r="V296">
            <v>0.88427947598253276</v>
          </cell>
          <cell r="AC296">
            <v>0.18995633187772926</v>
          </cell>
          <cell r="AD296">
            <v>0.25982532751091703</v>
          </cell>
          <cell r="AE296">
            <v>0.3930131004366812</v>
          </cell>
          <cell r="AF296">
            <v>0.31441048034934499</v>
          </cell>
          <cell r="AM296">
            <v>0.97379912663755464</v>
          </cell>
          <cell r="AN296">
            <v>0.76637554585152834</v>
          </cell>
          <cell r="AO296">
            <v>0.93013100436681218</v>
          </cell>
          <cell r="AP296">
            <v>0.94104803493449785</v>
          </cell>
          <cell r="AW296">
            <v>2.6200873362445413E-2</v>
          </cell>
          <cell r="AX296">
            <v>7.8602620087336247E-2</v>
          </cell>
          <cell r="AY296">
            <v>7.4235807860262015E-2</v>
          </cell>
          <cell r="AZ296">
            <v>5.0218340611353711E-2</v>
          </cell>
          <cell r="BG296">
            <v>0.99781659388646293</v>
          </cell>
          <cell r="BH296">
            <v>0.93449781659388642</v>
          </cell>
          <cell r="BI296">
            <v>0.67903930131004364</v>
          </cell>
          <cell r="BJ296">
            <v>0.70960698689956336</v>
          </cell>
          <cell r="BQ296">
            <v>0.69868995633187769</v>
          </cell>
          <cell r="BR296">
            <v>0.43449781659388648</v>
          </cell>
          <cell r="BS296">
            <v>0.74454148471615722</v>
          </cell>
          <cell r="BT296">
            <v>0.70305676855895194</v>
          </cell>
          <cell r="BX296">
            <v>0.72707423580786024</v>
          </cell>
          <cell r="CJ296">
            <v>0.13755458515283842</v>
          </cell>
          <cell r="CK296">
            <v>0.71179039301310043</v>
          </cell>
        </row>
        <row r="297">
          <cell r="A297" t="str">
            <v>Milan Lucic</v>
          </cell>
          <cell r="B297" t="str">
            <v>CGY</v>
          </cell>
          <cell r="I297">
            <v>0.68340611353711789</v>
          </cell>
          <cell r="J297">
            <v>0.31004366812227074</v>
          </cell>
          <cell r="K297">
            <v>0.32532751091703055</v>
          </cell>
          <cell r="L297">
            <v>0.42358078602620086</v>
          </cell>
          <cell r="S297">
            <v>0.27510917030567683</v>
          </cell>
          <cell r="T297">
            <v>0.27074235807860264</v>
          </cell>
          <cell r="U297">
            <v>0.53711790393013104</v>
          </cell>
          <cell r="V297">
            <v>0.1965065502183406</v>
          </cell>
          <cell r="AC297">
            <v>0.68558951965065507</v>
          </cell>
          <cell r="AD297">
            <v>0.64192139737991272</v>
          </cell>
          <cell r="AE297">
            <v>0.16375545851528384</v>
          </cell>
          <cell r="AF297">
            <v>0.57860262008733621</v>
          </cell>
          <cell r="AM297">
            <v>7.2052401746724892E-2</v>
          </cell>
          <cell r="AN297">
            <v>0.1331877729257642</v>
          </cell>
          <cell r="AO297">
            <v>0.19213973799126638</v>
          </cell>
          <cell r="AP297">
            <v>7.8602620087336247E-2</v>
          </cell>
          <cell r="AW297">
            <v>0.1222707423580786</v>
          </cell>
          <cell r="AX297">
            <v>0.26855895196506552</v>
          </cell>
          <cell r="AY297">
            <v>5.0218340611353711E-2</v>
          </cell>
          <cell r="AZ297">
            <v>0.21179039301310043</v>
          </cell>
          <cell r="BG297">
            <v>0.2816593886462882</v>
          </cell>
          <cell r="BH297">
            <v>0.85589519650655022</v>
          </cell>
          <cell r="BI297">
            <v>0.22707423580786026</v>
          </cell>
          <cell r="BJ297">
            <v>4.3668122270742356E-2</v>
          </cell>
          <cell r="BQ297">
            <v>0.72489082969432317</v>
          </cell>
          <cell r="BR297">
            <v>0.42576419213973798</v>
          </cell>
          <cell r="BS297">
            <v>0.18558951965065501</v>
          </cell>
          <cell r="BT297">
            <v>0.49126637554585151</v>
          </cell>
          <cell r="BX297">
            <v>0.27510917030567683</v>
          </cell>
          <cell r="CJ297">
            <v>0.2423580786026201</v>
          </cell>
          <cell r="CK297">
            <v>0.10480349344978165</v>
          </cell>
        </row>
        <row r="298">
          <cell r="A298" t="str">
            <v>Miles Wood</v>
          </cell>
          <cell r="B298" t="str">
            <v>N.J</v>
          </cell>
          <cell r="I298">
            <v>0.75764192139737996</v>
          </cell>
          <cell r="J298">
            <v>0.77729257641921401</v>
          </cell>
          <cell r="K298">
            <v>0.39519650655021832</v>
          </cell>
          <cell r="L298">
            <v>0.72925764192139741</v>
          </cell>
          <cell r="S298">
            <v>0.67685589519650657</v>
          </cell>
          <cell r="T298">
            <v>0.53056768558951961</v>
          </cell>
          <cell r="U298">
            <v>0.64847161572052403</v>
          </cell>
          <cell r="V298">
            <v>0.60480349344978168</v>
          </cell>
          <cell r="AC298">
            <v>0.34061135371179041</v>
          </cell>
          <cell r="AD298">
            <v>0.64192139737991272</v>
          </cell>
          <cell r="AE298">
            <v>0.83624454148471616</v>
          </cell>
          <cell r="AF298">
            <v>0.21179039301310043</v>
          </cell>
          <cell r="AM298">
            <v>0.38209606986899564</v>
          </cell>
          <cell r="AN298">
            <v>0.32751091703056767</v>
          </cell>
          <cell r="AO298">
            <v>0.18122270742358079</v>
          </cell>
          <cell r="AP298">
            <v>0.21179039301310043</v>
          </cell>
          <cell r="AW298">
            <v>6.5502183406113537E-2</v>
          </cell>
          <cell r="AX298">
            <v>0.1943231441048035</v>
          </cell>
          <cell r="AY298">
            <v>0.72052401746724892</v>
          </cell>
          <cell r="AZ298">
            <v>2.6200873362445413E-2</v>
          </cell>
          <cell r="BG298">
            <v>0.25327510917030566</v>
          </cell>
          <cell r="BH298">
            <v>0.27510917030567683</v>
          </cell>
          <cell r="BI298">
            <v>0.27947598253275108</v>
          </cell>
          <cell r="BJ298">
            <v>0.61790393013100442</v>
          </cell>
          <cell r="BQ298">
            <v>0.60917030567685593</v>
          </cell>
          <cell r="BR298">
            <v>0.79257641921397382</v>
          </cell>
          <cell r="BS298">
            <v>0.68340611353711789</v>
          </cell>
          <cell r="BT298">
            <v>0.5</v>
          </cell>
          <cell r="BX298">
            <v>0.35807860262008734</v>
          </cell>
          <cell r="CJ298">
            <v>6.3318777292576414E-2</v>
          </cell>
          <cell r="CK298">
            <v>0.91921397379912662</v>
          </cell>
        </row>
        <row r="299">
          <cell r="A299" t="str">
            <v>Mitchell Marner</v>
          </cell>
          <cell r="B299" t="str">
            <v>TOR</v>
          </cell>
          <cell r="I299">
            <v>0.71179039301310043</v>
          </cell>
          <cell r="J299">
            <v>0.84061135371179041</v>
          </cell>
          <cell r="K299">
            <v>0.88646288209606983</v>
          </cell>
          <cell r="L299">
            <v>0.82096069868995636</v>
          </cell>
          <cell r="S299">
            <v>0.65938864628820959</v>
          </cell>
          <cell r="T299">
            <v>0.99781659388646293</v>
          </cell>
          <cell r="U299">
            <v>0.99781659388646293</v>
          </cell>
          <cell r="V299">
            <v>0.96724890829694321</v>
          </cell>
          <cell r="AC299">
            <v>0.73144104803493448</v>
          </cell>
          <cell r="AD299">
            <v>0.59170305676855894</v>
          </cell>
          <cell r="AE299">
            <v>0.80349344978165937</v>
          </cell>
          <cell r="AF299">
            <v>0.74017467248908297</v>
          </cell>
          <cell r="AM299">
            <v>0.62445414847161573</v>
          </cell>
          <cell r="AN299">
            <v>0.64847161572052403</v>
          </cell>
          <cell r="AO299">
            <v>0.83624454148471616</v>
          </cell>
          <cell r="AP299">
            <v>0.62445414847161573</v>
          </cell>
          <cell r="AW299">
            <v>0.5873362445414847</v>
          </cell>
          <cell r="AX299">
            <v>0.55458515283842791</v>
          </cell>
          <cell r="AY299">
            <v>0.55021834061135366</v>
          </cell>
          <cell r="AZ299">
            <v>0.65502183406113534</v>
          </cell>
          <cell r="BG299">
            <v>0.91484716157205237</v>
          </cell>
          <cell r="BH299">
            <v>0.86681222707423577</v>
          </cell>
          <cell r="BI299">
            <v>0.87554585152838427</v>
          </cell>
          <cell r="BJ299">
            <v>0.91921397379912662</v>
          </cell>
          <cell r="BQ299">
            <v>0.77729257641921401</v>
          </cell>
          <cell r="BR299">
            <v>0.8253275109170306</v>
          </cell>
          <cell r="BS299">
            <v>0.9366812227074236</v>
          </cell>
          <cell r="BT299">
            <v>0.8493449781659389</v>
          </cell>
          <cell r="BX299">
            <v>0.92139737991266379</v>
          </cell>
          <cell r="CJ299">
            <v>0.63100436681222705</v>
          </cell>
          <cell r="CK299">
            <v>0.54803493449781659</v>
          </cell>
        </row>
        <row r="300">
          <cell r="A300" t="str">
            <v>Morgan Barron</v>
          </cell>
          <cell r="B300" t="str">
            <v>WPG</v>
          </cell>
          <cell r="I300">
            <v>0.44323144104803491</v>
          </cell>
          <cell r="J300">
            <v>0.81877729257641918</v>
          </cell>
          <cell r="K300">
            <v>0.16593886462882096</v>
          </cell>
          <cell r="L300">
            <v>0.80786026200873362</v>
          </cell>
          <cell r="S300">
            <v>0.23144104803493451</v>
          </cell>
          <cell r="T300">
            <v>0.24890829694323144</v>
          </cell>
          <cell r="U300">
            <v>0.26637554585152839</v>
          </cell>
          <cell r="V300">
            <v>0.15938864628820962</v>
          </cell>
          <cell r="AC300">
            <v>0.78384279475982532</v>
          </cell>
          <cell r="AD300">
            <v>0.26419213973799127</v>
          </cell>
          <cell r="AE300">
            <v>0.87554585152838427</v>
          </cell>
          <cell r="AF300">
            <v>0.56550218340611358</v>
          </cell>
          <cell r="AM300">
            <v>0.24454148471615719</v>
          </cell>
          <cell r="AN300">
            <v>0.83187772925764192</v>
          </cell>
          <cell r="AO300">
            <v>0.16812227074235808</v>
          </cell>
          <cell r="AP300">
            <v>0.72707423580786024</v>
          </cell>
          <cell r="AW300">
            <v>0.79257641921397382</v>
          </cell>
          <cell r="AX300">
            <v>0.1331877729257642</v>
          </cell>
          <cell r="AY300">
            <v>0.81222707423580787</v>
          </cell>
          <cell r="AZ300">
            <v>0.59825327510917026</v>
          </cell>
          <cell r="BG300">
            <v>0.33406113537117904</v>
          </cell>
          <cell r="BH300">
            <v>0.16375545851528384</v>
          </cell>
          <cell r="BI300">
            <v>0.15065502183406113</v>
          </cell>
          <cell r="BJ300">
            <v>0.50436681222707425</v>
          </cell>
          <cell r="BQ300">
            <v>0.61790393013100442</v>
          </cell>
          <cell r="BR300">
            <v>0.64410480349344978</v>
          </cell>
          <cell r="BS300">
            <v>0.45196506550218341</v>
          </cell>
          <cell r="BT300">
            <v>0.77292576419213976</v>
          </cell>
          <cell r="BX300">
            <v>0.55676855895196509</v>
          </cell>
          <cell r="CJ300">
            <v>0.31441048034934499</v>
          </cell>
          <cell r="CK300">
            <v>0.40174672489082969</v>
          </cell>
        </row>
        <row r="301">
          <cell r="A301" t="str">
            <v>Morgan Frost</v>
          </cell>
          <cell r="B301" t="str">
            <v>PHI</v>
          </cell>
          <cell r="I301">
            <v>0.43231441048034935</v>
          </cell>
          <cell r="J301">
            <v>0.46943231441048033</v>
          </cell>
          <cell r="K301">
            <v>0.56113537117903933</v>
          </cell>
          <cell r="L301">
            <v>0.31659388646288211</v>
          </cell>
          <cell r="S301">
            <v>0.76200873362445409</v>
          </cell>
          <cell r="T301">
            <v>0.66812227074235808</v>
          </cell>
          <cell r="U301">
            <v>0.44104803493449779</v>
          </cell>
          <cell r="V301">
            <v>0.75764192139737996</v>
          </cell>
          <cell r="AC301">
            <v>0.41484716157205243</v>
          </cell>
          <cell r="AD301">
            <v>0.52183406113537123</v>
          </cell>
          <cell r="AE301">
            <v>0.36462882096069871</v>
          </cell>
          <cell r="AF301">
            <v>0.52838427947598254</v>
          </cell>
          <cell r="AM301">
            <v>0.52183406113537123</v>
          </cell>
          <cell r="AN301">
            <v>0.62445414847161573</v>
          </cell>
          <cell r="AO301">
            <v>0.74235807860262004</v>
          </cell>
          <cell r="AP301">
            <v>0.47379912663755458</v>
          </cell>
          <cell r="AW301">
            <v>0.43231441048034935</v>
          </cell>
          <cell r="AX301">
            <v>0.57205240174672489</v>
          </cell>
          <cell r="AY301">
            <v>0.34716157205240172</v>
          </cell>
          <cell r="AZ301">
            <v>0.57205240174672489</v>
          </cell>
          <cell r="BG301">
            <v>0.71834061135371174</v>
          </cell>
          <cell r="BH301">
            <v>0.79039301310043664</v>
          </cell>
          <cell r="BI301">
            <v>0.63318777292576423</v>
          </cell>
          <cell r="BJ301">
            <v>0.44323144104803491</v>
          </cell>
          <cell r="BQ301">
            <v>0.40829694323144106</v>
          </cell>
          <cell r="BR301">
            <v>0.45633187772925765</v>
          </cell>
          <cell r="BS301">
            <v>0.44978165938864628</v>
          </cell>
          <cell r="BT301">
            <v>0.36899563318777295</v>
          </cell>
          <cell r="BX301">
            <v>0.51310043668122274</v>
          </cell>
          <cell r="CJ301">
            <v>0.73362445414847166</v>
          </cell>
          <cell r="CK301">
            <v>0.37336244541484714</v>
          </cell>
        </row>
        <row r="302">
          <cell r="A302" t="str">
            <v>Morgan Geekie</v>
          </cell>
          <cell r="B302" t="str">
            <v>SEA</v>
          </cell>
          <cell r="I302">
            <v>0.65720524017467252</v>
          </cell>
          <cell r="J302">
            <v>0.49344978165938863</v>
          </cell>
          <cell r="K302">
            <v>0.96724890829694321</v>
          </cell>
          <cell r="L302">
            <v>0.55458515283842791</v>
          </cell>
          <cell r="S302">
            <v>0.6026200873362445</v>
          </cell>
          <cell r="T302">
            <v>0.97379912663755464</v>
          </cell>
          <cell r="U302">
            <v>0.9366812227074236</v>
          </cell>
          <cell r="V302">
            <v>0.93013100436681218</v>
          </cell>
          <cell r="AC302">
            <v>0.79039301310043664</v>
          </cell>
          <cell r="AD302">
            <v>0.20524017467248909</v>
          </cell>
          <cell r="AE302">
            <v>0.41703056768558949</v>
          </cell>
          <cell r="AF302">
            <v>0.47816593886462883</v>
          </cell>
          <cell r="AM302">
            <v>0.58078602620087338</v>
          </cell>
          <cell r="AN302">
            <v>0.75982532751091703</v>
          </cell>
          <cell r="AO302">
            <v>0.79475982532751088</v>
          </cell>
          <cell r="AP302">
            <v>0.63973799126637554</v>
          </cell>
          <cell r="AW302">
            <v>0.36899563318777295</v>
          </cell>
          <cell r="AX302">
            <v>3.2751091703056769E-2</v>
          </cell>
          <cell r="AY302">
            <v>0.28602620087336245</v>
          </cell>
          <cell r="AZ302">
            <v>0.15283842794759825</v>
          </cell>
          <cell r="BG302">
            <v>9.8253275109170299E-2</v>
          </cell>
          <cell r="BH302">
            <v>0.83187772925764192</v>
          </cell>
          <cell r="BI302">
            <v>0.98253275109170302</v>
          </cell>
          <cell r="BJ302">
            <v>0.87117903930131002</v>
          </cell>
          <cell r="BQ302">
            <v>0.76419213973799127</v>
          </cell>
          <cell r="BR302">
            <v>0.3296943231441048</v>
          </cell>
          <cell r="BS302">
            <v>0.86681222707423577</v>
          </cell>
          <cell r="BT302">
            <v>0.52838427947598254</v>
          </cell>
          <cell r="BX302">
            <v>0.70087336244541487</v>
          </cell>
          <cell r="CJ302">
            <v>0.42794759825327511</v>
          </cell>
          <cell r="CK302">
            <v>0.37336244541484714</v>
          </cell>
        </row>
        <row r="303">
          <cell r="A303" t="str">
            <v>Nathan Bastian</v>
          </cell>
          <cell r="B303" t="str">
            <v>N.J</v>
          </cell>
          <cell r="I303">
            <v>0.79475982532751088</v>
          </cell>
          <cell r="J303">
            <v>0.86681222707423577</v>
          </cell>
          <cell r="K303">
            <v>0.33842794759825329</v>
          </cell>
          <cell r="L303">
            <v>0.75545851528384278</v>
          </cell>
          <cell r="S303">
            <v>0.70960698689956336</v>
          </cell>
          <cell r="T303">
            <v>0.66812227074235808</v>
          </cell>
          <cell r="U303">
            <v>0.52183406113537123</v>
          </cell>
          <cell r="V303">
            <v>0.71397379912663761</v>
          </cell>
          <cell r="AC303">
            <v>0.5873362445414847</v>
          </cell>
          <cell r="AD303">
            <v>0.97816593886462877</v>
          </cell>
          <cell r="AE303">
            <v>0.95851528384279472</v>
          </cell>
          <cell r="AF303">
            <v>0.77074235807860259</v>
          </cell>
          <cell r="AM303">
            <v>0.37336244541484714</v>
          </cell>
          <cell r="AN303">
            <v>0.55895196506550215</v>
          </cell>
          <cell r="AO303">
            <v>6.768558951965066E-2</v>
          </cell>
          <cell r="AP303">
            <v>0.24454148471615719</v>
          </cell>
          <cell r="AW303">
            <v>0.33842794759825329</v>
          </cell>
          <cell r="AX303">
            <v>0.69868995633187769</v>
          </cell>
          <cell r="AY303">
            <v>0.82751091703056767</v>
          </cell>
          <cell r="AZ303">
            <v>0.51965065502183405</v>
          </cell>
          <cell r="BG303">
            <v>0.15065502183406113</v>
          </cell>
          <cell r="BH303">
            <v>0.13973799126637554</v>
          </cell>
          <cell r="BI303">
            <v>0.18777292576419213</v>
          </cell>
          <cell r="BJ303">
            <v>0.73580786026200873</v>
          </cell>
          <cell r="BQ303">
            <v>0.74235807860262004</v>
          </cell>
          <cell r="BR303">
            <v>0.98471615720524019</v>
          </cell>
          <cell r="BS303">
            <v>0.87554585152838427</v>
          </cell>
          <cell r="BT303">
            <v>0.83187772925764192</v>
          </cell>
          <cell r="BX303">
            <v>0.69868995633187769</v>
          </cell>
          <cell r="CJ303">
            <v>0.14410480349344978</v>
          </cell>
          <cell r="CK303">
            <v>0.87772925764192145</v>
          </cell>
        </row>
        <row r="304">
          <cell r="A304" t="str">
            <v>Nathan MacKinnon</v>
          </cell>
          <cell r="B304" t="str">
            <v>COL</v>
          </cell>
          <cell r="I304">
            <v>0.94541484716157209</v>
          </cell>
          <cell r="J304">
            <v>0.78384279475982532</v>
          </cell>
          <cell r="K304">
            <v>0.99344978165938869</v>
          </cell>
          <cell r="L304">
            <v>0.86899563318777295</v>
          </cell>
          <cell r="S304">
            <v>0.93886462882096067</v>
          </cell>
          <cell r="T304">
            <v>1</v>
          </cell>
          <cell r="U304">
            <v>1</v>
          </cell>
          <cell r="V304">
            <v>1</v>
          </cell>
          <cell r="AC304">
            <v>0.36681222707423583</v>
          </cell>
          <cell r="AD304">
            <v>0.1965065502183406</v>
          </cell>
          <cell r="AE304">
            <v>0.45851528384279477</v>
          </cell>
          <cell r="AF304">
            <v>0.29694323144104806</v>
          </cell>
          <cell r="AM304">
            <v>0.99344978165938869</v>
          </cell>
          <cell r="AN304">
            <v>0.94978165938864634</v>
          </cell>
          <cell r="AO304">
            <v>0.99344978165938869</v>
          </cell>
          <cell r="AP304">
            <v>0.96288209606986896</v>
          </cell>
          <cell r="AW304">
            <v>0.1943231441048035</v>
          </cell>
          <cell r="AX304">
            <v>0.12008733624454149</v>
          </cell>
          <cell r="AY304">
            <v>0.15938864628820962</v>
          </cell>
          <cell r="AZ304">
            <v>8.7336244541484712E-2</v>
          </cell>
          <cell r="BG304">
            <v>1</v>
          </cell>
          <cell r="BH304">
            <v>0.91048034934497812</v>
          </cell>
          <cell r="BI304">
            <v>0.90174672489082974</v>
          </cell>
          <cell r="BJ304">
            <v>0.90174672489082974</v>
          </cell>
          <cell r="BQ304">
            <v>0.83842794759825323</v>
          </cell>
          <cell r="BR304">
            <v>0.56113537117903933</v>
          </cell>
          <cell r="BS304">
            <v>0.9126637554585153</v>
          </cell>
          <cell r="BT304">
            <v>0.74890829694323147</v>
          </cell>
          <cell r="BX304">
            <v>0.93231441048034935</v>
          </cell>
          <cell r="CJ304">
            <v>0.6026200873362445</v>
          </cell>
          <cell r="CK304">
            <v>0.81877729257641918</v>
          </cell>
        </row>
        <row r="305">
          <cell r="A305" t="str">
            <v>Nathan Walker</v>
          </cell>
          <cell r="B305" t="str">
            <v>STL</v>
          </cell>
          <cell r="I305">
            <v>1.5283842794759825E-2</v>
          </cell>
          <cell r="J305">
            <v>3.4934497816593885E-2</v>
          </cell>
          <cell r="K305">
            <v>0.51965065502183405</v>
          </cell>
          <cell r="L305">
            <v>2.8384279475982533E-2</v>
          </cell>
          <cell r="S305">
            <v>4.148471615720524E-2</v>
          </cell>
          <cell r="T305">
            <v>0.4759825327510917</v>
          </cell>
          <cell r="U305">
            <v>0.36244541484716158</v>
          </cell>
          <cell r="V305">
            <v>0.15502183406113537</v>
          </cell>
          <cell r="AC305">
            <v>0.41048034934497818</v>
          </cell>
          <cell r="AD305">
            <v>0.74454148471615722</v>
          </cell>
          <cell r="AE305">
            <v>0.94978165938864634</v>
          </cell>
          <cell r="AF305">
            <v>0.29694323144104806</v>
          </cell>
          <cell r="AM305">
            <v>3.0567685589519649E-2</v>
          </cell>
          <cell r="AN305">
            <v>0.15938864628820962</v>
          </cell>
          <cell r="AO305">
            <v>0.43231441048034935</v>
          </cell>
          <cell r="AP305">
            <v>9.8253275109170299E-2</v>
          </cell>
          <cell r="AW305">
            <v>0.60043668122270744</v>
          </cell>
          <cell r="AX305">
            <v>0.89301310043668125</v>
          </cell>
          <cell r="AY305">
            <v>0.98253275109170302</v>
          </cell>
          <cell r="AZ305">
            <v>0.67903930131004364</v>
          </cell>
          <cell r="BG305">
            <v>0.10698689956331878</v>
          </cell>
          <cell r="BH305">
            <v>0.12008733624454149</v>
          </cell>
          <cell r="BI305">
            <v>0.93231441048034935</v>
          </cell>
          <cell r="BJ305">
            <v>0.99126637554585151</v>
          </cell>
          <cell r="BQ305">
            <v>5.6768558951965066E-2</v>
          </cell>
          <cell r="BR305">
            <v>0.16593886462882096</v>
          </cell>
          <cell r="BS305">
            <v>0.93886462882096067</v>
          </cell>
          <cell r="BT305">
            <v>3.9301310043668124E-2</v>
          </cell>
          <cell r="BX305">
            <v>3.9301310043668124E-2</v>
          </cell>
          <cell r="CJ305">
            <v>0.4606986899563319</v>
          </cell>
          <cell r="CK305">
            <v>0.84279475982532748</v>
          </cell>
        </row>
        <row r="306">
          <cell r="A306" t="str">
            <v>Nazem Kadri</v>
          </cell>
          <cell r="B306" t="str">
            <v>CGY</v>
          </cell>
          <cell r="I306">
            <v>0.93449781659388642</v>
          </cell>
          <cell r="J306">
            <v>0.72270742358078599</v>
          </cell>
          <cell r="K306">
            <v>0.73144104803493448</v>
          </cell>
          <cell r="L306">
            <v>0.86026200873362446</v>
          </cell>
          <cell r="S306">
            <v>0.5873362445414847</v>
          </cell>
          <cell r="T306">
            <v>0.83624454148471616</v>
          </cell>
          <cell r="U306">
            <v>0.78165938864628826</v>
          </cell>
          <cell r="V306">
            <v>0.78384279475982532</v>
          </cell>
          <cell r="AC306">
            <v>0.85152838427947597</v>
          </cell>
          <cell r="AD306">
            <v>0.5393013100436681</v>
          </cell>
          <cell r="AE306">
            <v>0.18340611353711792</v>
          </cell>
          <cell r="AF306">
            <v>0.45414847161572053</v>
          </cell>
          <cell r="AM306">
            <v>0.63755458515283847</v>
          </cell>
          <cell r="AN306">
            <v>0.6746724890829694</v>
          </cell>
          <cell r="AO306">
            <v>0.63318777292576423</v>
          </cell>
          <cell r="AP306">
            <v>0.62445414847161573</v>
          </cell>
          <cell r="AW306">
            <v>0.31877729257641924</v>
          </cell>
          <cell r="AX306">
            <v>0.16375545851528384</v>
          </cell>
          <cell r="AY306">
            <v>8.296943231441048E-2</v>
          </cell>
          <cell r="AZ306">
            <v>0.11572052401746726</v>
          </cell>
          <cell r="BG306">
            <v>0.71397379912663761</v>
          </cell>
          <cell r="BH306">
            <v>0.90393013100436681</v>
          </cell>
          <cell r="BI306">
            <v>0.49126637554585151</v>
          </cell>
          <cell r="BJ306">
            <v>7.8602620087336247E-2</v>
          </cell>
          <cell r="BQ306">
            <v>0.94978165938864634</v>
          </cell>
          <cell r="BR306">
            <v>0.68122270742358082</v>
          </cell>
          <cell r="BS306">
            <v>0.43886462882096072</v>
          </cell>
          <cell r="BT306">
            <v>0.78602620087336239</v>
          </cell>
          <cell r="BX306">
            <v>0.78384279475982532</v>
          </cell>
          <cell r="CJ306">
            <v>0.33624454148471616</v>
          </cell>
          <cell r="CK306">
            <v>0.96724890829694321</v>
          </cell>
        </row>
        <row r="307">
          <cell r="A307" t="str">
            <v>Nic Dowd</v>
          </cell>
          <cell r="B307" t="str">
            <v>WSH</v>
          </cell>
          <cell r="I307">
            <v>0.51746724890829698</v>
          </cell>
          <cell r="J307">
            <v>0.48908296943231439</v>
          </cell>
          <cell r="K307">
            <v>0.60043668122270744</v>
          </cell>
          <cell r="L307">
            <v>0.42358078602620086</v>
          </cell>
          <cell r="S307">
            <v>0.87554585152838427</v>
          </cell>
          <cell r="T307">
            <v>0.43449781659388648</v>
          </cell>
          <cell r="U307">
            <v>0.57205240174672489</v>
          </cell>
          <cell r="V307">
            <v>0.74454148471615722</v>
          </cell>
          <cell r="AC307">
            <v>0.86681222707423577</v>
          </cell>
          <cell r="AD307">
            <v>0.85371179039301315</v>
          </cell>
          <cell r="AE307">
            <v>0.61353711790393017</v>
          </cell>
          <cell r="AF307">
            <v>0.83842794759825323</v>
          </cell>
          <cell r="AM307">
            <v>0.41703056768558949</v>
          </cell>
          <cell r="AN307">
            <v>0.48253275109170307</v>
          </cell>
          <cell r="AO307">
            <v>0.55021834061135366</v>
          </cell>
          <cell r="AP307">
            <v>0.36026200873362446</v>
          </cell>
          <cell r="AW307">
            <v>0.94323144104803491</v>
          </cell>
          <cell r="AX307">
            <v>0.93449781659388642</v>
          </cell>
          <cell r="AY307">
            <v>0.77074235807860259</v>
          </cell>
          <cell r="AZ307">
            <v>0.91921397379912662</v>
          </cell>
          <cell r="BG307">
            <v>0.22925764192139739</v>
          </cell>
          <cell r="BH307">
            <v>4.3668122270742356E-3</v>
          </cell>
          <cell r="BI307">
            <v>0.67903930131004364</v>
          </cell>
          <cell r="BJ307">
            <v>0.50436681222707425</v>
          </cell>
          <cell r="BQ307">
            <v>0.69432314410480345</v>
          </cell>
          <cell r="BR307">
            <v>0.70742358078602618</v>
          </cell>
          <cell r="BS307">
            <v>0.6506550218340611</v>
          </cell>
          <cell r="BT307">
            <v>0.68122270742358082</v>
          </cell>
          <cell r="BX307">
            <v>0.80131004366812231</v>
          </cell>
          <cell r="CJ307">
            <v>0.32751091703056767</v>
          </cell>
          <cell r="CK307">
            <v>0.79257641921397382</v>
          </cell>
        </row>
        <row r="308">
          <cell r="A308" t="str">
            <v>Nicholas Paul</v>
          </cell>
          <cell r="B308" t="str">
            <v>T.B</v>
          </cell>
          <cell r="I308">
            <v>0.48034934497816595</v>
          </cell>
          <cell r="J308">
            <v>0.5633187772925764</v>
          </cell>
          <cell r="K308">
            <v>0.46943231441048033</v>
          </cell>
          <cell r="L308">
            <v>0.4126637554585153</v>
          </cell>
          <cell r="S308">
            <v>0.30786026200873362</v>
          </cell>
          <cell r="T308">
            <v>0.38427947598253276</v>
          </cell>
          <cell r="U308">
            <v>0.29475982532751094</v>
          </cell>
          <cell r="V308">
            <v>0.27947598253275108</v>
          </cell>
          <cell r="AC308">
            <v>0.72052401746724892</v>
          </cell>
          <cell r="AD308">
            <v>0.61572052401746724</v>
          </cell>
          <cell r="AE308">
            <v>0.87554585152838427</v>
          </cell>
          <cell r="AF308">
            <v>0.54585152838427953</v>
          </cell>
          <cell r="AM308">
            <v>0.27292576419213976</v>
          </cell>
          <cell r="AN308">
            <v>8.7336244541484712E-2</v>
          </cell>
          <cell r="AO308">
            <v>0.42358078602620086</v>
          </cell>
          <cell r="AP308">
            <v>0.13100436681222707</v>
          </cell>
          <cell r="AW308">
            <v>0.74017467248908297</v>
          </cell>
          <cell r="AX308">
            <v>0.58078602620087338</v>
          </cell>
          <cell r="AY308">
            <v>0.92139737991266379</v>
          </cell>
          <cell r="AZ308">
            <v>0.57205240174672489</v>
          </cell>
          <cell r="BG308">
            <v>0.67248908296943233</v>
          </cell>
          <cell r="BH308">
            <v>0.22707423580786026</v>
          </cell>
          <cell r="BI308">
            <v>0.6026200873362445</v>
          </cell>
          <cell r="BJ308">
            <v>0.83406113537117899</v>
          </cell>
          <cell r="BQ308">
            <v>0.59825327510917026</v>
          </cell>
          <cell r="BR308">
            <v>0.58951965065502188</v>
          </cell>
          <cell r="BS308">
            <v>0.79475982532751088</v>
          </cell>
          <cell r="BT308">
            <v>0.46288209606986902</v>
          </cell>
          <cell r="BX308">
            <v>0.39956331877729256</v>
          </cell>
          <cell r="CJ308">
            <v>0.58078602620087338</v>
          </cell>
          <cell r="CK308">
            <v>0.5873362445414847</v>
          </cell>
        </row>
        <row r="309">
          <cell r="A309" t="str">
            <v>Nick Bjugstad</v>
          </cell>
          <cell r="B309" t="str">
            <v>ARI, EDM</v>
          </cell>
          <cell r="I309">
            <v>0.2423580786026201</v>
          </cell>
          <cell r="J309">
            <v>0.40174672489082969</v>
          </cell>
          <cell r="K309">
            <v>0.51091703056768556</v>
          </cell>
          <cell r="L309">
            <v>0.2576419213973799</v>
          </cell>
          <cell r="S309">
            <v>0.75764192139737996</v>
          </cell>
          <cell r="T309">
            <v>0.22707423580786026</v>
          </cell>
          <cell r="U309">
            <v>0.23580786026200873</v>
          </cell>
          <cell r="V309">
            <v>0.46943231441048033</v>
          </cell>
          <cell r="AC309">
            <v>0.35371179039301309</v>
          </cell>
          <cell r="AD309">
            <v>0.46724890829694321</v>
          </cell>
          <cell r="AE309">
            <v>0.84061135371179041</v>
          </cell>
          <cell r="AF309">
            <v>0.57860262008733621</v>
          </cell>
          <cell r="AM309">
            <v>0.5393013100436681</v>
          </cell>
          <cell r="AN309">
            <v>0.51091703056768556</v>
          </cell>
          <cell r="AO309">
            <v>0.60043668122270744</v>
          </cell>
          <cell r="AP309">
            <v>0.43231441048034935</v>
          </cell>
          <cell r="AW309">
            <v>0.5633187772925764</v>
          </cell>
          <cell r="AX309">
            <v>0.78602620087336239</v>
          </cell>
          <cell r="AY309">
            <v>0.94759825327510916</v>
          </cell>
          <cell r="AZ309">
            <v>0.8733624454148472</v>
          </cell>
          <cell r="BG309">
            <v>0.64410480349344978</v>
          </cell>
          <cell r="BH309">
            <v>0.1943231441048035</v>
          </cell>
          <cell r="BI309">
            <v>0.74890829694323147</v>
          </cell>
          <cell r="BJ309">
            <v>0.90174672489082974</v>
          </cell>
          <cell r="BQ309">
            <v>0.25327510917030566</v>
          </cell>
          <cell r="BR309">
            <v>0.39082969432314413</v>
          </cell>
          <cell r="BS309">
            <v>0.79475982532751088</v>
          </cell>
          <cell r="BT309">
            <v>0.33842794759825329</v>
          </cell>
          <cell r="BX309">
            <v>0.42794759825327511</v>
          </cell>
          <cell r="CJ309">
            <v>0.32751091703056767</v>
          </cell>
          <cell r="CK309">
            <v>0.48471615720524019</v>
          </cell>
        </row>
        <row r="310">
          <cell r="A310" t="str">
            <v>Nick Bonino</v>
          </cell>
          <cell r="B310" t="str">
            <v>PIT, S.J</v>
          </cell>
          <cell r="I310">
            <v>0.27947598253275108</v>
          </cell>
          <cell r="J310">
            <v>0.58515283842794763</v>
          </cell>
          <cell r="K310">
            <v>0.54366812227074235</v>
          </cell>
          <cell r="L310">
            <v>0.56550218340611358</v>
          </cell>
          <cell r="S310">
            <v>0.62227074235807855</v>
          </cell>
          <cell r="T310">
            <v>0.16375545851528384</v>
          </cell>
          <cell r="U310">
            <v>0.44104803493449779</v>
          </cell>
          <cell r="V310">
            <v>0.28602620087336245</v>
          </cell>
          <cell r="AC310">
            <v>0.60480349344978168</v>
          </cell>
          <cell r="AD310">
            <v>0.66157205240174677</v>
          </cell>
          <cell r="AE310">
            <v>0.39956331877729256</v>
          </cell>
          <cell r="AF310">
            <v>0.60917030567685593</v>
          </cell>
          <cell r="AM310">
            <v>0.15065502183406113</v>
          </cell>
          <cell r="AN310">
            <v>5.2401746724890827E-2</v>
          </cell>
          <cell r="AO310">
            <v>0.4759825327510917</v>
          </cell>
          <cell r="AP310">
            <v>0.20305676855895197</v>
          </cell>
          <cell r="AW310">
            <v>0.62227074235807855</v>
          </cell>
          <cell r="AX310">
            <v>0.52183406113537123</v>
          </cell>
          <cell r="AY310">
            <v>0.80349344978165937</v>
          </cell>
          <cell r="AZ310">
            <v>0.57205240174672489</v>
          </cell>
          <cell r="BG310">
            <v>0.38646288209606988</v>
          </cell>
          <cell r="BH310">
            <v>0.19868995633187772</v>
          </cell>
          <cell r="BI310">
            <v>0.72270742358078599</v>
          </cell>
          <cell r="BJ310">
            <v>0.44323144104803491</v>
          </cell>
          <cell r="BQ310">
            <v>0.37554585152838427</v>
          </cell>
          <cell r="BR310">
            <v>0.6266375545851528</v>
          </cell>
          <cell r="BS310">
            <v>0.46506550218340609</v>
          </cell>
          <cell r="BT310">
            <v>0.60917030567685593</v>
          </cell>
          <cell r="BX310">
            <v>0.36462882096069871</v>
          </cell>
          <cell r="CJ310">
            <v>0.48034934497816595</v>
          </cell>
          <cell r="CK310">
            <v>4.3668122270742356E-2</v>
          </cell>
        </row>
        <row r="311">
          <cell r="A311" t="str">
            <v>Nick Cousins</v>
          </cell>
          <cell r="B311" t="str">
            <v>FLA</v>
          </cell>
          <cell r="I311">
            <v>0.8253275109170306</v>
          </cell>
          <cell r="J311">
            <v>0.72925764192139741</v>
          </cell>
          <cell r="K311">
            <v>0.64628820960698685</v>
          </cell>
          <cell r="L311">
            <v>0.74235807860262004</v>
          </cell>
          <cell r="S311">
            <v>0.45414847161572053</v>
          </cell>
          <cell r="T311">
            <v>0.79912663755458513</v>
          </cell>
          <cell r="U311">
            <v>0.53711790393013104</v>
          </cell>
          <cell r="V311">
            <v>0.68777292576419213</v>
          </cell>
          <cell r="AC311">
            <v>0.22270742358078602</v>
          </cell>
          <cell r="AD311">
            <v>0.17685589519650655</v>
          </cell>
          <cell r="AE311">
            <v>0.34716157205240172</v>
          </cell>
          <cell r="AF311">
            <v>0.16157205240174671</v>
          </cell>
          <cell r="AM311">
            <v>0.32096069868995636</v>
          </cell>
          <cell r="AN311">
            <v>0.1943231441048035</v>
          </cell>
          <cell r="AO311">
            <v>0.38646288209606988</v>
          </cell>
          <cell r="AP311">
            <v>0.27947598253275108</v>
          </cell>
          <cell r="AW311">
            <v>0.21615720524017468</v>
          </cell>
          <cell r="AX311">
            <v>0.33406113537117904</v>
          </cell>
          <cell r="AY311">
            <v>0.24890829694323144</v>
          </cell>
          <cell r="AZ311">
            <v>0.16375545851528384</v>
          </cell>
          <cell r="BG311">
            <v>0.23799126637554585</v>
          </cell>
          <cell r="BH311">
            <v>0.67248908296943233</v>
          </cell>
          <cell r="BI311">
            <v>0.43231441048034935</v>
          </cell>
          <cell r="BJ311">
            <v>0.46288209606986902</v>
          </cell>
          <cell r="BQ311">
            <v>0.58951965065502188</v>
          </cell>
          <cell r="BR311">
            <v>0.47816593886462883</v>
          </cell>
          <cell r="BS311">
            <v>0.48471615720524019</v>
          </cell>
          <cell r="BT311">
            <v>0.46506550218340609</v>
          </cell>
          <cell r="BX311">
            <v>0.40393013100436681</v>
          </cell>
          <cell r="CJ311">
            <v>0.2423580786026201</v>
          </cell>
          <cell r="CK311">
            <v>0.85589519650655022</v>
          </cell>
        </row>
        <row r="312">
          <cell r="A312" t="str">
            <v>Nick Foligno</v>
          </cell>
          <cell r="B312" t="str">
            <v>BOS</v>
          </cell>
          <cell r="I312">
            <v>0.16375545851528384</v>
          </cell>
          <cell r="J312">
            <v>0.41921397379912662</v>
          </cell>
          <cell r="K312">
            <v>0.81222707423580787</v>
          </cell>
          <cell r="L312">
            <v>0.1331877729257642</v>
          </cell>
          <cell r="S312">
            <v>0.62227074235807855</v>
          </cell>
          <cell r="T312">
            <v>0.74672489082969429</v>
          </cell>
          <cell r="U312">
            <v>0.90393013100436681</v>
          </cell>
          <cell r="V312">
            <v>0.73580786026200873</v>
          </cell>
          <cell r="AC312">
            <v>0.77074235807860259</v>
          </cell>
          <cell r="AD312">
            <v>0.86244541484716153</v>
          </cell>
          <cell r="AE312">
            <v>0.98471615720524019</v>
          </cell>
          <cell r="AF312">
            <v>0.93013100436681218</v>
          </cell>
          <cell r="AM312">
            <v>6.5502183406113537E-2</v>
          </cell>
          <cell r="AN312">
            <v>0.18995633187772926</v>
          </cell>
          <cell r="AO312">
            <v>0.53711790393013104</v>
          </cell>
          <cell r="AP312">
            <v>6.3318777292576414E-2</v>
          </cell>
          <cell r="AW312">
            <v>0.65502183406113534</v>
          </cell>
          <cell r="AX312">
            <v>0.74672489082969429</v>
          </cell>
          <cell r="AY312">
            <v>0.83624454148471616</v>
          </cell>
          <cell r="AZ312">
            <v>0.79257641921397382</v>
          </cell>
          <cell r="BG312">
            <v>0.22707423580786026</v>
          </cell>
          <cell r="BH312">
            <v>1.7467248908296942E-2</v>
          </cell>
          <cell r="BI312">
            <v>0.93886462882096067</v>
          </cell>
          <cell r="BJ312">
            <v>0.99344978165938869</v>
          </cell>
          <cell r="BQ312">
            <v>0.37991266375545851</v>
          </cell>
          <cell r="BR312">
            <v>0.63973799126637554</v>
          </cell>
          <cell r="BS312">
            <v>0.99563318777292575</v>
          </cell>
          <cell r="BT312">
            <v>0.44323144104803491</v>
          </cell>
          <cell r="BX312">
            <v>0.41921397379912662</v>
          </cell>
          <cell r="CJ312">
            <v>0.11135371179039301</v>
          </cell>
          <cell r="CK312">
            <v>0.89082969432314407</v>
          </cell>
        </row>
        <row r="313">
          <cell r="A313" t="str">
            <v>Nick Ritchie</v>
          </cell>
          <cell r="B313" t="str">
            <v>ARI, CGY</v>
          </cell>
          <cell r="I313">
            <v>0.39082969432314413</v>
          </cell>
          <cell r="J313">
            <v>0.65283842794759828</v>
          </cell>
          <cell r="K313">
            <v>0.2816593886462882</v>
          </cell>
          <cell r="L313">
            <v>0.40611353711790393</v>
          </cell>
          <cell r="S313">
            <v>0.50218340611353707</v>
          </cell>
          <cell r="T313">
            <v>0.11572052401746726</v>
          </cell>
          <cell r="U313">
            <v>0.25545851528384278</v>
          </cell>
          <cell r="V313">
            <v>0.1703056768558952</v>
          </cell>
          <cell r="AC313">
            <v>0.1091703056768559</v>
          </cell>
          <cell r="AD313">
            <v>8.7336244541484712E-2</v>
          </cell>
          <cell r="AE313">
            <v>6.768558951965066E-2</v>
          </cell>
          <cell r="AF313">
            <v>8.9519650655021835E-2</v>
          </cell>
          <cell r="AM313">
            <v>0.62008733624454149</v>
          </cell>
          <cell r="AN313">
            <v>0.85589519650655022</v>
          </cell>
          <cell r="AO313">
            <v>0.3296943231441048</v>
          </cell>
          <cell r="AP313">
            <v>0.61572052401746724</v>
          </cell>
          <cell r="AW313">
            <v>0.12663755458515283</v>
          </cell>
          <cell r="AX313">
            <v>8.5152838427947602E-2</v>
          </cell>
          <cell r="AY313">
            <v>4.3668122270742356E-2</v>
          </cell>
          <cell r="AZ313">
            <v>7.6419213973799124E-2</v>
          </cell>
          <cell r="BG313">
            <v>0.28820960698689957</v>
          </cell>
          <cell r="BH313">
            <v>0.45196506550218341</v>
          </cell>
          <cell r="BI313">
            <v>0.31004366812227074</v>
          </cell>
          <cell r="BJ313">
            <v>0.14628820960698691</v>
          </cell>
          <cell r="BQ313">
            <v>0.20087336244541484</v>
          </cell>
          <cell r="BR313">
            <v>0.32096069868995636</v>
          </cell>
          <cell r="BS313">
            <v>0.10262008733624454</v>
          </cell>
          <cell r="BT313">
            <v>0.18777292576419213</v>
          </cell>
          <cell r="BX313">
            <v>0.15065502183406113</v>
          </cell>
          <cell r="CJ313">
            <v>0.10698689956331878</v>
          </cell>
          <cell r="CK313">
            <v>0.37336244541484714</v>
          </cell>
        </row>
        <row r="314">
          <cell r="A314" t="str">
            <v>Nick Schmaltz</v>
          </cell>
          <cell r="B314" t="str">
            <v>ARI</v>
          </cell>
          <cell r="I314">
            <v>0.53056768558951961</v>
          </cell>
          <cell r="J314">
            <v>0.46943231441048033</v>
          </cell>
          <cell r="K314">
            <v>0.87772925764192145</v>
          </cell>
          <cell r="L314">
            <v>0.53493449781659386</v>
          </cell>
          <cell r="S314">
            <v>0.79912663755458513</v>
          </cell>
          <cell r="T314">
            <v>0.89082969432314407</v>
          </cell>
          <cell r="U314">
            <v>0.68995633187772931</v>
          </cell>
          <cell r="V314">
            <v>0.91484716157205237</v>
          </cell>
          <cell r="AC314">
            <v>0.52620087336244536</v>
          </cell>
          <cell r="AD314">
            <v>0.48689956331877732</v>
          </cell>
          <cell r="AE314">
            <v>0.29039301310043669</v>
          </cell>
          <cell r="AF314">
            <v>0.36244541484716158</v>
          </cell>
          <cell r="AM314">
            <v>0.9126637554585153</v>
          </cell>
          <cell r="AN314">
            <v>0.75764192139737996</v>
          </cell>
          <cell r="AO314">
            <v>0.95196506550218341</v>
          </cell>
          <cell r="AP314">
            <v>0.86899563318777295</v>
          </cell>
          <cell r="AW314">
            <v>0.92576419213973804</v>
          </cell>
          <cell r="AX314">
            <v>0.77729257641921401</v>
          </cell>
          <cell r="AY314">
            <v>0.21615720524017468</v>
          </cell>
          <cell r="AZ314">
            <v>0.57205240174672489</v>
          </cell>
          <cell r="BG314">
            <v>0.95196506550218341</v>
          </cell>
          <cell r="BH314">
            <v>0.34061135371179041</v>
          </cell>
          <cell r="BI314">
            <v>0.94759825327510916</v>
          </cell>
          <cell r="BJ314">
            <v>0.80349344978165937</v>
          </cell>
          <cell r="BQ314">
            <v>0.51091703056768556</v>
          </cell>
          <cell r="BR314">
            <v>0.44323144104803491</v>
          </cell>
          <cell r="BS314">
            <v>0.65720524017467252</v>
          </cell>
          <cell r="BT314">
            <v>0.45196506550218341</v>
          </cell>
          <cell r="BX314">
            <v>0.83406113537117899</v>
          </cell>
          <cell r="CJ314">
            <v>0.71834061135371174</v>
          </cell>
          <cell r="CK314">
            <v>0.40829694323144106</v>
          </cell>
        </row>
        <row r="315">
          <cell r="A315" t="str">
            <v>Nick Suzuki</v>
          </cell>
          <cell r="B315" t="str">
            <v>MTL</v>
          </cell>
          <cell r="I315">
            <v>0.29257641921397382</v>
          </cell>
          <cell r="J315">
            <v>0.13537117903930132</v>
          </cell>
          <cell r="K315">
            <v>0.83406113537117899</v>
          </cell>
          <cell r="L315">
            <v>0.29039301310043669</v>
          </cell>
          <cell r="S315">
            <v>0.54585152838427953</v>
          </cell>
          <cell r="T315">
            <v>0.83624454148471616</v>
          </cell>
          <cell r="U315">
            <v>0.72925764192139741</v>
          </cell>
          <cell r="V315">
            <v>0.77292576419213976</v>
          </cell>
          <cell r="AC315">
            <v>0.30786026200873362</v>
          </cell>
          <cell r="AD315">
            <v>9.1703056768558958E-2</v>
          </cell>
          <cell r="AE315">
            <v>0.1091703056768559</v>
          </cell>
          <cell r="AF315">
            <v>7.8602620087336247E-2</v>
          </cell>
          <cell r="AM315">
            <v>0.66157205240174677</v>
          </cell>
          <cell r="AN315">
            <v>0.34279475982532753</v>
          </cell>
          <cell r="AO315">
            <v>0.92794759825327511</v>
          </cell>
          <cell r="AP315">
            <v>0.57641921397379914</v>
          </cell>
          <cell r="AW315">
            <v>0.53275109170305679</v>
          </cell>
          <cell r="AX315">
            <v>0.28602620087336245</v>
          </cell>
          <cell r="AY315">
            <v>0.21615720524017468</v>
          </cell>
          <cell r="AZ315">
            <v>0.21179039301310043</v>
          </cell>
          <cell r="BG315">
            <v>0.94104803493449785</v>
          </cell>
          <cell r="BH315">
            <v>0.49126637554585151</v>
          </cell>
          <cell r="BI315">
            <v>0.94541484716157209</v>
          </cell>
          <cell r="BJ315">
            <v>0.67685589519650657</v>
          </cell>
          <cell r="BQ315">
            <v>0.26200873362445415</v>
          </cell>
          <cell r="BR315">
            <v>7.2052401746724892E-2</v>
          </cell>
          <cell r="BS315">
            <v>0.44541484716157204</v>
          </cell>
          <cell r="BT315">
            <v>0.1331877729257642</v>
          </cell>
          <cell r="BX315">
            <v>0.39519650655021832</v>
          </cell>
          <cell r="CJ315">
            <v>0.79475982532751088</v>
          </cell>
          <cell r="CK315">
            <v>0.54803493449781659</v>
          </cell>
        </row>
        <row r="316">
          <cell r="A316" t="str">
            <v>Nicklas Backstrom</v>
          </cell>
          <cell r="B316" t="str">
            <v>WSH</v>
          </cell>
          <cell r="I316">
            <v>0.22925764192139739</v>
          </cell>
          <cell r="J316">
            <v>0.35589519650655022</v>
          </cell>
          <cell r="K316">
            <v>0.1331877729257642</v>
          </cell>
          <cell r="L316">
            <v>0.45414847161572053</v>
          </cell>
          <cell r="S316">
            <v>1.9650655021834062E-2</v>
          </cell>
          <cell r="T316">
            <v>0.55458515283842791</v>
          </cell>
          <cell r="U316">
            <v>0.57205240174672489</v>
          </cell>
          <cell r="V316">
            <v>0.15283842794759825</v>
          </cell>
          <cell r="AC316">
            <v>0.34934497816593885</v>
          </cell>
          <cell r="AD316">
            <v>0.78602620087336239</v>
          </cell>
          <cell r="AE316">
            <v>9.8253275109170299E-2</v>
          </cell>
          <cell r="AF316">
            <v>0.60917030567685593</v>
          </cell>
          <cell r="AM316">
            <v>0.16812227074235808</v>
          </cell>
          <cell r="AN316">
            <v>0.22270742358078602</v>
          </cell>
          <cell r="AO316">
            <v>7.8602620087336247E-2</v>
          </cell>
          <cell r="AP316">
            <v>0.34934497816593885</v>
          </cell>
          <cell r="AW316">
            <v>0.74672489082969429</v>
          </cell>
          <cell r="AX316">
            <v>0.98471615720524019</v>
          </cell>
          <cell r="AY316">
            <v>0.38427947598253276</v>
          </cell>
          <cell r="AZ316">
            <v>0.9759825327510917</v>
          </cell>
          <cell r="BG316">
            <v>0.57423580786026196</v>
          </cell>
          <cell r="BH316">
            <v>0.46724890829694321</v>
          </cell>
          <cell r="BI316">
            <v>0.10043668122270742</v>
          </cell>
          <cell r="BJ316">
            <v>1.0917030567685589E-2</v>
          </cell>
          <cell r="BQ316">
            <v>0.24454148471615719</v>
          </cell>
          <cell r="BR316">
            <v>0.51310043668122274</v>
          </cell>
          <cell r="BS316">
            <v>5.458515283842795E-2</v>
          </cell>
          <cell r="BT316">
            <v>0.53056768558951961</v>
          </cell>
          <cell r="BX316">
            <v>0.34279475982532753</v>
          </cell>
          <cell r="CJ316">
            <v>0.6026200873362445</v>
          </cell>
          <cell r="CK316">
            <v>2.6200873362445413E-2</v>
          </cell>
        </row>
        <row r="317">
          <cell r="A317" t="str">
            <v>Nico Hischier</v>
          </cell>
          <cell r="B317" t="str">
            <v>N.J</v>
          </cell>
          <cell r="I317">
            <v>0.92794759825327511</v>
          </cell>
          <cell r="J317">
            <v>0.92139737991266379</v>
          </cell>
          <cell r="K317">
            <v>0.9126637554585153</v>
          </cell>
          <cell r="L317">
            <v>0.93449781659388642</v>
          </cell>
          <cell r="S317">
            <v>0.65938864628820959</v>
          </cell>
          <cell r="T317">
            <v>0.97379912663755464</v>
          </cell>
          <cell r="U317">
            <v>0.98034934497816595</v>
          </cell>
          <cell r="V317">
            <v>0.94323144104803491</v>
          </cell>
          <cell r="AC317">
            <v>0.78820960698689957</v>
          </cell>
          <cell r="AD317">
            <v>0.86681222707423577</v>
          </cell>
          <cell r="AE317">
            <v>0.72489082969432317</v>
          </cell>
          <cell r="AF317">
            <v>0.88427947598253276</v>
          </cell>
          <cell r="AM317">
            <v>0.81659388646288211</v>
          </cell>
          <cell r="AN317">
            <v>0.76200873362445409</v>
          </cell>
          <cell r="AO317">
            <v>0.80786026200873362</v>
          </cell>
          <cell r="AP317">
            <v>0.79257641921397382</v>
          </cell>
          <cell r="AW317">
            <v>0.58078602620087338</v>
          </cell>
          <cell r="AX317">
            <v>0.51528384279475981</v>
          </cell>
          <cell r="AY317">
            <v>0.56986899563318782</v>
          </cell>
          <cell r="AZ317">
            <v>0.74454148471615722</v>
          </cell>
          <cell r="BG317">
            <v>0.71179039301310043</v>
          </cell>
          <cell r="BH317">
            <v>0.30131004366812225</v>
          </cell>
          <cell r="BI317">
            <v>0.75327510917030571</v>
          </cell>
          <cell r="BJ317">
            <v>0.74672489082969429</v>
          </cell>
          <cell r="BQ317">
            <v>0.9366812227074236</v>
          </cell>
          <cell r="BR317">
            <v>0.95851528384279472</v>
          </cell>
          <cell r="BS317">
            <v>0.90611353711790388</v>
          </cell>
          <cell r="BT317">
            <v>0.97161572052401746</v>
          </cell>
          <cell r="BX317">
            <v>0.97379912663755464</v>
          </cell>
          <cell r="CJ317">
            <v>0.95414847161572047</v>
          </cell>
          <cell r="CK317">
            <v>0.78165938864628826</v>
          </cell>
        </row>
        <row r="318">
          <cell r="A318" t="str">
            <v>Nico Sturm</v>
          </cell>
          <cell r="B318" t="str">
            <v>S.J</v>
          </cell>
          <cell r="I318">
            <v>0.35152838427947597</v>
          </cell>
          <cell r="J318">
            <v>0.70524017467248912</v>
          </cell>
          <cell r="K318">
            <v>0.54366812227074235</v>
          </cell>
          <cell r="L318">
            <v>0.53493449781659386</v>
          </cell>
          <cell r="S318">
            <v>0.70960698689956336</v>
          </cell>
          <cell r="T318">
            <v>0.40393013100436681</v>
          </cell>
          <cell r="U318">
            <v>0.42358078602620086</v>
          </cell>
          <cell r="V318">
            <v>0.55240174672489084</v>
          </cell>
          <cell r="AC318">
            <v>0.26419213973799127</v>
          </cell>
          <cell r="AD318">
            <v>0.13537117903930132</v>
          </cell>
          <cell r="AE318">
            <v>0.15283842794759825</v>
          </cell>
          <cell r="AF318">
            <v>0.25327510917030566</v>
          </cell>
          <cell r="AM318">
            <v>0.39737991266375544</v>
          </cell>
          <cell r="AN318">
            <v>0.20960698689956331</v>
          </cell>
          <cell r="AO318">
            <v>0.59388646288209612</v>
          </cell>
          <cell r="AP318">
            <v>0.28602620087336245</v>
          </cell>
          <cell r="AW318">
            <v>0.38427947598253276</v>
          </cell>
          <cell r="AX318">
            <v>0.11135371179039301</v>
          </cell>
          <cell r="AY318">
            <v>0.64628820960698685</v>
          </cell>
          <cell r="AZ318">
            <v>0.39956331877729256</v>
          </cell>
          <cell r="BG318">
            <v>0.37336244541484714</v>
          </cell>
          <cell r="BH318">
            <v>0.10698689956331878</v>
          </cell>
          <cell r="BI318">
            <v>0.67903930131004364</v>
          </cell>
          <cell r="BJ318">
            <v>0.34061135371179041</v>
          </cell>
          <cell r="BQ318">
            <v>0.29912663755458513</v>
          </cell>
          <cell r="BR318">
            <v>0.41048034934497818</v>
          </cell>
          <cell r="BS318">
            <v>0.29475982532751094</v>
          </cell>
          <cell r="BT318">
            <v>0.38427947598253276</v>
          </cell>
          <cell r="BX318">
            <v>0.3056768558951965</v>
          </cell>
          <cell r="CJ318">
            <v>0.52838427947598254</v>
          </cell>
          <cell r="CK318">
            <v>0.26637554585152839</v>
          </cell>
        </row>
        <row r="319">
          <cell r="A319" t="str">
            <v>Nicolas Aube-Kubel</v>
          </cell>
          <cell r="B319" t="str">
            <v>TOR, WSH</v>
          </cell>
          <cell r="I319">
            <v>0.4606986899563319</v>
          </cell>
          <cell r="J319">
            <v>0.47816593886462883</v>
          </cell>
          <cell r="K319">
            <v>0.28820960698689957</v>
          </cell>
          <cell r="L319">
            <v>0.388646288209607</v>
          </cell>
          <cell r="S319">
            <v>0.16812227074235808</v>
          </cell>
          <cell r="T319">
            <v>0.3930131004366812</v>
          </cell>
          <cell r="U319">
            <v>0.17903930131004367</v>
          </cell>
          <cell r="V319">
            <v>0.21397379912663755</v>
          </cell>
          <cell r="AC319">
            <v>0.85589519650655022</v>
          </cell>
          <cell r="AD319">
            <v>0.67685589519650657</v>
          </cell>
          <cell r="AE319">
            <v>0.80786026200873362</v>
          </cell>
          <cell r="AF319">
            <v>0.77074235807860259</v>
          </cell>
          <cell r="AM319">
            <v>0.3930131004366812</v>
          </cell>
          <cell r="AN319">
            <v>0.43013100436681223</v>
          </cell>
          <cell r="AO319">
            <v>0.25327510917030566</v>
          </cell>
          <cell r="AP319">
            <v>0.29257641921397382</v>
          </cell>
          <cell r="AW319">
            <v>0.97379912663755464</v>
          </cell>
          <cell r="AX319">
            <v>0.94759825327510916</v>
          </cell>
          <cell r="AY319">
            <v>0.96724890829694321</v>
          </cell>
          <cell r="AZ319">
            <v>0.96288209606986896</v>
          </cell>
          <cell r="BG319">
            <v>0.29257641921397382</v>
          </cell>
          <cell r="BH319">
            <v>8.0786026200873357E-2</v>
          </cell>
          <cell r="BI319">
            <v>0.29039301310043669</v>
          </cell>
          <cell r="BJ319">
            <v>0.388646288209607</v>
          </cell>
          <cell r="BQ319">
            <v>0.65502183406113534</v>
          </cell>
          <cell r="BR319">
            <v>0.55895196506550215</v>
          </cell>
          <cell r="BS319">
            <v>0.55895196506550215</v>
          </cell>
          <cell r="BT319">
            <v>0.59170305676855894</v>
          </cell>
          <cell r="BX319">
            <v>0.62445414847161573</v>
          </cell>
          <cell r="CJ319">
            <v>8.0786026200873357E-2</v>
          </cell>
          <cell r="CK319">
            <v>0.74235807860262004</v>
          </cell>
        </row>
        <row r="320">
          <cell r="A320" t="str">
            <v>Nicolas Deslauriers</v>
          </cell>
          <cell r="B320" t="str">
            <v>PHI</v>
          </cell>
          <cell r="I320">
            <v>0.14410480349344978</v>
          </cell>
          <cell r="J320">
            <v>5.458515283842795E-2</v>
          </cell>
          <cell r="K320">
            <v>5.0218340611353711E-2</v>
          </cell>
          <cell r="L320">
            <v>5.458515283842795E-2</v>
          </cell>
          <cell r="S320">
            <v>0.16812227074235808</v>
          </cell>
          <cell r="T320">
            <v>0.10480349344978165</v>
          </cell>
          <cell r="U320">
            <v>2.6200873362445413E-2</v>
          </cell>
          <cell r="V320">
            <v>6.9868995633187769E-2</v>
          </cell>
          <cell r="AC320">
            <v>0.6026200873362445</v>
          </cell>
          <cell r="AD320">
            <v>0.85807860262008728</v>
          </cell>
          <cell r="AE320">
            <v>0.55240174672489084</v>
          </cell>
          <cell r="AF320">
            <v>0.74454148471615722</v>
          </cell>
          <cell r="AM320">
            <v>0.13537117903930132</v>
          </cell>
          <cell r="AN320">
            <v>0.10698689956331878</v>
          </cell>
          <cell r="AO320">
            <v>0.11572052401746726</v>
          </cell>
          <cell r="AP320">
            <v>0.11135371179039301</v>
          </cell>
          <cell r="AW320">
            <v>0.76637554585152834</v>
          </cell>
          <cell r="AX320">
            <v>0.95851528384279472</v>
          </cell>
          <cell r="AY320">
            <v>0.62445414847161573</v>
          </cell>
          <cell r="AZ320">
            <v>0.85589519650655022</v>
          </cell>
          <cell r="BG320">
            <v>6.768558951965066E-2</v>
          </cell>
          <cell r="BH320">
            <v>0.63537117903930129</v>
          </cell>
          <cell r="BI320">
            <v>8.296943231441048E-2</v>
          </cell>
          <cell r="BJ320">
            <v>0.13537117903930132</v>
          </cell>
          <cell r="BQ320">
            <v>0.28384279475982532</v>
          </cell>
          <cell r="BR320">
            <v>0.26637554585152839</v>
          </cell>
          <cell r="BS320">
            <v>9.3886462882096067E-2</v>
          </cell>
          <cell r="BT320">
            <v>0.20305676855895197</v>
          </cell>
          <cell r="BX320">
            <v>0.16593886462882096</v>
          </cell>
          <cell r="CJ320">
            <v>2.6200873362445413E-2</v>
          </cell>
          <cell r="CK320">
            <v>0.92358078602620086</v>
          </cell>
        </row>
        <row r="321">
          <cell r="A321" t="str">
            <v>Nicolas Roy</v>
          </cell>
          <cell r="B321" t="str">
            <v>VGK</v>
          </cell>
          <cell r="I321">
            <v>0.28384279475982532</v>
          </cell>
          <cell r="J321">
            <v>0.73580786026200873</v>
          </cell>
          <cell r="K321">
            <v>0.38209606986899564</v>
          </cell>
          <cell r="L321">
            <v>0.4126637554585153</v>
          </cell>
          <cell r="S321">
            <v>0.46724890829694321</v>
          </cell>
          <cell r="T321">
            <v>0.29694323144104806</v>
          </cell>
          <cell r="U321">
            <v>0.45851528384279477</v>
          </cell>
          <cell r="V321">
            <v>0.32096069868995636</v>
          </cell>
          <cell r="AC321">
            <v>0.63318777292576423</v>
          </cell>
          <cell r="AD321">
            <v>0.77292576419213976</v>
          </cell>
          <cell r="AE321">
            <v>0.81877729257641918</v>
          </cell>
          <cell r="AF321">
            <v>0.65502183406113534</v>
          </cell>
          <cell r="AM321">
            <v>0.16157205240174671</v>
          </cell>
          <cell r="AN321">
            <v>0.72052401746724892</v>
          </cell>
          <cell r="AO321">
            <v>0.36244541484716158</v>
          </cell>
          <cell r="AP321">
            <v>0.31659388646288211</v>
          </cell>
          <cell r="AW321">
            <v>0.67030567685589515</v>
          </cell>
          <cell r="AX321">
            <v>0.30786026200873362</v>
          </cell>
          <cell r="AY321">
            <v>0.72052401746724892</v>
          </cell>
          <cell r="AZ321">
            <v>0.25545851528384278</v>
          </cell>
          <cell r="BG321">
            <v>0.60917030567685593</v>
          </cell>
          <cell r="BH321">
            <v>0.10262008733624454</v>
          </cell>
          <cell r="BI321">
            <v>0.56768558951965065</v>
          </cell>
          <cell r="BJ321">
            <v>0.74672489082969429</v>
          </cell>
          <cell r="BQ321">
            <v>0.42358078602620086</v>
          </cell>
          <cell r="BR321">
            <v>0.81441048034934493</v>
          </cell>
          <cell r="BS321">
            <v>0.64410480349344978</v>
          </cell>
          <cell r="BT321">
            <v>0.52183406113537123</v>
          </cell>
          <cell r="BX321">
            <v>0.33187772925764192</v>
          </cell>
          <cell r="CJ321">
            <v>0.56550218340611358</v>
          </cell>
          <cell r="CK321">
            <v>0.44323144104803491</v>
          </cell>
        </row>
        <row r="322">
          <cell r="A322" t="str">
            <v>Nikita Alexandrov</v>
          </cell>
          <cell r="B322" t="str">
            <v>STL</v>
          </cell>
          <cell r="I322">
            <v>9.8253275109170299E-2</v>
          </cell>
          <cell r="J322">
            <v>0.41048034934497818</v>
          </cell>
          <cell r="K322">
            <v>0.16593886462882096</v>
          </cell>
          <cell r="L322">
            <v>0.34716157205240172</v>
          </cell>
          <cell r="S322">
            <v>0.53493449781659386</v>
          </cell>
          <cell r="T322">
            <v>0.48689956331877732</v>
          </cell>
          <cell r="U322">
            <v>0.67903930131004364</v>
          </cell>
          <cell r="V322">
            <v>0.49344978165938863</v>
          </cell>
          <cell r="AC322">
            <v>0.90393013100436681</v>
          </cell>
          <cell r="AD322">
            <v>0.89519650655021832</v>
          </cell>
          <cell r="AE322">
            <v>0.91048034934497812</v>
          </cell>
          <cell r="AF322">
            <v>0.75109170305676853</v>
          </cell>
          <cell r="AM322">
            <v>0.23580786026200873</v>
          </cell>
          <cell r="AN322">
            <v>0.62227074235807855</v>
          </cell>
          <cell r="AO322">
            <v>0.11353711790393013</v>
          </cell>
          <cell r="AP322">
            <v>0.55895196506550215</v>
          </cell>
          <cell r="AW322">
            <v>1</v>
          </cell>
          <cell r="AX322">
            <v>1</v>
          </cell>
          <cell r="AY322">
            <v>0.99781659388646293</v>
          </cell>
          <cell r="AZ322">
            <v>0.98471615720524019</v>
          </cell>
          <cell r="BG322">
            <v>8.5152838427947602E-2</v>
          </cell>
          <cell r="BH322">
            <v>0.87772925764192145</v>
          </cell>
          <cell r="BI322">
            <v>0.18777292576419213</v>
          </cell>
          <cell r="BJ322">
            <v>0.56550218340611358</v>
          </cell>
          <cell r="BQ322">
            <v>0.40174672489082969</v>
          </cell>
          <cell r="BR322">
            <v>0.68777292576419213</v>
          </cell>
          <cell r="BS322">
            <v>0.48471615720524019</v>
          </cell>
          <cell r="BT322">
            <v>0.53711790393013104</v>
          </cell>
          <cell r="BX322">
            <v>0.68995633187772931</v>
          </cell>
          <cell r="CJ322">
            <v>0.54366812227074235</v>
          </cell>
          <cell r="CK322">
            <v>0.98689956331877726</v>
          </cell>
        </row>
        <row r="323">
          <cell r="A323" t="str">
            <v>Nikita Kucherov</v>
          </cell>
          <cell r="B323" t="str">
            <v>T.B</v>
          </cell>
          <cell r="I323">
            <v>0.8973799126637555</v>
          </cell>
          <cell r="J323">
            <v>0.98689956331877726</v>
          </cell>
          <cell r="K323">
            <v>0.93449781659388642</v>
          </cell>
          <cell r="L323">
            <v>0.94541484716157209</v>
          </cell>
          <cell r="S323">
            <v>0.6026200873362445</v>
          </cell>
          <cell r="T323">
            <v>0.98471615720524019</v>
          </cell>
          <cell r="U323">
            <v>0.91921397379912662</v>
          </cell>
          <cell r="V323">
            <v>0.93449781659388642</v>
          </cell>
          <cell r="AC323">
            <v>0.38209606986899564</v>
          </cell>
          <cell r="AD323">
            <v>0.2576419213973799</v>
          </cell>
          <cell r="AE323">
            <v>0.27947598253275108</v>
          </cell>
          <cell r="AF323">
            <v>0.22925764192139739</v>
          </cell>
          <cell r="AM323">
            <v>0.95196506550218341</v>
          </cell>
          <cell r="AN323">
            <v>0.96724890829694321</v>
          </cell>
          <cell r="AO323">
            <v>0.94759825327510916</v>
          </cell>
          <cell r="AP323">
            <v>0.97379912663755464</v>
          </cell>
          <cell r="AW323">
            <v>0.24672489082969432</v>
          </cell>
          <cell r="AX323">
            <v>9.606986899563319E-2</v>
          </cell>
          <cell r="AY323">
            <v>0.12008733624454149</v>
          </cell>
          <cell r="AZ323">
            <v>0.13100436681222707</v>
          </cell>
          <cell r="BG323">
            <v>0.95414847161572047</v>
          </cell>
          <cell r="BH323">
            <v>0.90174672489082974</v>
          </cell>
          <cell r="BI323">
            <v>0.82969432314410485</v>
          </cell>
          <cell r="BJ323">
            <v>0.73580786026200873</v>
          </cell>
          <cell r="BQ323">
            <v>0.80567685589519655</v>
          </cell>
          <cell r="BR323">
            <v>0.87991266375545851</v>
          </cell>
          <cell r="BS323">
            <v>0.73580786026200873</v>
          </cell>
          <cell r="BT323">
            <v>0.82969432314410485</v>
          </cell>
          <cell r="BX323">
            <v>0.87554585152838427</v>
          </cell>
          <cell r="CJ323">
            <v>0.67903930131004364</v>
          </cell>
          <cell r="CK323">
            <v>0.87554585152838427</v>
          </cell>
        </row>
        <row r="324">
          <cell r="A324" t="str">
            <v>Nikolaj Ehlers</v>
          </cell>
          <cell r="B324" t="str">
            <v>WPG</v>
          </cell>
          <cell r="I324">
            <v>0.97161572052401746</v>
          </cell>
          <cell r="J324">
            <v>0.87117903930131002</v>
          </cell>
          <cell r="K324">
            <v>0.74235807860262004</v>
          </cell>
          <cell r="L324">
            <v>0.93886462882096067</v>
          </cell>
          <cell r="S324">
            <v>0.80786026200873362</v>
          </cell>
          <cell r="T324">
            <v>0.98253275109170302</v>
          </cell>
          <cell r="U324">
            <v>0.99126637554585151</v>
          </cell>
          <cell r="V324">
            <v>0.96506550218340614</v>
          </cell>
          <cell r="AC324">
            <v>0.53056768558951961</v>
          </cell>
          <cell r="AD324">
            <v>0.57641921397379914</v>
          </cell>
          <cell r="AE324">
            <v>0.64410480349344978</v>
          </cell>
          <cell r="AF324">
            <v>0.28384279475982532</v>
          </cell>
          <cell r="AM324">
            <v>0.99126637554585151</v>
          </cell>
          <cell r="AN324">
            <v>0.77292576419213976</v>
          </cell>
          <cell r="AO324">
            <v>0.80786026200873362</v>
          </cell>
          <cell r="AP324">
            <v>0.9366812227074236</v>
          </cell>
          <cell r="AW324">
            <v>0.22925764192139739</v>
          </cell>
          <cell r="AX324">
            <v>0.45633187772925765</v>
          </cell>
          <cell r="AY324">
            <v>0.64410480349344978</v>
          </cell>
          <cell r="AZ324">
            <v>0.11572052401746726</v>
          </cell>
          <cell r="BG324">
            <v>0.51091703056768556</v>
          </cell>
          <cell r="BH324">
            <v>0.93886462882096067</v>
          </cell>
          <cell r="BI324">
            <v>0.56768558951965065</v>
          </cell>
          <cell r="BJ324">
            <v>0.66593886462882101</v>
          </cell>
          <cell r="BQ324">
            <v>0.93231441048034935</v>
          </cell>
          <cell r="BR324">
            <v>0.85152838427947597</v>
          </cell>
          <cell r="BS324">
            <v>0.78602620087336239</v>
          </cell>
          <cell r="BT324">
            <v>0.83842794759825323</v>
          </cell>
          <cell r="BX324">
            <v>0.92576419213973804</v>
          </cell>
          <cell r="CJ324">
            <v>0.79475982532751088</v>
          </cell>
          <cell r="CK324">
            <v>0.91703056768558955</v>
          </cell>
        </row>
        <row r="325">
          <cell r="A325" t="str">
            <v>Nils Aman</v>
          </cell>
          <cell r="B325" t="str">
            <v>VAN</v>
          </cell>
          <cell r="I325">
            <v>8.7336244541484712E-3</v>
          </cell>
          <cell r="J325">
            <v>0.19868995633187772</v>
          </cell>
          <cell r="K325">
            <v>6.768558951965066E-2</v>
          </cell>
          <cell r="L325">
            <v>6.3318777292576414E-2</v>
          </cell>
          <cell r="S325">
            <v>8.7336244541484712E-2</v>
          </cell>
          <cell r="T325">
            <v>0.36026200873362446</v>
          </cell>
          <cell r="U325">
            <v>0.27947598253275108</v>
          </cell>
          <cell r="V325">
            <v>0.14410480349344978</v>
          </cell>
          <cell r="AC325">
            <v>0.43013100436681223</v>
          </cell>
          <cell r="AD325">
            <v>0.33406113537117904</v>
          </cell>
          <cell r="AE325">
            <v>0.5</v>
          </cell>
          <cell r="AF325">
            <v>0.4606986899563319</v>
          </cell>
          <cell r="AM325">
            <v>2.4017467248908297E-2</v>
          </cell>
          <cell r="AN325">
            <v>0.25982532751091703</v>
          </cell>
          <cell r="AO325">
            <v>5.458515283842795E-2</v>
          </cell>
          <cell r="AP325">
            <v>0.12882096069868995</v>
          </cell>
          <cell r="AW325">
            <v>0.44759825327510916</v>
          </cell>
          <cell r="AX325">
            <v>0.36462882096069871</v>
          </cell>
          <cell r="AY325">
            <v>0.73144104803493448</v>
          </cell>
          <cell r="AZ325">
            <v>0.61790393013100442</v>
          </cell>
          <cell r="BG325">
            <v>0.31659388646288211</v>
          </cell>
          <cell r="BH325">
            <v>0.1703056768558952</v>
          </cell>
          <cell r="BI325">
            <v>0.25327510917030566</v>
          </cell>
          <cell r="BJ325">
            <v>0.33187772925764192</v>
          </cell>
          <cell r="BQ325">
            <v>3.9301310043668124E-2</v>
          </cell>
          <cell r="BR325">
            <v>0.20087336244541484</v>
          </cell>
          <cell r="BS325">
            <v>0.11135371179039301</v>
          </cell>
          <cell r="BT325">
            <v>0.1222707423580786</v>
          </cell>
          <cell r="BX325">
            <v>5.8951965065502182E-2</v>
          </cell>
          <cell r="CJ325">
            <v>0.51965065502183405</v>
          </cell>
          <cell r="CK325">
            <v>0.14847161572052403</v>
          </cell>
        </row>
        <row r="326">
          <cell r="A326" t="str">
            <v>Nils Hoglander</v>
          </cell>
          <cell r="B326" t="str">
            <v>VAN</v>
          </cell>
          <cell r="I326">
            <v>0.35807860262008734</v>
          </cell>
          <cell r="J326">
            <v>6.768558951965066E-2</v>
          </cell>
          <cell r="K326">
            <v>0.60043668122270744</v>
          </cell>
          <cell r="L326">
            <v>0.35152838427947597</v>
          </cell>
          <cell r="S326">
            <v>0.42358078602620086</v>
          </cell>
          <cell r="T326">
            <v>0.76200873362445409</v>
          </cell>
          <cell r="U326">
            <v>0.83406113537117899</v>
          </cell>
          <cell r="V326">
            <v>0.64410480349344978</v>
          </cell>
          <cell r="AC326">
            <v>0.14847161572052403</v>
          </cell>
          <cell r="AD326">
            <v>0.62445414847161573</v>
          </cell>
          <cell r="AE326">
            <v>0.1091703056768559</v>
          </cell>
          <cell r="AF326">
            <v>0.19213973799126638</v>
          </cell>
          <cell r="AM326">
            <v>0.72925764192139741</v>
          </cell>
          <cell r="AN326">
            <v>0.25109170305676853</v>
          </cell>
          <cell r="AO326">
            <v>0.74235807860262004</v>
          </cell>
          <cell r="AP326">
            <v>0.67248908296943233</v>
          </cell>
          <cell r="AW326">
            <v>0.27947598253275108</v>
          </cell>
          <cell r="AX326">
            <v>0.72052401746724892</v>
          </cell>
          <cell r="AY326">
            <v>0.18995633187772926</v>
          </cell>
          <cell r="AZ326">
            <v>0.34061135371179041</v>
          </cell>
          <cell r="BG326">
            <v>0.39519650655021832</v>
          </cell>
          <cell r="BH326">
            <v>0.55021834061135366</v>
          </cell>
          <cell r="BI326">
            <v>0.73362445414847166</v>
          </cell>
          <cell r="BJ326">
            <v>0.49126637554585151</v>
          </cell>
          <cell r="BQ326">
            <v>0.22925764192139739</v>
          </cell>
          <cell r="BR326">
            <v>0.18995633187772926</v>
          </cell>
          <cell r="BS326">
            <v>0.27729257641921395</v>
          </cell>
          <cell r="BT326">
            <v>0.25545851528384278</v>
          </cell>
          <cell r="BX326">
            <v>0.37554585152838427</v>
          </cell>
          <cell r="CJ326">
            <v>0.59170305676855894</v>
          </cell>
          <cell r="CK326">
            <v>0.74890829694323147</v>
          </cell>
        </row>
        <row r="327">
          <cell r="A327" t="str">
            <v>Nino Niederreiter</v>
          </cell>
          <cell r="B327" t="str">
            <v>NSH, WPG</v>
          </cell>
          <cell r="I327">
            <v>0.78384279475982532</v>
          </cell>
          <cell r="J327">
            <v>0.80131004366812231</v>
          </cell>
          <cell r="K327">
            <v>0.6266375545851528</v>
          </cell>
          <cell r="L327">
            <v>0.82096069868995636</v>
          </cell>
          <cell r="S327">
            <v>0.87554585152838427</v>
          </cell>
          <cell r="T327">
            <v>0.33842794759825329</v>
          </cell>
          <cell r="U327">
            <v>0.23580786026200873</v>
          </cell>
          <cell r="V327">
            <v>0.6746724890829694</v>
          </cell>
          <cell r="AC327">
            <v>0.51528384279475981</v>
          </cell>
          <cell r="AD327">
            <v>0.72489082969432317</v>
          </cell>
          <cell r="AE327">
            <v>0.51965065502183405</v>
          </cell>
          <cell r="AF327">
            <v>0.5873362445414847</v>
          </cell>
          <cell r="AM327">
            <v>0.73799126637554591</v>
          </cell>
          <cell r="AN327">
            <v>0.78165938864628826</v>
          </cell>
          <cell r="AO327">
            <v>0.65938864628820959</v>
          </cell>
          <cell r="AP327">
            <v>0.69650655021834063</v>
          </cell>
          <cell r="AW327">
            <v>0.61353711790393017</v>
          </cell>
          <cell r="AX327">
            <v>0.87772925764192145</v>
          </cell>
          <cell r="AY327">
            <v>0.31441048034934499</v>
          </cell>
          <cell r="AZ327">
            <v>0.72052401746724892</v>
          </cell>
          <cell r="BG327">
            <v>0.66157205240174677</v>
          </cell>
          <cell r="BH327">
            <v>0.71179039301310043</v>
          </cell>
          <cell r="BI327">
            <v>0.49563318777292575</v>
          </cell>
          <cell r="BJ327">
            <v>0.56550218340611358</v>
          </cell>
          <cell r="BQ327">
            <v>0.70087336244541487</v>
          </cell>
          <cell r="BR327">
            <v>0.84716157205240172</v>
          </cell>
          <cell r="BS327">
            <v>0.6026200873362445</v>
          </cell>
          <cell r="BT327">
            <v>0.79257641921397382</v>
          </cell>
          <cell r="BX327">
            <v>0.82096069868995636</v>
          </cell>
          <cell r="CJ327">
            <v>0.68995633187772931</v>
          </cell>
          <cell r="CK327">
            <v>0.79257641921397382</v>
          </cell>
        </row>
        <row r="328">
          <cell r="A328" t="str">
            <v>Noah Cates</v>
          </cell>
          <cell r="B328" t="str">
            <v>PHI</v>
          </cell>
          <cell r="I328">
            <v>0.25545851528384278</v>
          </cell>
          <cell r="J328">
            <v>0.17467248908296942</v>
          </cell>
          <cell r="K328">
            <v>0.37336244541484714</v>
          </cell>
          <cell r="L328">
            <v>0.27729257641921395</v>
          </cell>
          <cell r="S328">
            <v>0.20742358078602621</v>
          </cell>
          <cell r="T328">
            <v>0.5</v>
          </cell>
          <cell r="U328">
            <v>0.42358078602620086</v>
          </cell>
          <cell r="V328">
            <v>0.31222707423580787</v>
          </cell>
          <cell r="AC328">
            <v>0.59170305676855894</v>
          </cell>
          <cell r="AD328">
            <v>0.70524017467248912</v>
          </cell>
          <cell r="AE328">
            <v>0.75545851528384278</v>
          </cell>
          <cell r="AF328">
            <v>0.63755458515283847</v>
          </cell>
          <cell r="AM328">
            <v>0.27074235807860264</v>
          </cell>
          <cell r="AN328">
            <v>0.2205240174672489</v>
          </cell>
          <cell r="AO328">
            <v>0.54585152838427953</v>
          </cell>
          <cell r="AP328">
            <v>0.42139737991266374</v>
          </cell>
          <cell r="AW328">
            <v>0.74672489082969429</v>
          </cell>
          <cell r="AX328">
            <v>0.86899563318777295</v>
          </cell>
          <cell r="AY328">
            <v>0.86026200873362446</v>
          </cell>
          <cell r="AZ328">
            <v>0.74454148471615722</v>
          </cell>
          <cell r="BG328">
            <v>0.75109170305676853</v>
          </cell>
          <cell r="BH328">
            <v>0.21179039301310043</v>
          </cell>
          <cell r="BI328">
            <v>0.53711790393013104</v>
          </cell>
          <cell r="BJ328">
            <v>0.70960698689956336</v>
          </cell>
          <cell r="BQ328">
            <v>0.36462882096069871</v>
          </cell>
          <cell r="BR328">
            <v>0.33406113537117904</v>
          </cell>
          <cell r="BS328">
            <v>0.58296943231441045</v>
          </cell>
          <cell r="BT328">
            <v>0.37772925764192139</v>
          </cell>
          <cell r="BX328">
            <v>0.37772925764192139</v>
          </cell>
          <cell r="CJ328">
            <v>0.89956331877729256</v>
          </cell>
          <cell r="CK328">
            <v>7.4235807860262015E-2</v>
          </cell>
        </row>
        <row r="329">
          <cell r="A329" t="str">
            <v>Noah Gregor</v>
          </cell>
          <cell r="B329" t="str">
            <v>S.J</v>
          </cell>
          <cell r="I329">
            <v>0.45851528384279477</v>
          </cell>
          <cell r="J329">
            <v>0.85807860262008728</v>
          </cell>
          <cell r="K329">
            <v>0.30349344978165937</v>
          </cell>
          <cell r="L329">
            <v>0.75545851528384278</v>
          </cell>
          <cell r="S329">
            <v>0.73580786026200873</v>
          </cell>
          <cell r="T329">
            <v>0.13100436681222707</v>
          </cell>
          <cell r="U329">
            <v>0.34279475982532753</v>
          </cell>
          <cell r="V329">
            <v>0.34061135371179041</v>
          </cell>
          <cell r="AC329">
            <v>3.9301310043668124E-2</v>
          </cell>
          <cell r="AD329">
            <v>8.7336244541484712E-2</v>
          </cell>
          <cell r="AE329">
            <v>0.34716157205240172</v>
          </cell>
          <cell r="AF329">
            <v>5.0218340611353711E-2</v>
          </cell>
          <cell r="AM329">
            <v>0.57423580786026196</v>
          </cell>
          <cell r="AN329">
            <v>0.68777292576419213</v>
          </cell>
          <cell r="AO329">
            <v>0.43449781659388648</v>
          </cell>
          <cell r="AP329">
            <v>0.62445414847161573</v>
          </cell>
          <cell r="AW329">
            <v>1.3100436681222707E-2</v>
          </cell>
          <cell r="AX329">
            <v>0.10043668122270742</v>
          </cell>
          <cell r="AY329">
            <v>0.87554585152838427</v>
          </cell>
          <cell r="AZ329">
            <v>7.6419213973799124E-2</v>
          </cell>
          <cell r="BG329">
            <v>0.48908296943231439</v>
          </cell>
          <cell r="BH329">
            <v>0.17248908296943233</v>
          </cell>
          <cell r="BI329">
            <v>0.41703056768558949</v>
          </cell>
          <cell r="BJ329">
            <v>0.57860262008733621</v>
          </cell>
          <cell r="BQ329">
            <v>0.12663755458515283</v>
          </cell>
          <cell r="BR329">
            <v>0.5240174672489083</v>
          </cell>
          <cell r="BS329">
            <v>0.25545851528384278</v>
          </cell>
          <cell r="BT329">
            <v>0.32532751091703055</v>
          </cell>
          <cell r="BX329">
            <v>0.18995633187772926</v>
          </cell>
          <cell r="CJ329">
            <v>0.32751091703056767</v>
          </cell>
          <cell r="CK329">
            <v>0.5633187772925764</v>
          </cell>
        </row>
        <row r="330">
          <cell r="A330" t="str">
            <v>Noel Acciari</v>
          </cell>
          <cell r="B330" t="str">
            <v>STL, TOR</v>
          </cell>
          <cell r="I330">
            <v>0.14847161572052403</v>
          </cell>
          <cell r="J330">
            <v>0.3296943231441048</v>
          </cell>
          <cell r="K330">
            <v>7.4235807860262015E-2</v>
          </cell>
          <cell r="L330">
            <v>0.2816593886462882</v>
          </cell>
          <cell r="S330">
            <v>0.45414847161572053</v>
          </cell>
          <cell r="T330">
            <v>8.0786026200873357E-2</v>
          </cell>
          <cell r="U330">
            <v>8.5152838427947602E-2</v>
          </cell>
          <cell r="V330">
            <v>0.13100436681222707</v>
          </cell>
          <cell r="AC330">
            <v>0.81004366812227069</v>
          </cell>
          <cell r="AD330">
            <v>0.6746724890829694</v>
          </cell>
          <cell r="AE330">
            <v>0.69213973799126638</v>
          </cell>
          <cell r="AF330">
            <v>0.74017467248908297</v>
          </cell>
          <cell r="AM330">
            <v>0.17467248908296942</v>
          </cell>
          <cell r="AN330">
            <v>0.36681222707423583</v>
          </cell>
          <cell r="AO330">
            <v>3.0567685589519649E-2</v>
          </cell>
          <cell r="AP330">
            <v>0.26200873362445415</v>
          </cell>
          <cell r="AW330">
            <v>0.94978165938864634</v>
          </cell>
          <cell r="AX330">
            <v>0.85807860262008728</v>
          </cell>
          <cell r="AY330">
            <v>0.8733624454148472</v>
          </cell>
          <cell r="AZ330">
            <v>0.92576419213973804</v>
          </cell>
          <cell r="BG330">
            <v>0.51528384279475981</v>
          </cell>
          <cell r="BH330">
            <v>0.1091703056768559</v>
          </cell>
          <cell r="BI330">
            <v>8.7336244541484712E-2</v>
          </cell>
          <cell r="BJ330">
            <v>0.18995633187772926</v>
          </cell>
          <cell r="BQ330">
            <v>0.37772925764192139</v>
          </cell>
          <cell r="BR330">
            <v>0.44978165938864628</v>
          </cell>
          <cell r="BS330">
            <v>0.18777292576419213</v>
          </cell>
          <cell r="BT330">
            <v>0.45633187772925765</v>
          </cell>
          <cell r="BX330">
            <v>0.42358078602620086</v>
          </cell>
          <cell r="CJ330">
            <v>0.71834061135371174</v>
          </cell>
          <cell r="CK330">
            <v>0.57205240174672489</v>
          </cell>
        </row>
        <row r="331">
          <cell r="A331" t="str">
            <v>Oliver Bjorkstrand</v>
          </cell>
          <cell r="B331" t="str">
            <v>SEA</v>
          </cell>
          <cell r="I331">
            <v>0.73799126637554591</v>
          </cell>
          <cell r="J331">
            <v>0.15938864628820962</v>
          </cell>
          <cell r="K331">
            <v>0.66157205240174677</v>
          </cell>
          <cell r="L331">
            <v>0.4366812227074236</v>
          </cell>
          <cell r="S331">
            <v>0.72707423580786024</v>
          </cell>
          <cell r="T331">
            <v>0.64410480349344978</v>
          </cell>
          <cell r="U331">
            <v>0.53711790393013104</v>
          </cell>
          <cell r="V331">
            <v>0.70742358078602618</v>
          </cell>
          <cell r="AC331">
            <v>0.88209606986899558</v>
          </cell>
          <cell r="AD331">
            <v>0.69213973799126638</v>
          </cell>
          <cell r="AE331">
            <v>0.45414847161572053</v>
          </cell>
          <cell r="AF331">
            <v>0.52838427947598254</v>
          </cell>
          <cell r="AM331">
            <v>0.65938864628820959</v>
          </cell>
          <cell r="AN331">
            <v>0.25109170305676853</v>
          </cell>
          <cell r="AO331">
            <v>0.31877729257641924</v>
          </cell>
          <cell r="AP331">
            <v>0.45196506550218341</v>
          </cell>
          <cell r="AW331">
            <v>0.52620087336244536</v>
          </cell>
          <cell r="AX331">
            <v>0.41484716157205243</v>
          </cell>
          <cell r="AY331">
            <v>0.3056768558951965</v>
          </cell>
          <cell r="AZ331">
            <v>0.1965065502183406</v>
          </cell>
          <cell r="BG331">
            <v>0.64847161572052403</v>
          </cell>
          <cell r="BH331">
            <v>0.73580786026200873</v>
          </cell>
          <cell r="BI331">
            <v>0.72052401746724892</v>
          </cell>
          <cell r="BJ331">
            <v>0.35807860262008734</v>
          </cell>
          <cell r="BQ331">
            <v>0.86462882096069871</v>
          </cell>
          <cell r="BR331">
            <v>0.29257641921397382</v>
          </cell>
          <cell r="BS331">
            <v>0.59388646288209612</v>
          </cell>
          <cell r="BT331">
            <v>0.48034934497816595</v>
          </cell>
          <cell r="BX331">
            <v>0.70305676855895194</v>
          </cell>
          <cell r="CJ331">
            <v>0.83187772925764192</v>
          </cell>
          <cell r="CK331">
            <v>0.3296943231441048</v>
          </cell>
        </row>
        <row r="332">
          <cell r="A332" t="str">
            <v>Oliver Wahlstrom</v>
          </cell>
          <cell r="B332" t="str">
            <v>NYI</v>
          </cell>
          <cell r="I332">
            <v>0.56768558951965065</v>
          </cell>
          <cell r="J332">
            <v>0.28384279475982532</v>
          </cell>
          <cell r="K332">
            <v>0.83187772925764192</v>
          </cell>
          <cell r="L332">
            <v>0.33187772925764192</v>
          </cell>
          <cell r="S332">
            <v>0.78820960698689957</v>
          </cell>
          <cell r="T332">
            <v>0.77510917030567683</v>
          </cell>
          <cell r="U332">
            <v>0.17903930131004367</v>
          </cell>
          <cell r="V332">
            <v>0.83624454148471616</v>
          </cell>
          <cell r="AC332">
            <v>0.51965065502183405</v>
          </cell>
          <cell r="AD332">
            <v>0.49781659388646288</v>
          </cell>
          <cell r="AE332">
            <v>0.99344978165938869</v>
          </cell>
          <cell r="AF332">
            <v>0.69650655021834063</v>
          </cell>
          <cell r="AM332">
            <v>0.57641921397379914</v>
          </cell>
          <cell r="AN332">
            <v>0.27074235807860264</v>
          </cell>
          <cell r="AO332">
            <v>0.67685589519650657</v>
          </cell>
          <cell r="AP332">
            <v>0.31222707423580787</v>
          </cell>
          <cell r="AW332">
            <v>0.85589519650655022</v>
          </cell>
          <cell r="AX332">
            <v>0.74235807860262004</v>
          </cell>
          <cell r="AY332">
            <v>0.9606986899563319</v>
          </cell>
          <cell r="AZ332">
            <v>0.94323144104803491</v>
          </cell>
          <cell r="BG332">
            <v>0.27292576419213976</v>
          </cell>
          <cell r="BH332">
            <v>1</v>
          </cell>
          <cell r="BI332">
            <v>0.88646288209606983</v>
          </cell>
          <cell r="BJ332">
            <v>0.99344978165938869</v>
          </cell>
          <cell r="BQ332">
            <v>0.54366812227074235</v>
          </cell>
          <cell r="BR332">
            <v>0.31222707423580787</v>
          </cell>
          <cell r="BS332">
            <v>0.99781659388646293</v>
          </cell>
          <cell r="BT332">
            <v>0.48253275109170307</v>
          </cell>
          <cell r="BX332">
            <v>0.75109170305676853</v>
          </cell>
          <cell r="CJ332">
            <v>5.2401746724890827E-2</v>
          </cell>
          <cell r="CK332">
            <v>0.76637554585152834</v>
          </cell>
        </row>
        <row r="333">
          <cell r="A333" t="str">
            <v>Ondrej Palat</v>
          </cell>
          <cell r="B333" t="str">
            <v>N.J</v>
          </cell>
          <cell r="I333">
            <v>0.83406113537117899</v>
          </cell>
          <cell r="J333">
            <v>0.97816593886462877</v>
          </cell>
          <cell r="K333">
            <v>0.66812227074235808</v>
          </cell>
          <cell r="L333">
            <v>0.8973799126637555</v>
          </cell>
          <cell r="S333">
            <v>0.45414847161572053</v>
          </cell>
          <cell r="T333">
            <v>0.56986899563318782</v>
          </cell>
          <cell r="U333">
            <v>0.72052401746724892</v>
          </cell>
          <cell r="V333">
            <v>0.52838427947598254</v>
          </cell>
          <cell r="AC333">
            <v>0.76637554585152834</v>
          </cell>
          <cell r="AD333">
            <v>0.97161572052401746</v>
          </cell>
          <cell r="AE333">
            <v>0.6506550218340611</v>
          </cell>
          <cell r="AF333">
            <v>0.88427947598253276</v>
          </cell>
          <cell r="AM333">
            <v>0.53711790393013104</v>
          </cell>
          <cell r="AN333">
            <v>0.84497816593886466</v>
          </cell>
          <cell r="AO333">
            <v>0.50218340611353707</v>
          </cell>
          <cell r="AP333">
            <v>0.55021834061135366</v>
          </cell>
          <cell r="AW333">
            <v>0.58515283842794763</v>
          </cell>
          <cell r="AX333">
            <v>0.81441048034934493</v>
          </cell>
          <cell r="AY333">
            <v>0.69868995633187769</v>
          </cell>
          <cell r="AZ333">
            <v>0.75327510917030571</v>
          </cell>
          <cell r="BG333">
            <v>0.76855895196506552</v>
          </cell>
          <cell r="BH333">
            <v>0.59825327510917026</v>
          </cell>
          <cell r="BI333">
            <v>0.46724890829694321</v>
          </cell>
          <cell r="BJ333">
            <v>0.46288209606986902</v>
          </cell>
          <cell r="BQ333">
            <v>0.85807860262008728</v>
          </cell>
          <cell r="BR333">
            <v>0.99344978165938869</v>
          </cell>
          <cell r="BS333">
            <v>0.75545851528384278</v>
          </cell>
          <cell r="BT333">
            <v>0.95196506550218341</v>
          </cell>
          <cell r="BX333">
            <v>0.87554585152838427</v>
          </cell>
          <cell r="CJ333">
            <v>0.89956331877729256</v>
          </cell>
          <cell r="CK333">
            <v>0.46724890829694321</v>
          </cell>
        </row>
        <row r="334">
          <cell r="A334" t="str">
            <v>Oskar Lindblom</v>
          </cell>
          <cell r="B334" t="str">
            <v>S.J</v>
          </cell>
          <cell r="I334">
            <v>0.12445414847161572</v>
          </cell>
          <cell r="J334">
            <v>0.22925764192139739</v>
          </cell>
          <cell r="K334">
            <v>0.24672489082969432</v>
          </cell>
          <cell r="L334">
            <v>0.14410480349344978</v>
          </cell>
          <cell r="S334">
            <v>0.32096069868995636</v>
          </cell>
          <cell r="T334">
            <v>0.27074235807860264</v>
          </cell>
          <cell r="U334">
            <v>0.13755458515283842</v>
          </cell>
          <cell r="V334">
            <v>0.22270742358078602</v>
          </cell>
          <cell r="AC334">
            <v>0.22925764192139739</v>
          </cell>
          <cell r="AD334">
            <v>0.35589519650655022</v>
          </cell>
          <cell r="AE334">
            <v>6.9868995633187769E-2</v>
          </cell>
          <cell r="AF334">
            <v>0.41484716157205243</v>
          </cell>
          <cell r="AM334">
            <v>8.296943231441048E-2</v>
          </cell>
          <cell r="AN334">
            <v>1.3100436681222707E-2</v>
          </cell>
          <cell r="AO334">
            <v>0.20524017467248909</v>
          </cell>
          <cell r="AP334">
            <v>3.0567685589519649E-2</v>
          </cell>
          <cell r="AW334">
            <v>0.20087336244541484</v>
          </cell>
          <cell r="AX334">
            <v>0.23580786026200873</v>
          </cell>
          <cell r="AY334">
            <v>0.25327510917030566</v>
          </cell>
          <cell r="AZ334">
            <v>0.41921397379912662</v>
          </cell>
          <cell r="BG334">
            <v>7.4235807860262015E-2</v>
          </cell>
          <cell r="BH334">
            <v>0.31659388646288211</v>
          </cell>
          <cell r="BI334">
            <v>0.388646288209607</v>
          </cell>
          <cell r="BJ334">
            <v>6.9868995633187769E-2</v>
          </cell>
          <cell r="BQ334">
            <v>0.11572052401746726</v>
          </cell>
          <cell r="BR334">
            <v>0.22270742358078602</v>
          </cell>
          <cell r="BS334">
            <v>8.5152838427947602E-2</v>
          </cell>
          <cell r="BT334">
            <v>0.1965065502183406</v>
          </cell>
          <cell r="BX334">
            <v>5.458515283842795E-2</v>
          </cell>
          <cell r="CJ334">
            <v>0.59170305676855894</v>
          </cell>
          <cell r="CK334">
            <v>3.0567685589519649E-2</v>
          </cell>
        </row>
        <row r="335">
          <cell r="A335" t="str">
            <v>Oskar Sundqvist</v>
          </cell>
          <cell r="B335" t="str">
            <v>DET, MIN</v>
          </cell>
          <cell r="I335">
            <v>8.9519650655021835E-2</v>
          </cell>
          <cell r="J335">
            <v>0.13973799126637554</v>
          </cell>
          <cell r="K335">
            <v>0.38209606986899564</v>
          </cell>
          <cell r="L335">
            <v>0.1943231441048035</v>
          </cell>
          <cell r="S335">
            <v>0.27510917030567683</v>
          </cell>
          <cell r="T335">
            <v>0.56986899563318782</v>
          </cell>
          <cell r="U335">
            <v>0.31004366812227074</v>
          </cell>
          <cell r="V335">
            <v>0.41484716157205243</v>
          </cell>
          <cell r="AC335">
            <v>0.54366812227074235</v>
          </cell>
          <cell r="AD335">
            <v>0.27729257641921395</v>
          </cell>
          <cell r="AE335">
            <v>0.5873362445414847</v>
          </cell>
          <cell r="AF335">
            <v>0.52838427947598254</v>
          </cell>
          <cell r="AM335">
            <v>0.24890829694323144</v>
          </cell>
          <cell r="AN335">
            <v>0.35589519650655022</v>
          </cell>
          <cell r="AO335">
            <v>0.37991266375545851</v>
          </cell>
          <cell r="AP335">
            <v>0.41048034934497818</v>
          </cell>
          <cell r="AW335">
            <v>0.78602620087336239</v>
          </cell>
          <cell r="AX335">
            <v>0.31659388646288211</v>
          </cell>
          <cell r="AY335">
            <v>0.55895196506550215</v>
          </cell>
          <cell r="AZ335">
            <v>0.63100436681222705</v>
          </cell>
          <cell r="BG335">
            <v>0.2576419213973799</v>
          </cell>
          <cell r="BH335">
            <v>0.56113537117903933</v>
          </cell>
          <cell r="BI335">
            <v>0.73144104803493448</v>
          </cell>
          <cell r="BJ335">
            <v>0.66593886462882101</v>
          </cell>
          <cell r="BQ335">
            <v>0.17685589519650655</v>
          </cell>
          <cell r="BR335">
            <v>0.15283842794759825</v>
          </cell>
          <cell r="BS335">
            <v>0.46288209606986902</v>
          </cell>
          <cell r="BT335">
            <v>0.27292576419213976</v>
          </cell>
          <cell r="BX335">
            <v>0.29257641921397382</v>
          </cell>
          <cell r="CJ335">
            <v>0.26419213973799127</v>
          </cell>
          <cell r="CK335">
            <v>0.90393013100436681</v>
          </cell>
        </row>
        <row r="336">
          <cell r="A336" t="str">
            <v>Owen Tippett</v>
          </cell>
          <cell r="B336" t="str">
            <v>PHI</v>
          </cell>
          <cell r="I336">
            <v>0.61353711790393017</v>
          </cell>
          <cell r="J336">
            <v>0.61353711790393017</v>
          </cell>
          <cell r="K336">
            <v>0.71615720524017468</v>
          </cell>
          <cell r="L336">
            <v>0.59825327510917026</v>
          </cell>
          <cell r="S336">
            <v>0.76200873362445409</v>
          </cell>
          <cell r="T336">
            <v>0.53056768558951961</v>
          </cell>
          <cell r="U336">
            <v>0.58078602620087338</v>
          </cell>
          <cell r="V336">
            <v>0.63755458515283847</v>
          </cell>
          <cell r="AC336">
            <v>0.34497816593886466</v>
          </cell>
          <cell r="AD336">
            <v>0.55021834061135366</v>
          </cell>
          <cell r="AE336">
            <v>8.9519650655021835E-2</v>
          </cell>
          <cell r="AF336">
            <v>0.42358078602620086</v>
          </cell>
          <cell r="AM336">
            <v>0.72707423580786024</v>
          </cell>
          <cell r="AN336">
            <v>0.79475982532751088</v>
          </cell>
          <cell r="AO336">
            <v>0.86899563318777295</v>
          </cell>
          <cell r="AP336">
            <v>0.81004366812227069</v>
          </cell>
          <cell r="AW336">
            <v>0.33187772925764192</v>
          </cell>
          <cell r="AX336">
            <v>0.58078602620087338</v>
          </cell>
          <cell r="AY336">
            <v>2.6200873362445413E-2</v>
          </cell>
          <cell r="AZ336">
            <v>0.36462882096069871</v>
          </cell>
          <cell r="BG336">
            <v>0.87117903930131002</v>
          </cell>
          <cell r="BH336">
            <v>0.69432314410480345</v>
          </cell>
          <cell r="BI336">
            <v>0.74235807860262004</v>
          </cell>
          <cell r="BJ336">
            <v>0.24672489082969432</v>
          </cell>
          <cell r="BQ336">
            <v>0.49781659388646288</v>
          </cell>
          <cell r="BR336">
            <v>0.57641921397379914</v>
          </cell>
          <cell r="BS336">
            <v>0.35589519650655022</v>
          </cell>
          <cell r="BT336">
            <v>0.5240174672489083</v>
          </cell>
          <cell r="BX336">
            <v>0.63318777292576423</v>
          </cell>
          <cell r="CJ336">
            <v>0.86681222707423577</v>
          </cell>
          <cell r="CK336">
            <v>0.49781659388646288</v>
          </cell>
        </row>
        <row r="337">
          <cell r="A337" t="str">
            <v>Parker Kelly</v>
          </cell>
          <cell r="B337" t="str">
            <v>OTT</v>
          </cell>
          <cell r="I337">
            <v>0.19213973799126638</v>
          </cell>
          <cell r="J337">
            <v>4.8034934497816595E-2</v>
          </cell>
          <cell r="K337">
            <v>1.5283842794759825E-2</v>
          </cell>
          <cell r="L337">
            <v>3.9301310043668124E-2</v>
          </cell>
          <cell r="S337">
            <v>2.1834061135371178E-2</v>
          </cell>
          <cell r="T337">
            <v>3.9301310043668124E-2</v>
          </cell>
          <cell r="U337">
            <v>2.1834061135371178E-3</v>
          </cell>
          <cell r="V337">
            <v>1.3100436681222707E-2</v>
          </cell>
          <cell r="AC337">
            <v>0.70524017467248912</v>
          </cell>
          <cell r="AD337">
            <v>0.79257641921397382</v>
          </cell>
          <cell r="AE337">
            <v>0.48908296943231439</v>
          </cell>
          <cell r="AF337">
            <v>0.85371179039301315</v>
          </cell>
          <cell r="AM337">
            <v>5.2401746724890827E-2</v>
          </cell>
          <cell r="AN337">
            <v>8.7336244541484712E-3</v>
          </cell>
          <cell r="AO337">
            <v>3.4934497816593885E-2</v>
          </cell>
          <cell r="AP337">
            <v>6.5502183406113534E-3</v>
          </cell>
          <cell r="AW337">
            <v>0.85807860262008728</v>
          </cell>
          <cell r="AX337">
            <v>0.82969432314410485</v>
          </cell>
          <cell r="AY337">
            <v>0.67248908296943233</v>
          </cell>
          <cell r="AZ337">
            <v>0.91048034934497812</v>
          </cell>
          <cell r="BG337">
            <v>1.3100436681222707E-2</v>
          </cell>
          <cell r="BH337">
            <v>8.296943231441048E-2</v>
          </cell>
          <cell r="BI337">
            <v>8.7336244541484712E-3</v>
          </cell>
          <cell r="BJ337">
            <v>1.5283842794759825E-2</v>
          </cell>
          <cell r="BQ337">
            <v>0.36681222707423583</v>
          </cell>
          <cell r="BR337">
            <v>0.21179039301310043</v>
          </cell>
          <cell r="BS337">
            <v>1.3100436681222707E-2</v>
          </cell>
          <cell r="BT337">
            <v>0.1943231441048035</v>
          </cell>
          <cell r="BX337">
            <v>0.12882096069868995</v>
          </cell>
          <cell r="CJ337">
            <v>5.458515283842795E-2</v>
          </cell>
          <cell r="CK337">
            <v>0.9606986899563319</v>
          </cell>
        </row>
        <row r="338">
          <cell r="A338" t="str">
            <v>Pat Maroon</v>
          </cell>
          <cell r="B338" t="str">
            <v>T.B</v>
          </cell>
          <cell r="I338">
            <v>0.51965065502183405</v>
          </cell>
          <cell r="J338">
            <v>0.67903930131004364</v>
          </cell>
          <cell r="K338">
            <v>8.0786026200873357E-2</v>
          </cell>
          <cell r="L338">
            <v>0.45414847161572053</v>
          </cell>
          <cell r="S338">
            <v>0.1222707423580786</v>
          </cell>
          <cell r="T338">
            <v>0.16375545851528384</v>
          </cell>
          <cell r="U338">
            <v>0.16157205240174671</v>
          </cell>
          <cell r="V338">
            <v>8.296943231441048E-2</v>
          </cell>
          <cell r="AC338">
            <v>0.67685589519650657</v>
          </cell>
          <cell r="AD338">
            <v>0.69213973799126638</v>
          </cell>
          <cell r="AE338">
            <v>0.87117903930131002</v>
          </cell>
          <cell r="AF338">
            <v>0.67248908296943233</v>
          </cell>
          <cell r="AM338">
            <v>0.33406113537117904</v>
          </cell>
          <cell r="AN338">
            <v>0.18122270742358079</v>
          </cell>
          <cell r="AO338">
            <v>3.7117903930131008E-2</v>
          </cell>
          <cell r="AP338">
            <v>0.18777292576419213</v>
          </cell>
          <cell r="AW338">
            <v>0.70305676855895194</v>
          </cell>
          <cell r="AX338">
            <v>0.69432314410480345</v>
          </cell>
          <cell r="AY338">
            <v>0.888646288209607</v>
          </cell>
          <cell r="AZ338">
            <v>0.75327510917030571</v>
          </cell>
          <cell r="BG338">
            <v>0.17248908296943233</v>
          </cell>
          <cell r="BH338">
            <v>0.65502183406113534</v>
          </cell>
          <cell r="BI338">
            <v>8.5152838427947602E-2</v>
          </cell>
          <cell r="BJ338">
            <v>0.41484716157205243</v>
          </cell>
          <cell r="BQ338">
            <v>0.59825327510917026</v>
          </cell>
          <cell r="BR338">
            <v>0.73580786026200873</v>
          </cell>
          <cell r="BS338">
            <v>0.32751091703056767</v>
          </cell>
          <cell r="BT338">
            <v>0.56113537117903933</v>
          </cell>
          <cell r="BX338">
            <v>0.37336244541484714</v>
          </cell>
          <cell r="CJ338">
            <v>1.9650655021834062E-2</v>
          </cell>
          <cell r="CK338">
            <v>0.87991266375545851</v>
          </cell>
        </row>
        <row r="339">
          <cell r="A339" t="str">
            <v>Patrice Bergeron</v>
          </cell>
          <cell r="B339" t="str">
            <v>BOS</v>
          </cell>
          <cell r="I339">
            <v>0.99126637554585151</v>
          </cell>
          <cell r="J339">
            <v>0.9606986899563319</v>
          </cell>
          <cell r="K339">
            <v>0.81441048034934493</v>
          </cell>
          <cell r="L339">
            <v>0.98034934497816595</v>
          </cell>
          <cell r="S339">
            <v>0.79475982532751088</v>
          </cell>
          <cell r="T339">
            <v>0.69868995633187769</v>
          </cell>
          <cell r="U339">
            <v>0.49563318777292575</v>
          </cell>
          <cell r="V339">
            <v>0.81222707423580787</v>
          </cell>
          <cell r="AC339">
            <v>0.91048034934497812</v>
          </cell>
          <cell r="AD339">
            <v>0.96943231441048039</v>
          </cell>
          <cell r="AE339">
            <v>0.99563318777292575</v>
          </cell>
          <cell r="AF339">
            <v>0.9759825327510917</v>
          </cell>
          <cell r="AM339">
            <v>0.99781659388646293</v>
          </cell>
          <cell r="AN339">
            <v>0.98471615720524019</v>
          </cell>
          <cell r="AO339">
            <v>0.55676855895196509</v>
          </cell>
          <cell r="AP339">
            <v>0.99563318777292575</v>
          </cell>
          <cell r="AW339">
            <v>0.9126637554585153</v>
          </cell>
          <cell r="AX339">
            <v>0.94541484716157209</v>
          </cell>
          <cell r="AY339">
            <v>0.84716157205240172</v>
          </cell>
          <cell r="AZ339">
            <v>0.92576419213973804</v>
          </cell>
          <cell r="BG339">
            <v>0.34279475982532753</v>
          </cell>
          <cell r="BH339">
            <v>0.68122270742358082</v>
          </cell>
          <cell r="BI339">
            <v>0.36026200873362446</v>
          </cell>
          <cell r="BJ339">
            <v>0.9126637554585153</v>
          </cell>
          <cell r="BQ339">
            <v>0.9759825327510917</v>
          </cell>
          <cell r="BR339">
            <v>0.99126637554585151</v>
          </cell>
          <cell r="BS339">
            <v>1</v>
          </cell>
          <cell r="BT339">
            <v>0.99344978165938869</v>
          </cell>
          <cell r="BX339">
            <v>0.99781659388646293</v>
          </cell>
          <cell r="CJ339">
            <v>0.89956331877729256</v>
          </cell>
          <cell r="CK339">
            <v>0.39519650655021832</v>
          </cell>
        </row>
        <row r="340">
          <cell r="A340" t="str">
            <v>Patrick Brown</v>
          </cell>
          <cell r="B340" t="str">
            <v>OTT, PHI</v>
          </cell>
          <cell r="I340">
            <v>0.33624454148471616</v>
          </cell>
          <cell r="J340">
            <v>0.2576419213973799</v>
          </cell>
          <cell r="K340">
            <v>0.18558951965065501</v>
          </cell>
          <cell r="L340">
            <v>0.1222707423580786</v>
          </cell>
          <cell r="S340">
            <v>7.6419213973799124E-2</v>
          </cell>
          <cell r="T340">
            <v>0.36026200873362446</v>
          </cell>
          <cell r="U340">
            <v>0.29475982532751094</v>
          </cell>
          <cell r="V340">
            <v>0.13755458515283842</v>
          </cell>
          <cell r="AC340">
            <v>0.83842794759825323</v>
          </cell>
          <cell r="AD340">
            <v>0.63318777292576423</v>
          </cell>
          <cell r="AE340">
            <v>0.73362445414847166</v>
          </cell>
          <cell r="AF340">
            <v>0.71179039301310043</v>
          </cell>
          <cell r="AM340">
            <v>0.20960698689956331</v>
          </cell>
          <cell r="AN340">
            <v>0.22489082969432314</v>
          </cell>
          <cell r="AO340">
            <v>0.24017467248908297</v>
          </cell>
          <cell r="AP340">
            <v>0.1222707423580786</v>
          </cell>
          <cell r="AW340">
            <v>0.85371179039301315</v>
          </cell>
          <cell r="AX340">
            <v>0.88646288209606983</v>
          </cell>
          <cell r="AY340">
            <v>0.888646288209607</v>
          </cell>
          <cell r="AZ340">
            <v>0.79694323144104806</v>
          </cell>
          <cell r="BG340">
            <v>0.14192139737991266</v>
          </cell>
          <cell r="BH340">
            <v>4.5851528384279479E-2</v>
          </cell>
          <cell r="BI340">
            <v>0.27510917030567683</v>
          </cell>
          <cell r="BJ340">
            <v>0.35807860262008734</v>
          </cell>
          <cell r="BQ340">
            <v>0.5633187772925764</v>
          </cell>
          <cell r="BR340">
            <v>0.37772925764192139</v>
          </cell>
          <cell r="BS340">
            <v>0.35371179039301309</v>
          </cell>
          <cell r="BT340">
            <v>0.29475982532751094</v>
          </cell>
          <cell r="BX340">
            <v>0.31222707423580787</v>
          </cell>
          <cell r="CJ340">
            <v>0.15065502183406113</v>
          </cell>
          <cell r="CK340">
            <v>0.4366812227074236</v>
          </cell>
        </row>
        <row r="341">
          <cell r="A341" t="str">
            <v>Patrick Kane</v>
          </cell>
          <cell r="B341" t="str">
            <v>CHI, NYR</v>
          </cell>
          <cell r="I341">
            <v>0.12008733624454149</v>
          </cell>
          <cell r="J341">
            <v>0.21179039301310043</v>
          </cell>
          <cell r="K341">
            <v>0.59170305676855894</v>
          </cell>
          <cell r="L341">
            <v>0.17685589519650655</v>
          </cell>
          <cell r="S341">
            <v>0.73580786026200873</v>
          </cell>
          <cell r="T341">
            <v>0.5</v>
          </cell>
          <cell r="U341">
            <v>0.51091703056768556</v>
          </cell>
          <cell r="V341">
            <v>0.62008733624454149</v>
          </cell>
          <cell r="AC341">
            <v>6.768558951965066E-2</v>
          </cell>
          <cell r="AD341">
            <v>4.5851528384279479E-2</v>
          </cell>
          <cell r="AE341">
            <v>0.15283842794759825</v>
          </cell>
          <cell r="AF341">
            <v>2.8384279475982533E-2</v>
          </cell>
          <cell r="AM341">
            <v>0.52620087336244536</v>
          </cell>
          <cell r="AN341">
            <v>0.5633187772925764</v>
          </cell>
          <cell r="AO341">
            <v>0.81877729257641918</v>
          </cell>
          <cell r="AP341">
            <v>0.5633187772925764</v>
          </cell>
          <cell r="AW341">
            <v>8.9519650655021835E-2</v>
          </cell>
          <cell r="AX341">
            <v>4.5851528384279479E-2</v>
          </cell>
          <cell r="AY341">
            <v>0.25327510917030566</v>
          </cell>
          <cell r="AZ341">
            <v>2.4017467248908297E-2</v>
          </cell>
          <cell r="BG341">
            <v>0.95851528384279472</v>
          </cell>
          <cell r="BH341">
            <v>0.81222707423580787</v>
          </cell>
          <cell r="BI341">
            <v>0.85371179039301315</v>
          </cell>
          <cell r="BJ341">
            <v>0.74672489082969429</v>
          </cell>
          <cell r="BQ341">
            <v>6.1135371179039298E-2</v>
          </cell>
          <cell r="BR341">
            <v>7.4235807860262015E-2</v>
          </cell>
          <cell r="BS341">
            <v>0.32532751091703055</v>
          </cell>
          <cell r="BT341">
            <v>4.148471615720524E-2</v>
          </cell>
          <cell r="BX341">
            <v>0.11572052401746726</v>
          </cell>
          <cell r="CJ341">
            <v>0.89956331877729256</v>
          </cell>
          <cell r="CK341">
            <v>0.11353711790393013</v>
          </cell>
        </row>
        <row r="342">
          <cell r="A342" t="str">
            <v>Patrik Laine</v>
          </cell>
          <cell r="B342" t="str">
            <v>CBJ</v>
          </cell>
          <cell r="I342">
            <v>0.68995633187772931</v>
          </cell>
          <cell r="J342">
            <v>0.33842794759825329</v>
          </cell>
          <cell r="K342">
            <v>0.60043668122270744</v>
          </cell>
          <cell r="L342">
            <v>0.44323144104803491</v>
          </cell>
          <cell r="S342">
            <v>0.80349344978165937</v>
          </cell>
          <cell r="T342">
            <v>0.78602620087336239</v>
          </cell>
          <cell r="U342">
            <v>0.74235807860262004</v>
          </cell>
          <cell r="V342">
            <v>0.85589519650655022</v>
          </cell>
          <cell r="AC342">
            <v>0.14410480349344978</v>
          </cell>
          <cell r="AD342">
            <v>0.23144104803493451</v>
          </cell>
          <cell r="AE342">
            <v>0.54803493449781659</v>
          </cell>
          <cell r="AF342">
            <v>0.17903930131004367</v>
          </cell>
          <cell r="AM342">
            <v>0.89082969432314407</v>
          </cell>
          <cell r="AN342">
            <v>0.57641921397379914</v>
          </cell>
          <cell r="AO342">
            <v>0.87991266375545851</v>
          </cell>
          <cell r="AP342">
            <v>0.6506550218340611</v>
          </cell>
          <cell r="AW342">
            <v>0.84497816593886466</v>
          </cell>
          <cell r="AX342">
            <v>0.71397379912663761</v>
          </cell>
          <cell r="AY342">
            <v>0.97379912663755464</v>
          </cell>
          <cell r="AZ342">
            <v>0.65502183406113534</v>
          </cell>
          <cell r="BG342">
            <v>0.93231441048034935</v>
          </cell>
          <cell r="BH342">
            <v>0.75327510917030571</v>
          </cell>
          <cell r="BI342">
            <v>0.56768558951965065</v>
          </cell>
          <cell r="BJ342">
            <v>0.66593886462882101</v>
          </cell>
          <cell r="BQ342">
            <v>0.43449781659388648</v>
          </cell>
          <cell r="BR342">
            <v>0.25327510917030566</v>
          </cell>
          <cell r="BS342">
            <v>0.59606986899563319</v>
          </cell>
          <cell r="BT342">
            <v>0.30131004366812225</v>
          </cell>
          <cell r="BX342">
            <v>0.65502183406113534</v>
          </cell>
          <cell r="CJ342">
            <v>0.78602620087336239</v>
          </cell>
          <cell r="CK342">
            <v>0.24890829694323144</v>
          </cell>
        </row>
        <row r="343">
          <cell r="A343" t="str">
            <v>Paul Cotter</v>
          </cell>
          <cell r="B343" t="str">
            <v>VGK</v>
          </cell>
          <cell r="I343">
            <v>0.19868995633187772</v>
          </cell>
          <cell r="J343">
            <v>0.29912663755458513</v>
          </cell>
          <cell r="K343">
            <v>0.37336244541484714</v>
          </cell>
          <cell r="L343">
            <v>0.22707423580786026</v>
          </cell>
          <cell r="S343">
            <v>0.888646288209607</v>
          </cell>
          <cell r="T343">
            <v>7.4235807860262015E-2</v>
          </cell>
          <cell r="U343">
            <v>7.8602620087336247E-2</v>
          </cell>
          <cell r="V343">
            <v>0.49344978165938863</v>
          </cell>
          <cell r="AC343">
            <v>5.2401746724890827E-2</v>
          </cell>
          <cell r="AD343">
            <v>0.34716157205240172</v>
          </cell>
          <cell r="AE343">
            <v>0.36462882096069871</v>
          </cell>
          <cell r="AF343">
            <v>0.15720524017467249</v>
          </cell>
          <cell r="AM343">
            <v>0.20960698689956331</v>
          </cell>
          <cell r="AN343">
            <v>0.27947598253275108</v>
          </cell>
          <cell r="AO343">
            <v>0.27947598253275108</v>
          </cell>
          <cell r="AP343">
            <v>0.22925764192139739</v>
          </cell>
          <cell r="AW343">
            <v>8.7336244541484712E-3</v>
          </cell>
          <cell r="AX343">
            <v>5.6768558951965066E-2</v>
          </cell>
          <cell r="AY343">
            <v>0.12882096069868995</v>
          </cell>
          <cell r="AZ343">
            <v>3.7117903930131008E-2</v>
          </cell>
          <cell r="BG343">
            <v>0.53711790393013104</v>
          </cell>
          <cell r="BH343">
            <v>0.56113537117903933</v>
          </cell>
          <cell r="BI343">
            <v>0.47161572052401746</v>
          </cell>
          <cell r="BJ343">
            <v>0.60698689956331875</v>
          </cell>
          <cell r="BQ343">
            <v>7.2052401746724892E-2</v>
          </cell>
          <cell r="BR343">
            <v>0.27292576419213976</v>
          </cell>
          <cell r="BS343">
            <v>0.31441048034934499</v>
          </cell>
          <cell r="BT343">
            <v>0.15065502183406113</v>
          </cell>
          <cell r="BX343">
            <v>6.768558951965066E-2</v>
          </cell>
          <cell r="CJ343">
            <v>0.79475982532751088</v>
          </cell>
          <cell r="CK343">
            <v>0.58296943231441045</v>
          </cell>
        </row>
        <row r="344">
          <cell r="A344" t="str">
            <v>Paul Stastny</v>
          </cell>
          <cell r="B344" t="str">
            <v>CAR</v>
          </cell>
          <cell r="I344">
            <v>0.99344978165938869</v>
          </cell>
          <cell r="J344">
            <v>0.94323144104803491</v>
          </cell>
          <cell r="K344">
            <v>0.41048034934497818</v>
          </cell>
          <cell r="L344">
            <v>0.95414847161572047</v>
          </cell>
          <cell r="S344">
            <v>0.34934497816593885</v>
          </cell>
          <cell r="T344">
            <v>0.4606986899563319</v>
          </cell>
          <cell r="U344">
            <v>0.31004366812227074</v>
          </cell>
          <cell r="V344">
            <v>0.38209606986899564</v>
          </cell>
          <cell r="AC344">
            <v>0.94759825327510916</v>
          </cell>
          <cell r="AD344">
            <v>0.68558951965065507</v>
          </cell>
          <cell r="AE344">
            <v>0.81877729257641918</v>
          </cell>
          <cell r="AF344">
            <v>0.93886462882096067</v>
          </cell>
          <cell r="AM344">
            <v>0.82314410480349343</v>
          </cell>
          <cell r="AN344">
            <v>0.74672489082969429</v>
          </cell>
          <cell r="AO344">
            <v>0.31877729257641924</v>
          </cell>
          <cell r="AP344">
            <v>0.78820960698689957</v>
          </cell>
          <cell r="AW344">
            <v>0.22489082969432314</v>
          </cell>
          <cell r="AX344">
            <v>0.17685589519650655</v>
          </cell>
          <cell r="AY344">
            <v>0.48908296943231439</v>
          </cell>
          <cell r="AZ344">
            <v>0.30131004366812225</v>
          </cell>
          <cell r="BG344">
            <v>0.16157205240174671</v>
          </cell>
          <cell r="BH344">
            <v>0.92139737991266379</v>
          </cell>
          <cell r="BI344">
            <v>0.1331877729257642</v>
          </cell>
          <cell r="BJ344">
            <v>0.25982532751091703</v>
          </cell>
          <cell r="BQ344">
            <v>0.98908296943231444</v>
          </cell>
          <cell r="BR344">
            <v>0.93449781659388642</v>
          </cell>
          <cell r="BS344">
            <v>0.66157205240174677</v>
          </cell>
          <cell r="BT344">
            <v>0.98253275109170302</v>
          </cell>
          <cell r="BX344">
            <v>0.89301310043668125</v>
          </cell>
          <cell r="CJ344">
            <v>0.6506550218340611</v>
          </cell>
          <cell r="CK344">
            <v>0.22489082969432314</v>
          </cell>
        </row>
        <row r="345">
          <cell r="A345" t="str">
            <v>Pavel Buchnevich</v>
          </cell>
          <cell r="B345" t="str">
            <v>STL</v>
          </cell>
          <cell r="I345">
            <v>0.46943231441048033</v>
          </cell>
          <cell r="J345">
            <v>0.24890829694323144</v>
          </cell>
          <cell r="K345">
            <v>0.95414847161572047</v>
          </cell>
          <cell r="L345">
            <v>0.51528384279475981</v>
          </cell>
          <cell r="S345">
            <v>0.9366812227074236</v>
          </cell>
          <cell r="T345">
            <v>0.8253275109170306</v>
          </cell>
          <cell r="U345">
            <v>0.91484716157205237</v>
          </cell>
          <cell r="V345">
            <v>0.94978165938864634</v>
          </cell>
          <cell r="AC345">
            <v>0.17248908296943233</v>
          </cell>
          <cell r="AD345">
            <v>0.48689956331877732</v>
          </cell>
          <cell r="AE345">
            <v>0.70742358078602618</v>
          </cell>
          <cell r="AF345">
            <v>0.16157205240174671</v>
          </cell>
          <cell r="AM345">
            <v>0.82751091703056767</v>
          </cell>
          <cell r="AN345">
            <v>0.53056768558951961</v>
          </cell>
          <cell r="AO345">
            <v>0.9366812227074236</v>
          </cell>
          <cell r="AP345">
            <v>0.79257641921397382</v>
          </cell>
          <cell r="AW345">
            <v>0.2183406113537118</v>
          </cell>
          <cell r="AX345">
            <v>0.65283842794759828</v>
          </cell>
          <cell r="AY345">
            <v>0.85152838427947597</v>
          </cell>
          <cell r="AZ345">
            <v>0.28820960698689957</v>
          </cell>
          <cell r="BG345">
            <v>0.83406113537117899</v>
          </cell>
          <cell r="BH345">
            <v>0.36681222707423583</v>
          </cell>
          <cell r="BI345">
            <v>0.98034934497816595</v>
          </cell>
          <cell r="BJ345">
            <v>0.98689956331877726</v>
          </cell>
          <cell r="BQ345">
            <v>0.3056768558951965</v>
          </cell>
          <cell r="BR345">
            <v>0.28384279475982532</v>
          </cell>
          <cell r="BS345">
            <v>0.94541484716157209</v>
          </cell>
          <cell r="BT345">
            <v>0.32314410480349343</v>
          </cell>
          <cell r="BX345">
            <v>0.60480349344978168</v>
          </cell>
          <cell r="CJ345">
            <v>0.41484716157205243</v>
          </cell>
          <cell r="CK345">
            <v>3.7117903930131008E-2</v>
          </cell>
        </row>
        <row r="346">
          <cell r="A346" t="str">
            <v>Pavel Dorofeyev</v>
          </cell>
          <cell r="B346" t="str">
            <v>VGK</v>
          </cell>
          <cell r="I346">
            <v>0.22489082969432314</v>
          </cell>
          <cell r="J346">
            <v>0.64192139737991272</v>
          </cell>
          <cell r="K346">
            <v>0.61790393013100442</v>
          </cell>
          <cell r="L346">
            <v>0.72707423580786024</v>
          </cell>
          <cell r="S346">
            <v>0.84716157205240172</v>
          </cell>
          <cell r="T346">
            <v>3.9301310043668124E-2</v>
          </cell>
          <cell r="U346">
            <v>0.15065502183406113</v>
          </cell>
          <cell r="V346">
            <v>0.3056768558951965</v>
          </cell>
          <cell r="AC346">
            <v>0.64628820960698685</v>
          </cell>
          <cell r="AD346">
            <v>0.56113537117903933</v>
          </cell>
          <cell r="AE346">
            <v>0.98253275109170302</v>
          </cell>
          <cell r="AF346">
            <v>0.44104803493449779</v>
          </cell>
          <cell r="AM346">
            <v>0.44323144104803491</v>
          </cell>
          <cell r="AN346">
            <v>0.65502183406113534</v>
          </cell>
          <cell r="AO346">
            <v>0.38646288209606988</v>
          </cell>
          <cell r="AP346">
            <v>0.71179039301310043</v>
          </cell>
          <cell r="AW346">
            <v>0.90393013100436681</v>
          </cell>
          <cell r="AX346">
            <v>0.611353711790393</v>
          </cell>
          <cell r="AY346">
            <v>0.98908296943231444</v>
          </cell>
          <cell r="AZ346">
            <v>0.68995633187772931</v>
          </cell>
          <cell r="BG346">
            <v>0.52183406113537123</v>
          </cell>
          <cell r="BH346">
            <v>0.68558951965065507</v>
          </cell>
          <cell r="BI346">
            <v>0.79912663755458513</v>
          </cell>
          <cell r="BJ346">
            <v>0.98253275109170302</v>
          </cell>
          <cell r="BQ346">
            <v>0.36899563318777295</v>
          </cell>
          <cell r="BR346">
            <v>0.60043668122270744</v>
          </cell>
          <cell r="BS346">
            <v>0.97816593886462877</v>
          </cell>
          <cell r="BT346">
            <v>0.63100436681222705</v>
          </cell>
          <cell r="BX346">
            <v>0.59388646288209612</v>
          </cell>
          <cell r="CJ346">
            <v>0.67903930131004364</v>
          </cell>
          <cell r="CK346">
            <v>0.46724890829694321</v>
          </cell>
        </row>
        <row r="347">
          <cell r="A347" t="str">
            <v>Pavel Zacha</v>
          </cell>
          <cell r="B347" t="str">
            <v>BOS</v>
          </cell>
          <cell r="I347">
            <v>0.57860262008733621</v>
          </cell>
          <cell r="J347">
            <v>0.53711790393013104</v>
          </cell>
          <cell r="K347">
            <v>0.97379912663755464</v>
          </cell>
          <cell r="L347">
            <v>0.49344978165938863</v>
          </cell>
          <cell r="S347">
            <v>0.74890829694323147</v>
          </cell>
          <cell r="T347">
            <v>0.95851528384279472</v>
          </cell>
          <cell r="U347">
            <v>0.68995633187772931</v>
          </cell>
          <cell r="V347">
            <v>0.94104803493449785</v>
          </cell>
          <cell r="AC347">
            <v>0.51091703056768556</v>
          </cell>
          <cell r="AD347">
            <v>0.42576419213973798</v>
          </cell>
          <cell r="AE347">
            <v>0.64410480349344978</v>
          </cell>
          <cell r="AF347">
            <v>0.47816593886462883</v>
          </cell>
          <cell r="AM347">
            <v>0.40829694323144106</v>
          </cell>
          <cell r="AN347">
            <v>0.28384279475982532</v>
          </cell>
          <cell r="AO347">
            <v>0.91048034934497812</v>
          </cell>
          <cell r="AP347">
            <v>0.33624454148471616</v>
          </cell>
          <cell r="AW347">
            <v>0.29475982532751094</v>
          </cell>
          <cell r="AX347">
            <v>0.15720524017467249</v>
          </cell>
          <cell r="AY347">
            <v>8.5152838427947602E-2</v>
          </cell>
          <cell r="AZ347">
            <v>0.18122270742358079</v>
          </cell>
          <cell r="BG347">
            <v>0.56113537117903933</v>
          </cell>
          <cell r="BH347">
            <v>0.78165938864628826</v>
          </cell>
          <cell r="BI347">
            <v>0.97816593886462877</v>
          </cell>
          <cell r="BJ347">
            <v>0.96943231441048039</v>
          </cell>
          <cell r="BQ347">
            <v>0.55021834061135366</v>
          </cell>
          <cell r="BR347">
            <v>0.46943231441048033</v>
          </cell>
          <cell r="BS347">
            <v>0.94759825327510916</v>
          </cell>
          <cell r="BT347">
            <v>0.49344978165938863</v>
          </cell>
          <cell r="BX347">
            <v>0.5393013100436681</v>
          </cell>
          <cell r="CJ347">
            <v>0.8253275109170306</v>
          </cell>
          <cell r="CK347">
            <v>5.458515283842795E-2</v>
          </cell>
        </row>
        <row r="348">
          <cell r="A348" t="str">
            <v>Peyton Krebs</v>
          </cell>
          <cell r="B348" t="str">
            <v>BUF</v>
          </cell>
          <cell r="I348">
            <v>0.3296943231441048</v>
          </cell>
          <cell r="J348">
            <v>2.8384279475982533E-2</v>
          </cell>
          <cell r="K348">
            <v>0.25982532751091703</v>
          </cell>
          <cell r="L348">
            <v>8.5152838427947602E-2</v>
          </cell>
          <cell r="S348">
            <v>0.25545851528384278</v>
          </cell>
          <cell r="T348">
            <v>0.54148471615720528</v>
          </cell>
          <cell r="U348">
            <v>0.41048034934497818</v>
          </cell>
          <cell r="V348">
            <v>0.36244541484716158</v>
          </cell>
          <cell r="AC348">
            <v>0.90829694323144106</v>
          </cell>
          <cell r="AD348">
            <v>0.50218340611353707</v>
          </cell>
          <cell r="AE348">
            <v>0.5873362445414847</v>
          </cell>
          <cell r="AF348">
            <v>0.71179039301310043</v>
          </cell>
          <cell r="AM348">
            <v>0.12663755458515283</v>
          </cell>
          <cell r="AN348">
            <v>1.5283842794759825E-2</v>
          </cell>
          <cell r="AO348">
            <v>6.9868995633187769E-2</v>
          </cell>
          <cell r="AP348">
            <v>2.1834061135371178E-2</v>
          </cell>
          <cell r="AW348">
            <v>0.98034934497816595</v>
          </cell>
          <cell r="AX348">
            <v>0.91048034934497812</v>
          </cell>
          <cell r="AY348">
            <v>0.93231441048034935</v>
          </cell>
          <cell r="AZ348">
            <v>0.94541484716157209</v>
          </cell>
          <cell r="BG348">
            <v>0.41703056768558949</v>
          </cell>
          <cell r="BH348">
            <v>0.31877729257641924</v>
          </cell>
          <cell r="BI348">
            <v>0.31877729257641924</v>
          </cell>
          <cell r="BJ348">
            <v>0.25982532751091703</v>
          </cell>
          <cell r="BQ348">
            <v>0.63537117903930129</v>
          </cell>
          <cell r="BR348">
            <v>6.9868995633187769E-2</v>
          </cell>
          <cell r="BS348">
            <v>0.33842794759825329</v>
          </cell>
          <cell r="BT348">
            <v>0.24017467248908297</v>
          </cell>
          <cell r="BX348">
            <v>0.41484716157205243</v>
          </cell>
          <cell r="CJ348">
            <v>0.15938864628820962</v>
          </cell>
          <cell r="CK348">
            <v>0.65502183406113534</v>
          </cell>
        </row>
        <row r="349">
          <cell r="A349" t="str">
            <v>Phil Kessel</v>
          </cell>
          <cell r="B349" t="str">
            <v>VGK</v>
          </cell>
          <cell r="I349">
            <v>0.56550218340611358</v>
          </cell>
          <cell r="J349">
            <v>0.6026200873362445</v>
          </cell>
          <cell r="K349">
            <v>0.50655021834061131</v>
          </cell>
          <cell r="L349">
            <v>0.50436681222707425</v>
          </cell>
          <cell r="S349">
            <v>0.64847161572052403</v>
          </cell>
          <cell r="T349">
            <v>0.42139737991266374</v>
          </cell>
          <cell r="U349">
            <v>0.19868995633187772</v>
          </cell>
          <cell r="V349">
            <v>0.52838427947598254</v>
          </cell>
          <cell r="AC349">
            <v>6.1135371179039298E-2</v>
          </cell>
          <cell r="AD349">
            <v>0.24017467248908297</v>
          </cell>
          <cell r="AE349">
            <v>0.1943231441048035</v>
          </cell>
          <cell r="AF349">
            <v>0.20087336244541484</v>
          </cell>
          <cell r="AM349">
            <v>0.61353711790393017</v>
          </cell>
          <cell r="AN349">
            <v>0.55240174672489084</v>
          </cell>
          <cell r="AO349">
            <v>0.45851528384279477</v>
          </cell>
          <cell r="AP349">
            <v>0.5</v>
          </cell>
          <cell r="AW349">
            <v>1.5283842794759825E-2</v>
          </cell>
          <cell r="AX349">
            <v>3.4934497816593885E-2</v>
          </cell>
          <cell r="AY349">
            <v>2.8384279475982533E-2</v>
          </cell>
          <cell r="AZ349">
            <v>6.768558951965066E-2</v>
          </cell>
          <cell r="BG349">
            <v>0.31441048034934499</v>
          </cell>
          <cell r="BH349">
            <v>0.65720524017467252</v>
          </cell>
          <cell r="BI349">
            <v>0.53711790393013104</v>
          </cell>
          <cell r="BJ349">
            <v>0.46288209606986902</v>
          </cell>
          <cell r="BQ349">
            <v>0.21397379912663755</v>
          </cell>
          <cell r="BR349">
            <v>0.40611353711790393</v>
          </cell>
          <cell r="BS349">
            <v>0.30349344978165937</v>
          </cell>
          <cell r="BT349">
            <v>0.35152838427947597</v>
          </cell>
          <cell r="BX349">
            <v>0.2205240174672489</v>
          </cell>
          <cell r="CJ349">
            <v>0.39519650655021832</v>
          </cell>
          <cell r="CK349">
            <v>4.3668122270742356E-2</v>
          </cell>
        </row>
        <row r="350">
          <cell r="A350" t="str">
            <v>Philip Tomasino</v>
          </cell>
          <cell r="B350" t="str">
            <v>NSH</v>
          </cell>
          <cell r="I350">
            <v>0.18558951965065501</v>
          </cell>
          <cell r="J350">
            <v>9.606986899563319E-2</v>
          </cell>
          <cell r="K350">
            <v>0.2205240174672489</v>
          </cell>
          <cell r="L350">
            <v>0.22707423580786026</v>
          </cell>
          <cell r="S350">
            <v>2.6200873362445413E-2</v>
          </cell>
          <cell r="T350">
            <v>0.74672489082969429</v>
          </cell>
          <cell r="U350">
            <v>0.95196506550218341</v>
          </cell>
          <cell r="V350">
            <v>0.31222707423580787</v>
          </cell>
          <cell r="AC350">
            <v>0.13100436681222707</v>
          </cell>
          <cell r="AD350">
            <v>0.24672489082969432</v>
          </cell>
          <cell r="AE350">
            <v>0.96288209606986896</v>
          </cell>
          <cell r="AF350">
            <v>0.14192139737991266</v>
          </cell>
          <cell r="AM350">
            <v>0.6746724890829694</v>
          </cell>
          <cell r="AN350">
            <v>0.30786026200873362</v>
          </cell>
          <cell r="AO350">
            <v>0.52620087336244536</v>
          </cell>
          <cell r="AP350">
            <v>0.62445414847161573</v>
          </cell>
          <cell r="AW350">
            <v>0.47161572052401746</v>
          </cell>
          <cell r="AX350">
            <v>0.45196506550218341</v>
          </cell>
          <cell r="AY350">
            <v>0.97161572052401746</v>
          </cell>
          <cell r="AZ350">
            <v>0.36462882096069871</v>
          </cell>
          <cell r="BG350">
            <v>0.61790393013100442</v>
          </cell>
          <cell r="BH350">
            <v>0.80349344978165937</v>
          </cell>
          <cell r="BI350">
            <v>0.35589519650655022</v>
          </cell>
          <cell r="BJ350">
            <v>0.86026200873362446</v>
          </cell>
          <cell r="BQ350">
            <v>0.10698689956331878</v>
          </cell>
          <cell r="BR350">
            <v>9.8253275109170299E-2</v>
          </cell>
          <cell r="BS350">
            <v>0.79039301310043664</v>
          </cell>
          <cell r="BT350">
            <v>0.13537117903930132</v>
          </cell>
          <cell r="BX350">
            <v>0.22707423580786026</v>
          </cell>
          <cell r="CJ350">
            <v>0.78165938864628826</v>
          </cell>
          <cell r="CK350">
            <v>0.92794759825327511</v>
          </cell>
        </row>
        <row r="351">
          <cell r="A351" t="str">
            <v>Philipp Kurashev</v>
          </cell>
          <cell r="B351" t="str">
            <v>CHI</v>
          </cell>
          <cell r="I351">
            <v>0.18340611353711792</v>
          </cell>
          <cell r="J351">
            <v>0.2816593886462882</v>
          </cell>
          <cell r="K351">
            <v>0.44541484716157204</v>
          </cell>
          <cell r="L351">
            <v>0.2576419213973799</v>
          </cell>
          <cell r="S351">
            <v>0.27510917030567683</v>
          </cell>
          <cell r="T351">
            <v>0.24890829694323144</v>
          </cell>
          <cell r="U351">
            <v>0.44104803493449779</v>
          </cell>
          <cell r="V351">
            <v>0.17248908296943233</v>
          </cell>
          <cell r="AC351">
            <v>2.4017467248908297E-2</v>
          </cell>
          <cell r="AD351">
            <v>5.8951965065502182E-2</v>
          </cell>
          <cell r="AE351">
            <v>4.148471615720524E-2</v>
          </cell>
          <cell r="AF351">
            <v>3.0567685589519649E-2</v>
          </cell>
          <cell r="AM351">
            <v>0.66812227074235808</v>
          </cell>
          <cell r="AN351">
            <v>0.84061135371179041</v>
          </cell>
          <cell r="AO351">
            <v>0.75982532751091703</v>
          </cell>
          <cell r="AP351">
            <v>0.76419213973799127</v>
          </cell>
          <cell r="AW351">
            <v>1.9650655021834062E-2</v>
          </cell>
          <cell r="AX351">
            <v>6.5502183406113537E-2</v>
          </cell>
          <cell r="AY351">
            <v>6.1135371179039298E-2</v>
          </cell>
          <cell r="AZ351">
            <v>3.9301310043668124E-2</v>
          </cell>
          <cell r="BG351">
            <v>0.84716157205240172</v>
          </cell>
          <cell r="BH351">
            <v>0.54366812227074235</v>
          </cell>
          <cell r="BI351">
            <v>0.70742358078602618</v>
          </cell>
          <cell r="BJ351">
            <v>0.41484716157205243</v>
          </cell>
          <cell r="BQ351">
            <v>3.9301310043668124E-2</v>
          </cell>
          <cell r="BR351">
            <v>0.1091703056768559</v>
          </cell>
          <cell r="BS351">
            <v>0.15938864628820962</v>
          </cell>
          <cell r="BT351">
            <v>7.4235807860262015E-2</v>
          </cell>
          <cell r="BX351">
            <v>6.9868995633187769E-2</v>
          </cell>
          <cell r="CJ351">
            <v>0.8733624454148472</v>
          </cell>
          <cell r="CK351">
            <v>0.62882096069868998</v>
          </cell>
        </row>
        <row r="352">
          <cell r="A352" t="str">
            <v>Phillip Danault</v>
          </cell>
          <cell r="B352" t="str">
            <v>L.A</v>
          </cell>
          <cell r="I352">
            <v>0.80349344978165937</v>
          </cell>
          <cell r="J352">
            <v>0.66375545851528384</v>
          </cell>
          <cell r="K352">
            <v>0.27729257641921395</v>
          </cell>
          <cell r="L352">
            <v>0.67030567685589515</v>
          </cell>
          <cell r="S352">
            <v>0.56986899563318782</v>
          </cell>
          <cell r="T352">
            <v>0.3930131004366812</v>
          </cell>
          <cell r="U352">
            <v>0.42358078602620086</v>
          </cell>
          <cell r="V352">
            <v>0.43886462882096072</v>
          </cell>
          <cell r="AC352">
            <v>0.8733624454148472</v>
          </cell>
          <cell r="AD352">
            <v>0.84497816593886466</v>
          </cell>
          <cell r="AE352">
            <v>0.55240174672489084</v>
          </cell>
          <cell r="AF352">
            <v>0.79912663755458513</v>
          </cell>
          <cell r="AM352">
            <v>0.68340611353711789</v>
          </cell>
          <cell r="AN352">
            <v>0.44104803493449779</v>
          </cell>
          <cell r="AO352">
            <v>0.23580786026200873</v>
          </cell>
          <cell r="AP352">
            <v>0.63973799126637554</v>
          </cell>
          <cell r="AW352">
            <v>0.47379912663755458</v>
          </cell>
          <cell r="AX352">
            <v>0.65283842794759828</v>
          </cell>
          <cell r="AY352">
            <v>0.48034934497816595</v>
          </cell>
          <cell r="AZ352">
            <v>0.49563318777292575</v>
          </cell>
          <cell r="BG352">
            <v>0.77947598253275108</v>
          </cell>
          <cell r="BH352">
            <v>0.29039301310043669</v>
          </cell>
          <cell r="BI352">
            <v>0.13100436681222707</v>
          </cell>
          <cell r="BJ352">
            <v>0.12663755458515283</v>
          </cell>
          <cell r="BQ352">
            <v>0.87772925764192145</v>
          </cell>
          <cell r="BR352">
            <v>0.78384279475982532</v>
          </cell>
          <cell r="BS352">
            <v>0.35589519650655022</v>
          </cell>
          <cell r="BT352">
            <v>0.80349344978165937</v>
          </cell>
          <cell r="BX352">
            <v>0.79694323144104806</v>
          </cell>
          <cell r="CJ352">
            <v>0.27947598253275108</v>
          </cell>
          <cell r="CK352">
            <v>0.72270742358078599</v>
          </cell>
        </row>
        <row r="353">
          <cell r="A353" t="str">
            <v>Phillip Di Giuseppe</v>
          </cell>
          <cell r="B353" t="str">
            <v>VAN</v>
          </cell>
          <cell r="I353">
            <v>0.51310043668122274</v>
          </cell>
          <cell r="J353">
            <v>0.62445414847161573</v>
          </cell>
          <cell r="K353">
            <v>0.48034934497816595</v>
          </cell>
          <cell r="L353">
            <v>0.59825327510917026</v>
          </cell>
          <cell r="S353">
            <v>0.78820960698689957</v>
          </cell>
          <cell r="T353">
            <v>0.1943231441048035</v>
          </cell>
          <cell r="U353">
            <v>0.17903930131004367</v>
          </cell>
          <cell r="V353">
            <v>0.47816593886462883</v>
          </cell>
          <cell r="AC353">
            <v>0.92576419213973804</v>
          </cell>
          <cell r="AD353">
            <v>0.87772925764192145</v>
          </cell>
          <cell r="AE353">
            <v>0.32314410480349343</v>
          </cell>
          <cell r="AF353">
            <v>0.71834061135371174</v>
          </cell>
          <cell r="AM353">
            <v>0.92139737991266379</v>
          </cell>
          <cell r="AN353">
            <v>0.69868995633187769</v>
          </cell>
          <cell r="AO353">
            <v>0.57423580786026196</v>
          </cell>
          <cell r="AP353">
            <v>0.92139737991266379</v>
          </cell>
          <cell r="AW353">
            <v>0.93013100436681218</v>
          </cell>
          <cell r="AX353">
            <v>0.94759825327510916</v>
          </cell>
          <cell r="AY353">
            <v>0.45196506550218341</v>
          </cell>
          <cell r="AZ353">
            <v>0.72052401746724892</v>
          </cell>
          <cell r="BG353">
            <v>0.62445414847161573</v>
          </cell>
          <cell r="BH353">
            <v>0.16812227074235808</v>
          </cell>
          <cell r="BI353">
            <v>0.40174672489082969</v>
          </cell>
          <cell r="BJ353">
            <v>0.1091703056768559</v>
          </cell>
          <cell r="BQ353">
            <v>0.75764192139737996</v>
          </cell>
          <cell r="BR353">
            <v>0.78602620087336239</v>
          </cell>
          <cell r="BS353">
            <v>0.39082969432314413</v>
          </cell>
          <cell r="BT353">
            <v>0.71179039301310043</v>
          </cell>
          <cell r="BX353">
            <v>0.86462882096069871</v>
          </cell>
          <cell r="CJ353">
            <v>0.25982532751091703</v>
          </cell>
          <cell r="CK353">
            <v>0.14847161572052403</v>
          </cell>
        </row>
        <row r="354">
          <cell r="A354" t="str">
            <v>Pierre Engvall</v>
          </cell>
          <cell r="B354" t="str">
            <v>NYI, TOR</v>
          </cell>
          <cell r="I354">
            <v>0.76855895196506552</v>
          </cell>
          <cell r="J354">
            <v>0.85807860262008728</v>
          </cell>
          <cell r="K354">
            <v>0.74890829694323147</v>
          </cell>
          <cell r="L354">
            <v>0.82751091703056767</v>
          </cell>
          <cell r="S354">
            <v>0.81659388646288211</v>
          </cell>
          <cell r="T354">
            <v>0.22707423580786026</v>
          </cell>
          <cell r="U354">
            <v>0.38646288209606988</v>
          </cell>
          <cell r="V354">
            <v>0.53493449781659386</v>
          </cell>
          <cell r="AC354">
            <v>0.74235807860262004</v>
          </cell>
          <cell r="AD354">
            <v>0.72707423580786024</v>
          </cell>
          <cell r="AE354">
            <v>0.56113537117903933</v>
          </cell>
          <cell r="AF354">
            <v>0.77074235807860259</v>
          </cell>
          <cell r="AM354">
            <v>0.65720524017467252</v>
          </cell>
          <cell r="AN354">
            <v>0.66593886462882101</v>
          </cell>
          <cell r="AO354">
            <v>0.58515283842794763</v>
          </cell>
          <cell r="AP354">
            <v>0.63973799126637554</v>
          </cell>
          <cell r="AW354">
            <v>0.51310043668122274</v>
          </cell>
          <cell r="AX354">
            <v>0.66157205240174677</v>
          </cell>
          <cell r="AY354">
            <v>0.20742358078602621</v>
          </cell>
          <cell r="AZ354">
            <v>0.5873362445414847</v>
          </cell>
          <cell r="BG354">
            <v>0.45414847161572053</v>
          </cell>
          <cell r="BH354">
            <v>0.23362445414847161</v>
          </cell>
          <cell r="BI354">
            <v>0.58951965065502188</v>
          </cell>
          <cell r="BJ354">
            <v>0.46288209606986902</v>
          </cell>
          <cell r="BQ354">
            <v>0.81659388646288211</v>
          </cell>
          <cell r="BR354">
            <v>0.88646288209606983</v>
          </cell>
          <cell r="BS354">
            <v>0.73144104803493448</v>
          </cell>
          <cell r="BT354">
            <v>0.87117903930131002</v>
          </cell>
          <cell r="BX354">
            <v>0.82751091703056767</v>
          </cell>
          <cell r="CJ354">
            <v>0.68995633187772931</v>
          </cell>
          <cell r="CK354">
            <v>4.3668122270742356E-2</v>
          </cell>
        </row>
        <row r="355">
          <cell r="A355" t="str">
            <v>Pierre-Edouard Bellemare</v>
          </cell>
          <cell r="B355" t="str">
            <v>T.B</v>
          </cell>
          <cell r="I355">
            <v>0.20524017467248909</v>
          </cell>
          <cell r="J355">
            <v>0.39519650655021832</v>
          </cell>
          <cell r="K355">
            <v>9.8253275109170299E-2</v>
          </cell>
          <cell r="L355">
            <v>0.15283842794759825</v>
          </cell>
          <cell r="S355">
            <v>0.1222707423580786</v>
          </cell>
          <cell r="T355">
            <v>0.21615720524017468</v>
          </cell>
          <cell r="U355">
            <v>0.51091703056768556</v>
          </cell>
          <cell r="V355">
            <v>0.10262008733624454</v>
          </cell>
          <cell r="AC355">
            <v>0.60698689956331875</v>
          </cell>
          <cell r="AD355">
            <v>0.75764192139737996</v>
          </cell>
          <cell r="AE355">
            <v>0.40611353711790393</v>
          </cell>
          <cell r="AF355">
            <v>0.63755458515283847</v>
          </cell>
          <cell r="AM355">
            <v>7.4235807860262015E-2</v>
          </cell>
          <cell r="AN355">
            <v>2.8384279475982533E-2</v>
          </cell>
          <cell r="AO355">
            <v>3.7117903930131008E-2</v>
          </cell>
          <cell r="AP355">
            <v>3.4934497816593885E-2</v>
          </cell>
          <cell r="AW355">
            <v>0.61572052401746724</v>
          </cell>
          <cell r="AX355">
            <v>0.79257641921397382</v>
          </cell>
          <cell r="AY355">
            <v>0.2816593886462882</v>
          </cell>
          <cell r="AZ355">
            <v>0.77947598253275108</v>
          </cell>
          <cell r="BG355">
            <v>3.9301310043668124E-2</v>
          </cell>
          <cell r="BH355">
            <v>0.42576419213973798</v>
          </cell>
          <cell r="BI355">
            <v>0.18558951965065501</v>
          </cell>
          <cell r="BJ355">
            <v>0.2183406113537118</v>
          </cell>
          <cell r="BQ355">
            <v>0.33406113537117904</v>
          </cell>
          <cell r="BR355">
            <v>0.52183406113537123</v>
          </cell>
          <cell r="BS355">
            <v>0.10480349344978165</v>
          </cell>
          <cell r="BT355">
            <v>0.29257641921397382</v>
          </cell>
          <cell r="BX355">
            <v>0.13973799126637554</v>
          </cell>
          <cell r="CJ355">
            <v>0.41484716157205243</v>
          </cell>
          <cell r="CK355">
            <v>0.38646288209606988</v>
          </cell>
        </row>
        <row r="356">
          <cell r="A356" t="str">
            <v>Pierre-Luc Dubois</v>
          </cell>
          <cell r="B356" t="str">
            <v>WPG</v>
          </cell>
          <cell r="I356">
            <v>0.79039301310043664</v>
          </cell>
          <cell r="J356">
            <v>0.79694323144104806</v>
          </cell>
          <cell r="K356">
            <v>0.71615720524017468</v>
          </cell>
          <cell r="L356">
            <v>0.77729257641921401</v>
          </cell>
          <cell r="S356">
            <v>0.56986899563318782</v>
          </cell>
          <cell r="T356">
            <v>0.6266375545851528</v>
          </cell>
          <cell r="U356">
            <v>0.39519650655021832</v>
          </cell>
          <cell r="V356">
            <v>0.611353711790393</v>
          </cell>
          <cell r="AC356">
            <v>0.63755458515283847</v>
          </cell>
          <cell r="AD356">
            <v>0.62882096069868998</v>
          </cell>
          <cell r="AE356">
            <v>0.75545851528384278</v>
          </cell>
          <cell r="AF356">
            <v>0.40174672489082969</v>
          </cell>
          <cell r="AM356">
            <v>0.69868995633187769</v>
          </cell>
          <cell r="AN356">
            <v>0.83406113537117899</v>
          </cell>
          <cell r="AO356">
            <v>0.84279475982532748</v>
          </cell>
          <cell r="AP356">
            <v>0.66375545851528384</v>
          </cell>
          <cell r="AW356">
            <v>0.5393013100436681</v>
          </cell>
          <cell r="AX356">
            <v>0.46506550218340609</v>
          </cell>
          <cell r="AY356">
            <v>0.51310043668122274</v>
          </cell>
          <cell r="AZ356">
            <v>0.28820960698689957</v>
          </cell>
          <cell r="BG356">
            <v>0.85807860262008728</v>
          </cell>
          <cell r="BH356">
            <v>0.84279475982532748</v>
          </cell>
          <cell r="BI356">
            <v>0.81877729257641918</v>
          </cell>
          <cell r="BJ356">
            <v>0.87117903930131002</v>
          </cell>
          <cell r="BQ356">
            <v>0.77510917030567683</v>
          </cell>
          <cell r="BR356">
            <v>0.80567685589519655</v>
          </cell>
          <cell r="BS356">
            <v>0.83624454148471616</v>
          </cell>
          <cell r="BT356">
            <v>0.66593886462882101</v>
          </cell>
          <cell r="BX356">
            <v>0.73580786026200873</v>
          </cell>
          <cell r="CJ356">
            <v>5.0218340611353711E-2</v>
          </cell>
          <cell r="CK356">
            <v>0.96288209606986896</v>
          </cell>
        </row>
        <row r="357">
          <cell r="A357" t="str">
            <v>Pius Suter</v>
          </cell>
          <cell r="B357" t="str">
            <v>DET</v>
          </cell>
          <cell r="I357">
            <v>0.10698689956331878</v>
          </cell>
          <cell r="J357">
            <v>0.19868995633187772</v>
          </cell>
          <cell r="K357">
            <v>0.23144104803493451</v>
          </cell>
          <cell r="L357">
            <v>0.17685589519650655</v>
          </cell>
          <cell r="S357">
            <v>0.63318777292576423</v>
          </cell>
          <cell r="T357">
            <v>0.11572052401746726</v>
          </cell>
          <cell r="U357">
            <v>0.19213973799126638</v>
          </cell>
          <cell r="V357">
            <v>0.25327510917030566</v>
          </cell>
          <cell r="AC357">
            <v>0.80786026200873362</v>
          </cell>
          <cell r="AD357">
            <v>0.64192139737991272</v>
          </cell>
          <cell r="AE357">
            <v>0.59825327510917026</v>
          </cell>
          <cell r="AF357">
            <v>0.69868995633187769</v>
          </cell>
          <cell r="AM357">
            <v>0.37117903930131002</v>
          </cell>
          <cell r="AN357">
            <v>0.57641921397379914</v>
          </cell>
          <cell r="AO357">
            <v>0.37991266375545851</v>
          </cell>
          <cell r="AP357">
            <v>0.49344978165938863</v>
          </cell>
          <cell r="AW357">
            <v>0.94104803493449785</v>
          </cell>
          <cell r="AX357">
            <v>0.88209606986899558</v>
          </cell>
          <cell r="AY357">
            <v>0.84716157205240172</v>
          </cell>
          <cell r="AZ357">
            <v>0.77947598253275108</v>
          </cell>
          <cell r="BG357">
            <v>0.43449781659388648</v>
          </cell>
          <cell r="BH357">
            <v>0.4126637554585153</v>
          </cell>
          <cell r="BI357">
            <v>0.37117903930131002</v>
          </cell>
          <cell r="BJ357">
            <v>0.29039301310043669</v>
          </cell>
          <cell r="BQ357">
            <v>0.33187772925764192</v>
          </cell>
          <cell r="BR357">
            <v>0.32751091703056767</v>
          </cell>
          <cell r="BS357">
            <v>0.31004366812227074</v>
          </cell>
          <cell r="BT357">
            <v>0.32532751091703055</v>
          </cell>
          <cell r="BX357">
            <v>0.47379912663755458</v>
          </cell>
          <cell r="CJ357">
            <v>0.9606986899563319</v>
          </cell>
          <cell r="CK357">
            <v>0.12445414847161572</v>
          </cell>
        </row>
        <row r="358">
          <cell r="A358" t="str">
            <v>Pontus Holmberg</v>
          </cell>
          <cell r="B358" t="str">
            <v>TOR</v>
          </cell>
          <cell r="I358">
            <v>0.2183406113537118</v>
          </cell>
          <cell r="J358">
            <v>7.6419213973799124E-2</v>
          </cell>
          <cell r="K358">
            <v>0.39519650655021832</v>
          </cell>
          <cell r="L358">
            <v>0.15283842794759825</v>
          </cell>
          <cell r="S358">
            <v>0.51528384279475981</v>
          </cell>
          <cell r="T358">
            <v>0.83624454148471616</v>
          </cell>
          <cell r="U358">
            <v>0.93013100436681218</v>
          </cell>
          <cell r="V358">
            <v>0.75109170305676853</v>
          </cell>
          <cell r="AC358">
            <v>0.85371179039301315</v>
          </cell>
          <cell r="AD358">
            <v>0.66812227074235808</v>
          </cell>
          <cell r="AE358">
            <v>0.73799126637554591</v>
          </cell>
          <cell r="AF358">
            <v>0.90393013100436681</v>
          </cell>
          <cell r="AM358">
            <v>5.458515283842795E-2</v>
          </cell>
          <cell r="AN358">
            <v>4.3668122270742356E-3</v>
          </cell>
          <cell r="AO358">
            <v>0.12882096069868995</v>
          </cell>
          <cell r="AP358">
            <v>3.7117903930131008E-2</v>
          </cell>
          <cell r="AW358">
            <v>0.65283842794759828</v>
          </cell>
          <cell r="AX358">
            <v>0.40174672489082969</v>
          </cell>
          <cell r="AY358">
            <v>0.4366812227074236</v>
          </cell>
          <cell r="AZ358">
            <v>0.70960698689956336</v>
          </cell>
          <cell r="BG358">
            <v>0.11572052401746726</v>
          </cell>
          <cell r="BH358">
            <v>0.89301310043668125</v>
          </cell>
          <cell r="BI358">
            <v>0.6266375545851528</v>
          </cell>
          <cell r="BJ358">
            <v>0.64628820960698685</v>
          </cell>
          <cell r="BQ358">
            <v>0.48471615720524019</v>
          </cell>
          <cell r="BR358">
            <v>0.2183406113537118</v>
          </cell>
          <cell r="BS358">
            <v>0.58296943231441045</v>
          </cell>
          <cell r="BT358">
            <v>0.44978165938864628</v>
          </cell>
          <cell r="BX358">
            <v>0.43449781659388648</v>
          </cell>
          <cell r="CJ358">
            <v>0.22707423580786026</v>
          </cell>
          <cell r="CK358">
            <v>0.93013100436681218</v>
          </cell>
        </row>
        <row r="359">
          <cell r="A359" t="str">
            <v>Quinton Byfield</v>
          </cell>
          <cell r="B359" t="str">
            <v>L.A</v>
          </cell>
          <cell r="I359">
            <v>0.55240174672489084</v>
          </cell>
          <cell r="J359">
            <v>0.65938864628820959</v>
          </cell>
          <cell r="K359">
            <v>0.888646288209607</v>
          </cell>
          <cell r="L359">
            <v>0.35807860262008734</v>
          </cell>
          <cell r="S359">
            <v>1.5283842794759825E-2</v>
          </cell>
          <cell r="T359">
            <v>0.95851528384279472</v>
          </cell>
          <cell r="U359">
            <v>0.8733624454148472</v>
          </cell>
          <cell r="V359">
            <v>0.58296943231441045</v>
          </cell>
          <cell r="AC359">
            <v>0.93231441048034935</v>
          </cell>
          <cell r="AD359">
            <v>0.90611353711790388</v>
          </cell>
          <cell r="AE359">
            <v>0.78165938864628826</v>
          </cell>
          <cell r="AF359">
            <v>0.89519650655021832</v>
          </cell>
          <cell r="AM359">
            <v>0.28820960698689957</v>
          </cell>
          <cell r="AN359">
            <v>0.42576419213973798</v>
          </cell>
          <cell r="AO359">
            <v>0.89301310043668125</v>
          </cell>
          <cell r="AP359">
            <v>0.27947598253275108</v>
          </cell>
          <cell r="AW359">
            <v>0.64410480349344978</v>
          </cell>
          <cell r="AX359">
            <v>0.73799126637554591</v>
          </cell>
          <cell r="AY359">
            <v>0.81222707423580787</v>
          </cell>
          <cell r="AZ359">
            <v>0.74454148471615722</v>
          </cell>
          <cell r="BG359">
            <v>0.54366812227074235</v>
          </cell>
          <cell r="BH359">
            <v>0.35152838427947597</v>
          </cell>
          <cell r="BI359">
            <v>0.9606986899563319</v>
          </cell>
          <cell r="BJ359">
            <v>0.93886462882096067</v>
          </cell>
          <cell r="BQ359">
            <v>0.78820960698689957</v>
          </cell>
          <cell r="BR359">
            <v>0.84279475982532748</v>
          </cell>
          <cell r="BS359">
            <v>0.92576419213973804</v>
          </cell>
          <cell r="BT359">
            <v>0.67030567685589515</v>
          </cell>
          <cell r="BX359">
            <v>0.62227074235807855</v>
          </cell>
          <cell r="CJ359">
            <v>0.15938864628820962</v>
          </cell>
          <cell r="CK359">
            <v>0.53056768558951961</v>
          </cell>
        </row>
        <row r="360">
          <cell r="A360" t="str">
            <v>Radek Faksa</v>
          </cell>
          <cell r="B360" t="str">
            <v>DAL</v>
          </cell>
          <cell r="I360">
            <v>0.29039301310043669</v>
          </cell>
          <cell r="J360">
            <v>0.28820960698689957</v>
          </cell>
          <cell r="K360">
            <v>0.11353711790393013</v>
          </cell>
          <cell r="L360">
            <v>0.21179039301310043</v>
          </cell>
          <cell r="S360">
            <v>0.46724890829694321</v>
          </cell>
          <cell r="T360">
            <v>0.13100436681222707</v>
          </cell>
          <cell r="U360">
            <v>0.19868995633187772</v>
          </cell>
          <cell r="V360">
            <v>0.17248908296943233</v>
          </cell>
          <cell r="AC360">
            <v>0.94323144104803491</v>
          </cell>
          <cell r="AD360">
            <v>0.95851528384279472</v>
          </cell>
          <cell r="AE360">
            <v>0.96506550218340614</v>
          </cell>
          <cell r="AF360">
            <v>0.97816593886462877</v>
          </cell>
          <cell r="AM360">
            <v>0.14628820960698691</v>
          </cell>
          <cell r="AN360">
            <v>0.1222707423580786</v>
          </cell>
          <cell r="AO360">
            <v>5.6768558951965066E-2</v>
          </cell>
          <cell r="AP360">
            <v>0.11353711790393013</v>
          </cell>
          <cell r="AW360">
            <v>0.96506550218340614</v>
          </cell>
          <cell r="AX360">
            <v>0.86681222707423577</v>
          </cell>
          <cell r="AY360">
            <v>0.93886462882096067</v>
          </cell>
          <cell r="AZ360">
            <v>0.94759825327510916</v>
          </cell>
          <cell r="BG360">
            <v>0.34716157205240172</v>
          </cell>
          <cell r="BH360">
            <v>0.12445414847161572</v>
          </cell>
          <cell r="BI360">
            <v>0.11790393013100436</v>
          </cell>
          <cell r="BJ360">
            <v>0.60698689956331875</v>
          </cell>
          <cell r="BQ360">
            <v>0.64628820960698685</v>
          </cell>
          <cell r="BR360">
            <v>0.66812227074235808</v>
          </cell>
          <cell r="BS360">
            <v>0.62882096069868998</v>
          </cell>
          <cell r="BT360">
            <v>0.68558951965065507</v>
          </cell>
          <cell r="BX360">
            <v>0.53056768558951961</v>
          </cell>
          <cell r="CJ360">
            <v>0.2205240174672489</v>
          </cell>
          <cell r="CK360">
            <v>0.29039301310043669</v>
          </cell>
        </row>
        <row r="361">
          <cell r="A361" t="str">
            <v>Rafael Harvey-Pinard</v>
          </cell>
          <cell r="B361" t="str">
            <v>MTL</v>
          </cell>
          <cell r="I361">
            <v>0.12008733624454149</v>
          </cell>
          <cell r="J361">
            <v>0.40829694323144106</v>
          </cell>
          <cell r="K361">
            <v>0.94541484716157209</v>
          </cell>
          <cell r="L361">
            <v>0.49344978165938863</v>
          </cell>
          <cell r="S361">
            <v>0.83406113537117899</v>
          </cell>
          <cell r="T361">
            <v>0.22707423580786026</v>
          </cell>
          <cell r="U361">
            <v>0.29475982532751094</v>
          </cell>
          <cell r="V361">
            <v>0.58078602620087338</v>
          </cell>
          <cell r="AC361">
            <v>0.28384279475982532</v>
          </cell>
          <cell r="AD361">
            <v>0.25327510917030566</v>
          </cell>
          <cell r="AE361">
            <v>0.20742358078602621</v>
          </cell>
          <cell r="AF361">
            <v>0.27510917030567683</v>
          </cell>
          <cell r="AM361">
            <v>0.51746724890829698</v>
          </cell>
          <cell r="AN361">
            <v>0.82969432314410485</v>
          </cell>
          <cell r="AO361">
            <v>0.91048034934497812</v>
          </cell>
          <cell r="AP361">
            <v>0.84716157205240172</v>
          </cell>
          <cell r="AW361">
            <v>0.63318777292576423</v>
          </cell>
          <cell r="AX361">
            <v>0.90174672489082974</v>
          </cell>
          <cell r="AY361">
            <v>0.49781659388646288</v>
          </cell>
          <cell r="AZ361">
            <v>0.82969432314410485</v>
          </cell>
          <cell r="BG361">
            <v>0.74017467248908297</v>
          </cell>
          <cell r="BH361">
            <v>0.4759825327510917</v>
          </cell>
          <cell r="BI361">
            <v>0.99563318777292575</v>
          </cell>
          <cell r="BJ361">
            <v>0.9606986899563319</v>
          </cell>
          <cell r="BQ361">
            <v>0.13537117903930132</v>
          </cell>
          <cell r="BR361">
            <v>0.29475982532751094</v>
          </cell>
          <cell r="BS361">
            <v>0.67248908296943233</v>
          </cell>
          <cell r="BT361">
            <v>0.37336244541484714</v>
          </cell>
          <cell r="BX361">
            <v>0.45196506550218341</v>
          </cell>
          <cell r="CJ361">
            <v>0.55458515283842791</v>
          </cell>
          <cell r="CK361">
            <v>0.71179039301310043</v>
          </cell>
        </row>
        <row r="362">
          <cell r="A362" t="str">
            <v>Rasmus Asplund</v>
          </cell>
          <cell r="B362" t="str">
            <v>BUF, NSH</v>
          </cell>
          <cell r="I362">
            <v>0.23362445414847161</v>
          </cell>
          <cell r="J362">
            <v>0.14192139737991266</v>
          </cell>
          <cell r="K362">
            <v>0.17903930131004367</v>
          </cell>
          <cell r="L362">
            <v>0.15283842794759825</v>
          </cell>
          <cell r="S362">
            <v>2.1834061135371178E-2</v>
          </cell>
          <cell r="T362">
            <v>0.22707423580786026</v>
          </cell>
          <cell r="U362">
            <v>5.458515283842795E-2</v>
          </cell>
          <cell r="V362">
            <v>5.0218340611353711E-2</v>
          </cell>
          <cell r="AC362">
            <v>0.20087336244541484</v>
          </cell>
          <cell r="AD362">
            <v>0.10043668122270742</v>
          </cell>
          <cell r="AE362">
            <v>0.26419213973799127</v>
          </cell>
          <cell r="AF362">
            <v>0.17903930131004367</v>
          </cell>
          <cell r="AM362">
            <v>0.35152838427947597</v>
          </cell>
          <cell r="AN362">
            <v>0.29694323144104806</v>
          </cell>
          <cell r="AO362">
            <v>0.2183406113537118</v>
          </cell>
          <cell r="AP362">
            <v>0.26200873362445415</v>
          </cell>
          <cell r="AW362">
            <v>0.27074235807860264</v>
          </cell>
          <cell r="AX362">
            <v>8.296943231441048E-2</v>
          </cell>
          <cell r="AY362">
            <v>0.15283842794759825</v>
          </cell>
          <cell r="AZ362">
            <v>0.24890829694323144</v>
          </cell>
          <cell r="BG362">
            <v>0.12882096069868995</v>
          </cell>
          <cell r="BH362">
            <v>0.11572052401746726</v>
          </cell>
          <cell r="BI362">
            <v>0.18340611353711792</v>
          </cell>
          <cell r="BJ362">
            <v>0.18122270742358079</v>
          </cell>
          <cell r="BQ362">
            <v>0.17903930131004367</v>
          </cell>
          <cell r="BR362">
            <v>7.6419213973799124E-2</v>
          </cell>
          <cell r="BS362">
            <v>0.12445414847161572</v>
          </cell>
          <cell r="BT362">
            <v>0.12663755458515283</v>
          </cell>
          <cell r="BX362">
            <v>3.7117903930131008E-2</v>
          </cell>
          <cell r="CJ362">
            <v>0.89956331877729256</v>
          </cell>
          <cell r="CK362">
            <v>0.30349344978165937</v>
          </cell>
        </row>
        <row r="363">
          <cell r="A363" t="str">
            <v>Rasmus Kupari</v>
          </cell>
          <cell r="B363" t="str">
            <v>L.A</v>
          </cell>
          <cell r="I363">
            <v>0.45633187772925765</v>
          </cell>
          <cell r="J363">
            <v>0.72707423580786024</v>
          </cell>
          <cell r="K363">
            <v>0.34934497816593885</v>
          </cell>
          <cell r="L363">
            <v>0.46943231441048033</v>
          </cell>
          <cell r="S363">
            <v>7.8602620087336247E-2</v>
          </cell>
          <cell r="T363">
            <v>0.68122270742358082</v>
          </cell>
          <cell r="U363">
            <v>0.70305676855895194</v>
          </cell>
          <cell r="V363">
            <v>0.36244541484716158</v>
          </cell>
          <cell r="AC363">
            <v>0.77947598253275108</v>
          </cell>
          <cell r="AD363">
            <v>0.77074235807860259</v>
          </cell>
          <cell r="AE363">
            <v>0.34716157205240172</v>
          </cell>
          <cell r="AF363">
            <v>0.75109170305676853</v>
          </cell>
          <cell r="AM363">
            <v>0.23580786026200873</v>
          </cell>
          <cell r="AN363">
            <v>0.58515283842794763</v>
          </cell>
          <cell r="AO363">
            <v>0.39519650655021832</v>
          </cell>
          <cell r="AP363">
            <v>0.43231441048034935</v>
          </cell>
          <cell r="AW363">
            <v>0.2816593886462882</v>
          </cell>
          <cell r="AX363">
            <v>0.37336244541484714</v>
          </cell>
          <cell r="AY363">
            <v>9.3886462882096067E-2</v>
          </cell>
          <cell r="AZ363">
            <v>0.36462882096069871</v>
          </cell>
          <cell r="BG363">
            <v>3.0567685589519649E-2</v>
          </cell>
          <cell r="BH363">
            <v>0.9606986899563319</v>
          </cell>
          <cell r="BI363">
            <v>0.37554585152838427</v>
          </cell>
          <cell r="BJ363">
            <v>0.13537117903930132</v>
          </cell>
          <cell r="BQ363">
            <v>0.61790393013100442</v>
          </cell>
          <cell r="BR363">
            <v>0.79039301310043664</v>
          </cell>
          <cell r="BS363">
            <v>0.29039301310043669</v>
          </cell>
          <cell r="BT363">
            <v>0.6506550218340611</v>
          </cell>
          <cell r="BX363">
            <v>0.44541484716157204</v>
          </cell>
          <cell r="CJ363">
            <v>0.59170305676855894</v>
          </cell>
          <cell r="CK363">
            <v>0.46724890829694321</v>
          </cell>
        </row>
        <row r="364">
          <cell r="A364" t="str">
            <v>Reese Johnson</v>
          </cell>
          <cell r="B364" t="str">
            <v>CHI</v>
          </cell>
          <cell r="I364">
            <v>1.0917030567685589E-2</v>
          </cell>
          <cell r="J364">
            <v>4.3668122270742356E-3</v>
          </cell>
          <cell r="K364">
            <v>5.8951965065502182E-2</v>
          </cell>
          <cell r="L364">
            <v>6.5502183406113534E-3</v>
          </cell>
          <cell r="S364">
            <v>0.1965065502183406</v>
          </cell>
          <cell r="T364">
            <v>3.0567685589519649E-2</v>
          </cell>
          <cell r="U364">
            <v>3.9301310043668124E-2</v>
          </cell>
          <cell r="V364">
            <v>2.8384279475982533E-2</v>
          </cell>
          <cell r="AC364">
            <v>0.20742358078602621</v>
          </cell>
          <cell r="AD364">
            <v>0.28384279475982532</v>
          </cell>
          <cell r="AE364">
            <v>0.13100436681222707</v>
          </cell>
          <cell r="AF364">
            <v>0.4606986899563319</v>
          </cell>
          <cell r="AM364">
            <v>0.12008733624454149</v>
          </cell>
          <cell r="AN364">
            <v>3.7117903930131008E-2</v>
          </cell>
          <cell r="AO364">
            <v>0.28820960698689957</v>
          </cell>
          <cell r="AP364">
            <v>7.8602620087336247E-2</v>
          </cell>
          <cell r="AW364">
            <v>0.53711790393013104</v>
          </cell>
          <cell r="AX364">
            <v>0.67903930131004364</v>
          </cell>
          <cell r="AY364">
            <v>0.51965065502183405</v>
          </cell>
          <cell r="AZ364">
            <v>0.8733624454148472</v>
          </cell>
          <cell r="BG364">
            <v>0.12445414847161572</v>
          </cell>
          <cell r="BH364">
            <v>0.13537117903930132</v>
          </cell>
          <cell r="BI364">
            <v>0.20305676855895197</v>
          </cell>
          <cell r="BJ364">
            <v>9.606986899563319E-2</v>
          </cell>
          <cell r="BQ364">
            <v>2.4017467248908297E-2</v>
          </cell>
          <cell r="BR364">
            <v>2.1834061135371178E-3</v>
          </cell>
          <cell r="BS364">
            <v>3.7117903930131008E-2</v>
          </cell>
          <cell r="BT364">
            <v>1.3100436681222707E-2</v>
          </cell>
          <cell r="BX364">
            <v>2.6200873362445413E-2</v>
          </cell>
          <cell r="CJ364">
            <v>0.2205240174672489</v>
          </cell>
          <cell r="CK364">
            <v>0.58296943231441045</v>
          </cell>
        </row>
        <row r="365">
          <cell r="A365" t="str">
            <v>Reilly Smith</v>
          </cell>
          <cell r="B365" t="str">
            <v>VGK</v>
          </cell>
          <cell r="I365">
            <v>0.74235807860262004</v>
          </cell>
          <cell r="J365">
            <v>0.53493449781659386</v>
          </cell>
          <cell r="K365">
            <v>0.69213973799126638</v>
          </cell>
          <cell r="L365">
            <v>0.69868995633187769</v>
          </cell>
          <cell r="S365">
            <v>0.51528384279475981</v>
          </cell>
          <cell r="T365">
            <v>0.86681222707423577</v>
          </cell>
          <cell r="U365">
            <v>0.84497816593886466</v>
          </cell>
          <cell r="V365">
            <v>0.79039301310043664</v>
          </cell>
          <cell r="AC365">
            <v>0.55895196506550215</v>
          </cell>
          <cell r="AD365">
            <v>0.55676855895196509</v>
          </cell>
          <cell r="AE365">
            <v>0.51965065502183405</v>
          </cell>
          <cell r="AF365">
            <v>0.44104803493449779</v>
          </cell>
          <cell r="AM365">
            <v>0.88209606986899558</v>
          </cell>
          <cell r="AN365">
            <v>0.48253275109170307</v>
          </cell>
          <cell r="AO365">
            <v>0.63318777292576423</v>
          </cell>
          <cell r="AP365">
            <v>0.74454148471615722</v>
          </cell>
          <cell r="AW365">
            <v>0.63537117903930129</v>
          </cell>
          <cell r="AX365">
            <v>0.21179039301310043</v>
          </cell>
          <cell r="AY365">
            <v>0.28602620087336245</v>
          </cell>
          <cell r="AZ365">
            <v>0.25545851528384278</v>
          </cell>
          <cell r="BG365">
            <v>0.60480349344978168</v>
          </cell>
          <cell r="BH365">
            <v>0.38427947598253276</v>
          </cell>
          <cell r="BI365">
            <v>0.59606986899563319</v>
          </cell>
          <cell r="BJ365">
            <v>0.50436681222707425</v>
          </cell>
          <cell r="BQ365">
            <v>0.70742358078602618</v>
          </cell>
          <cell r="BR365">
            <v>0.51746724890829698</v>
          </cell>
          <cell r="BS365">
            <v>0.64847161572052403</v>
          </cell>
          <cell r="BT365">
            <v>0.61790393013100442</v>
          </cell>
          <cell r="BX365">
            <v>0.77510917030567683</v>
          </cell>
          <cell r="CJ365">
            <v>0.80786026200873362</v>
          </cell>
          <cell r="CK365">
            <v>0.16812227074235808</v>
          </cell>
        </row>
        <row r="366">
          <cell r="A366" t="str">
            <v>Rem Pitlick</v>
          </cell>
          <cell r="B366" t="str">
            <v>MTL</v>
          </cell>
          <cell r="I366">
            <v>3.4934497816593885E-2</v>
          </cell>
          <cell r="J366">
            <v>6.3318777292576414E-2</v>
          </cell>
          <cell r="K366">
            <v>8.5152838427947602E-2</v>
          </cell>
          <cell r="L366">
            <v>7.6419213973799124E-2</v>
          </cell>
          <cell r="S366">
            <v>0.10480349344978165</v>
          </cell>
          <cell r="T366">
            <v>0.5</v>
          </cell>
          <cell r="U366">
            <v>0.68995633187772931</v>
          </cell>
          <cell r="V366">
            <v>0.25327510917030566</v>
          </cell>
          <cell r="AC366">
            <v>1.5283842794759825E-2</v>
          </cell>
          <cell r="AD366">
            <v>8.7336244541484712E-3</v>
          </cell>
          <cell r="AE366">
            <v>0.12445414847161572</v>
          </cell>
          <cell r="AF366">
            <v>8.7336244541484712E-3</v>
          </cell>
          <cell r="AM366">
            <v>0.20960698689956331</v>
          </cell>
          <cell r="AN366">
            <v>0.25109170305676853</v>
          </cell>
          <cell r="AO366">
            <v>7.4235807860262015E-2</v>
          </cell>
          <cell r="AP366">
            <v>0.24454148471615719</v>
          </cell>
          <cell r="AW366">
            <v>6.5502183406113534E-3</v>
          </cell>
          <cell r="AX366">
            <v>1.9650655021834062E-2</v>
          </cell>
          <cell r="AY366">
            <v>0.42794759825327511</v>
          </cell>
          <cell r="AZ366">
            <v>8.7336244541484712E-3</v>
          </cell>
          <cell r="BG366">
            <v>0.32532751091703055</v>
          </cell>
          <cell r="BH366">
            <v>0.35371179039301309</v>
          </cell>
          <cell r="BI366">
            <v>0.20305676855895197</v>
          </cell>
          <cell r="BJ366">
            <v>0.15938864628820962</v>
          </cell>
          <cell r="BQ366">
            <v>1.3100436681222707E-2</v>
          </cell>
          <cell r="BR366">
            <v>1.0917030567685589E-2</v>
          </cell>
          <cell r="BS366">
            <v>5.0218340611353711E-2</v>
          </cell>
          <cell r="BT366">
            <v>8.7336244541484712E-3</v>
          </cell>
          <cell r="BX366">
            <v>1.7467248908296942E-2</v>
          </cell>
          <cell r="CJ366">
            <v>0.22925764192139739</v>
          </cell>
          <cell r="CK366">
            <v>0.68340611353711789</v>
          </cell>
        </row>
        <row r="367">
          <cell r="A367" t="str">
            <v>Rickard Rakell</v>
          </cell>
          <cell r="B367" t="str">
            <v>PIT</v>
          </cell>
          <cell r="I367">
            <v>0.93013100436681218</v>
          </cell>
          <cell r="J367">
            <v>0.95414847161572047</v>
          </cell>
          <cell r="K367">
            <v>0.78602620087336239</v>
          </cell>
          <cell r="L367">
            <v>0.94978165938864634</v>
          </cell>
          <cell r="S367">
            <v>0.67685589519650657</v>
          </cell>
          <cell r="T367">
            <v>0.53056768558951961</v>
          </cell>
          <cell r="U367">
            <v>0.17685589519650655</v>
          </cell>
          <cell r="V367">
            <v>0.59606986899563319</v>
          </cell>
          <cell r="AC367">
            <v>0.2183406113537118</v>
          </cell>
          <cell r="AD367">
            <v>0.28384279475982532</v>
          </cell>
          <cell r="AE367">
            <v>0.3930131004366812</v>
          </cell>
          <cell r="AF367">
            <v>0.29694323144104806</v>
          </cell>
          <cell r="AM367">
            <v>0.84497816593886466</v>
          </cell>
          <cell r="AN367">
            <v>0.90829694323144106</v>
          </cell>
          <cell r="AO367">
            <v>0.81877729257641918</v>
          </cell>
          <cell r="AP367">
            <v>0.88646288209606983</v>
          </cell>
          <cell r="AW367">
            <v>0.18558951965065501</v>
          </cell>
          <cell r="AX367">
            <v>0.29912663755458513</v>
          </cell>
          <cell r="AY367">
            <v>0.41484716157205243</v>
          </cell>
          <cell r="AZ367">
            <v>0.25545851528384278</v>
          </cell>
          <cell r="BG367">
            <v>0.93449781659388642</v>
          </cell>
          <cell r="BH367">
            <v>0.95851528384279472</v>
          </cell>
          <cell r="BI367">
            <v>0.62008733624454149</v>
          </cell>
          <cell r="BJ367">
            <v>0.64628820960698685</v>
          </cell>
          <cell r="BQ367">
            <v>0.75109170305676853</v>
          </cell>
          <cell r="BR367">
            <v>0.8493449781659389</v>
          </cell>
          <cell r="BS367">
            <v>0.6266375545851528</v>
          </cell>
          <cell r="BT367">
            <v>0.85589519650655022</v>
          </cell>
          <cell r="BX367">
            <v>0.70742358078602618</v>
          </cell>
          <cell r="CJ367">
            <v>0.94541484716157209</v>
          </cell>
          <cell r="CK367">
            <v>0.20742358078602621</v>
          </cell>
        </row>
        <row r="368">
          <cell r="A368" t="str">
            <v>Ridly Greig</v>
          </cell>
          <cell r="B368" t="str">
            <v>OTT</v>
          </cell>
          <cell r="I368">
            <v>0.90611353711790388</v>
          </cell>
          <cell r="J368">
            <v>0.95851528384279472</v>
          </cell>
          <cell r="K368">
            <v>0.85371179039301315</v>
          </cell>
          <cell r="L368">
            <v>0.8973799126637555</v>
          </cell>
          <cell r="S368">
            <v>0.33187772925764192</v>
          </cell>
          <cell r="T368">
            <v>0.6266375545851528</v>
          </cell>
          <cell r="U368">
            <v>0.79912663755458513</v>
          </cell>
          <cell r="V368">
            <v>0.50218340611353707</v>
          </cell>
          <cell r="AC368">
            <v>0.55021834061135366</v>
          </cell>
          <cell r="AD368">
            <v>0.5393013100436681</v>
          </cell>
          <cell r="AE368">
            <v>0.39956331877729256</v>
          </cell>
          <cell r="AF368">
            <v>0.90393013100436681</v>
          </cell>
          <cell r="AM368">
            <v>0.72270742358078599</v>
          </cell>
          <cell r="AN368">
            <v>0.97816593886462877</v>
          </cell>
          <cell r="AO368">
            <v>0.85807860262008728</v>
          </cell>
          <cell r="AP368">
            <v>0.93449781659388642</v>
          </cell>
          <cell r="AW368">
            <v>0.85152838427947597</v>
          </cell>
          <cell r="AX368">
            <v>0.48253275109170307</v>
          </cell>
          <cell r="AY368">
            <v>0.2816593886462882</v>
          </cell>
          <cell r="AZ368">
            <v>0.95633187772925765</v>
          </cell>
          <cell r="BG368">
            <v>0.31222707423580787</v>
          </cell>
          <cell r="BH368">
            <v>0.78602620087336239</v>
          </cell>
          <cell r="BI368">
            <v>0.69213973799126638</v>
          </cell>
          <cell r="BJ368">
            <v>0.56550218340611358</v>
          </cell>
          <cell r="BQ368">
            <v>0.86026200873362446</v>
          </cell>
          <cell r="BR368">
            <v>0.91484716157205237</v>
          </cell>
          <cell r="BS368">
            <v>0.69650655021834063</v>
          </cell>
          <cell r="BT368">
            <v>0.96288209606986896</v>
          </cell>
          <cell r="BX368">
            <v>0.91484716157205237</v>
          </cell>
          <cell r="CJ368">
            <v>0.10698689956331878</v>
          </cell>
          <cell r="CK368">
            <v>3.2751091703056769E-2</v>
          </cell>
        </row>
        <row r="369">
          <cell r="A369" t="str">
            <v>Robby Fabbri</v>
          </cell>
          <cell r="B369" t="str">
            <v>DET</v>
          </cell>
          <cell r="I369">
            <v>2.1834061135371178E-3</v>
          </cell>
          <cell r="J369">
            <v>3.2751091703056769E-2</v>
          </cell>
          <cell r="K369">
            <v>0.12882096069868995</v>
          </cell>
          <cell r="L369">
            <v>2.1834061135371178E-2</v>
          </cell>
          <cell r="S369">
            <v>9.8253275109170299E-2</v>
          </cell>
          <cell r="T369">
            <v>0.11572052401746726</v>
          </cell>
          <cell r="U369">
            <v>7.2052401746724892E-2</v>
          </cell>
          <cell r="V369">
            <v>6.5502183406113537E-2</v>
          </cell>
          <cell r="AC369">
            <v>8.0786026200873357E-2</v>
          </cell>
          <cell r="AD369">
            <v>9.606986899563319E-2</v>
          </cell>
          <cell r="AE369">
            <v>0.93449781659388642</v>
          </cell>
          <cell r="AF369">
            <v>0.32532751091703055</v>
          </cell>
          <cell r="AM369">
            <v>1.0917030567685589E-2</v>
          </cell>
          <cell r="AN369">
            <v>0.13973799126637554</v>
          </cell>
          <cell r="AO369">
            <v>0.22707423580786026</v>
          </cell>
          <cell r="AP369">
            <v>0.10262008733624454</v>
          </cell>
          <cell r="AW369">
            <v>2.4017467248908297E-2</v>
          </cell>
          <cell r="AX369">
            <v>3.7117903930131008E-2</v>
          </cell>
          <cell r="AY369">
            <v>0.96943231441048039</v>
          </cell>
          <cell r="AZ369">
            <v>9.8253275109170299E-2</v>
          </cell>
          <cell r="BG369">
            <v>0.57205240174672489</v>
          </cell>
          <cell r="BH369">
            <v>0.24017467248908297</v>
          </cell>
          <cell r="BI369">
            <v>0.58078602620087338</v>
          </cell>
          <cell r="BJ369">
            <v>0.91921397379912662</v>
          </cell>
          <cell r="BQ369">
            <v>6.5502183406113534E-3</v>
          </cell>
          <cell r="BR369">
            <v>2.8384279475982533E-2</v>
          </cell>
          <cell r="BS369">
            <v>0.48471615720524019</v>
          </cell>
          <cell r="BT369">
            <v>3.0567685589519649E-2</v>
          </cell>
          <cell r="BX369">
            <v>6.5502183406113534E-3</v>
          </cell>
          <cell r="CJ369">
            <v>0.27947598253275108</v>
          </cell>
          <cell r="CK369">
            <v>0.61353711790393017</v>
          </cell>
        </row>
        <row r="370">
          <cell r="A370" t="str">
            <v>Robert Thomas</v>
          </cell>
          <cell r="B370" t="str">
            <v>STL</v>
          </cell>
          <cell r="I370">
            <v>0.43013100436681223</v>
          </cell>
          <cell r="J370">
            <v>0.15720524017467249</v>
          </cell>
          <cell r="K370">
            <v>0.89519650655021832</v>
          </cell>
          <cell r="L370">
            <v>0.38427947598253276</v>
          </cell>
          <cell r="S370">
            <v>0.32096069868995636</v>
          </cell>
          <cell r="T370">
            <v>0.92358078602620086</v>
          </cell>
          <cell r="U370">
            <v>0.93013100436681218</v>
          </cell>
          <cell r="V370">
            <v>0.78384279475982532</v>
          </cell>
          <cell r="AC370">
            <v>0.19868995633187772</v>
          </cell>
          <cell r="AD370">
            <v>0.23144104803493451</v>
          </cell>
          <cell r="AE370">
            <v>0.18122270742358079</v>
          </cell>
          <cell r="AF370">
            <v>7.2052401746724892E-2</v>
          </cell>
          <cell r="AM370">
            <v>0.76200873362445409</v>
          </cell>
          <cell r="AN370">
            <v>0.388646288209607</v>
          </cell>
          <cell r="AO370">
            <v>0.92139737991266379</v>
          </cell>
          <cell r="AP370">
            <v>0.66375545851528384</v>
          </cell>
          <cell r="AW370">
            <v>0.30786026200873362</v>
          </cell>
          <cell r="AX370">
            <v>0.39519650655021832</v>
          </cell>
          <cell r="AY370">
            <v>0.21397379912663755</v>
          </cell>
          <cell r="AZ370">
            <v>9.8253275109170299E-2</v>
          </cell>
          <cell r="BG370">
            <v>0.88427947598253276</v>
          </cell>
          <cell r="BH370">
            <v>0.611353711790393</v>
          </cell>
          <cell r="BI370">
            <v>0.94978165938864634</v>
          </cell>
          <cell r="BJ370">
            <v>0.80349344978165937</v>
          </cell>
          <cell r="BQ370">
            <v>0.30786026200873362</v>
          </cell>
          <cell r="BR370">
            <v>0.13755458515283842</v>
          </cell>
          <cell r="BS370">
            <v>0.60043668122270744</v>
          </cell>
          <cell r="BT370">
            <v>0.17467248908296942</v>
          </cell>
          <cell r="BX370">
            <v>0.36899563318777295</v>
          </cell>
          <cell r="CJ370">
            <v>0.68995633187772931</v>
          </cell>
          <cell r="CK370">
            <v>0.29039301310043669</v>
          </cell>
        </row>
        <row r="371">
          <cell r="A371" t="str">
            <v>Roope Hintz</v>
          </cell>
          <cell r="B371" t="str">
            <v>DAL</v>
          </cell>
          <cell r="I371">
            <v>0.83842794759825323</v>
          </cell>
          <cell r="J371">
            <v>0.9366812227074236</v>
          </cell>
          <cell r="K371">
            <v>0.96506550218340614</v>
          </cell>
          <cell r="L371">
            <v>0.90611353711790388</v>
          </cell>
          <cell r="S371">
            <v>0.96506550218340614</v>
          </cell>
          <cell r="T371">
            <v>0.87554585152838427</v>
          </cell>
          <cell r="U371">
            <v>0.94323144104803491</v>
          </cell>
          <cell r="V371">
            <v>0.96724890829694321</v>
          </cell>
          <cell r="AC371">
            <v>0.70742358078602618</v>
          </cell>
          <cell r="AD371">
            <v>0.84279475982532748</v>
          </cell>
          <cell r="AE371">
            <v>0.79475982532751088</v>
          </cell>
          <cell r="AF371">
            <v>0.69868995633187769</v>
          </cell>
          <cell r="AM371">
            <v>0.91048034934497812</v>
          </cell>
          <cell r="AN371">
            <v>0.99126637554585151</v>
          </cell>
          <cell r="AO371">
            <v>0.98034934497816595</v>
          </cell>
          <cell r="AP371">
            <v>0.96724890829694321</v>
          </cell>
          <cell r="AW371">
            <v>0.65502183406113534</v>
          </cell>
          <cell r="AX371">
            <v>0.60043668122270744</v>
          </cell>
          <cell r="AY371">
            <v>0.69868995633187769</v>
          </cell>
          <cell r="AZ371">
            <v>0.46288209606986902</v>
          </cell>
          <cell r="BG371">
            <v>0.61353711790393017</v>
          </cell>
          <cell r="BH371">
            <v>0.78165938864628826</v>
          </cell>
          <cell r="BI371">
            <v>0.91484716157205237</v>
          </cell>
          <cell r="BJ371">
            <v>0.93449781659388642</v>
          </cell>
          <cell r="BQ371">
            <v>0.84497816593886466</v>
          </cell>
          <cell r="BR371">
            <v>0.95414847161572047</v>
          </cell>
          <cell r="BS371">
            <v>0.96943231441048039</v>
          </cell>
          <cell r="BT371">
            <v>0.91921397379912662</v>
          </cell>
          <cell r="BX371">
            <v>0.9759825327510917</v>
          </cell>
          <cell r="CJ371">
            <v>0.40393013100436681</v>
          </cell>
          <cell r="CK371">
            <v>0.52183406113537123</v>
          </cell>
        </row>
        <row r="372">
          <cell r="A372" t="str">
            <v>Ross Colton</v>
          </cell>
          <cell r="B372" t="str">
            <v>T.B</v>
          </cell>
          <cell r="I372">
            <v>0.71834061135371174</v>
          </cell>
          <cell r="J372">
            <v>0.75982532751091703</v>
          </cell>
          <cell r="K372">
            <v>0.29475982532751094</v>
          </cell>
          <cell r="L372">
            <v>0.61353711790393017</v>
          </cell>
          <cell r="S372">
            <v>0.69213973799126638</v>
          </cell>
          <cell r="T372">
            <v>0.30786026200873362</v>
          </cell>
          <cell r="U372">
            <v>0.49563318777292575</v>
          </cell>
          <cell r="V372">
            <v>0.46943231441048033</v>
          </cell>
          <cell r="AC372">
            <v>0.57423580786026196</v>
          </cell>
          <cell r="AD372">
            <v>0.73144104803493448</v>
          </cell>
          <cell r="AE372">
            <v>0.47816593886462883</v>
          </cell>
          <cell r="AF372">
            <v>0.51310043668122274</v>
          </cell>
          <cell r="AM372">
            <v>0.63755458515283847</v>
          </cell>
          <cell r="AN372">
            <v>0.34279475982532753</v>
          </cell>
          <cell r="AO372">
            <v>0.2183406113537118</v>
          </cell>
          <cell r="AP372">
            <v>0.34934497816593885</v>
          </cell>
          <cell r="AW372">
            <v>0.51091703056768556</v>
          </cell>
          <cell r="AX372">
            <v>0.73362445414847166</v>
          </cell>
          <cell r="AY372">
            <v>0.39737991266375544</v>
          </cell>
          <cell r="AZ372">
            <v>0.53493449781659386</v>
          </cell>
          <cell r="BG372">
            <v>0.28384279475982532</v>
          </cell>
          <cell r="BH372">
            <v>0.45633187772925765</v>
          </cell>
          <cell r="BI372">
            <v>0.25327510917030566</v>
          </cell>
          <cell r="BJ372">
            <v>0.3056768558951965</v>
          </cell>
          <cell r="BQ372">
            <v>0.68122270742358082</v>
          </cell>
          <cell r="BR372">
            <v>0.79912663755458513</v>
          </cell>
          <cell r="BS372">
            <v>0.32096069868995636</v>
          </cell>
          <cell r="BT372">
            <v>0.58951965065502188</v>
          </cell>
          <cell r="BX372">
            <v>0.60043668122270744</v>
          </cell>
          <cell r="CJ372">
            <v>0.20305676855895197</v>
          </cell>
          <cell r="CK372">
            <v>0.77074235807860259</v>
          </cell>
        </row>
        <row r="373">
          <cell r="A373" t="str">
            <v>Ryan Donato</v>
          </cell>
          <cell r="B373" t="str">
            <v>SEA</v>
          </cell>
          <cell r="I373">
            <v>0.58296943231441045</v>
          </cell>
          <cell r="J373">
            <v>0.4126637554585153</v>
          </cell>
          <cell r="K373">
            <v>0.88427947598253276</v>
          </cell>
          <cell r="L373">
            <v>0.46943231441048033</v>
          </cell>
          <cell r="S373">
            <v>0.86244541484716153</v>
          </cell>
          <cell r="T373">
            <v>0.44978165938864628</v>
          </cell>
          <cell r="U373">
            <v>0.61790393013100442</v>
          </cell>
          <cell r="V373">
            <v>0.75109170305676853</v>
          </cell>
          <cell r="AC373">
            <v>0.80567685589519655</v>
          </cell>
          <cell r="AD373">
            <v>0.65283842794759828</v>
          </cell>
          <cell r="AE373">
            <v>0.86462882096069871</v>
          </cell>
          <cell r="AF373">
            <v>0.71179039301310043</v>
          </cell>
          <cell r="AM373">
            <v>0.40393013100436681</v>
          </cell>
          <cell r="AN373">
            <v>0.69868995633187769</v>
          </cell>
          <cell r="AO373">
            <v>0.72270742358078599</v>
          </cell>
          <cell r="AP373">
            <v>0.54148471615720528</v>
          </cell>
          <cell r="AW373">
            <v>0.37991266375545851</v>
          </cell>
          <cell r="AX373">
            <v>0.42794759825327511</v>
          </cell>
          <cell r="AY373">
            <v>0.84061135371179041</v>
          </cell>
          <cell r="AZ373">
            <v>0.41921397379912662</v>
          </cell>
          <cell r="BG373">
            <v>0.22270742358078602</v>
          </cell>
          <cell r="BH373">
            <v>0.72925764192139741</v>
          </cell>
          <cell r="BI373">
            <v>0.93231441048034935</v>
          </cell>
          <cell r="BJ373">
            <v>0.96506550218340614</v>
          </cell>
          <cell r="BQ373">
            <v>0.71397379912663761</v>
          </cell>
          <cell r="BR373">
            <v>0.49126637554585151</v>
          </cell>
          <cell r="BS373">
            <v>0.95851528384279472</v>
          </cell>
          <cell r="BT373">
            <v>0.62008733624454149</v>
          </cell>
          <cell r="BX373">
            <v>0.65283842794759828</v>
          </cell>
          <cell r="CJ373">
            <v>0.17685589519650655</v>
          </cell>
          <cell r="CK373">
            <v>0.77074235807860259</v>
          </cell>
        </row>
        <row r="374">
          <cell r="A374" t="str">
            <v>Ryan Hartman</v>
          </cell>
          <cell r="B374" t="str">
            <v>MIN</v>
          </cell>
          <cell r="I374">
            <v>0.91703056768558955</v>
          </cell>
          <cell r="J374">
            <v>0.55240174672489084</v>
          </cell>
          <cell r="K374">
            <v>0.56550218340611358</v>
          </cell>
          <cell r="L374">
            <v>0.72925764192139741</v>
          </cell>
          <cell r="S374">
            <v>0.70524017467248912</v>
          </cell>
          <cell r="T374">
            <v>0.73580786026200873</v>
          </cell>
          <cell r="U374">
            <v>0.75109170305676853</v>
          </cell>
          <cell r="V374">
            <v>0.77510917030567683</v>
          </cell>
          <cell r="AC374">
            <v>0.29475982532751094</v>
          </cell>
          <cell r="AD374">
            <v>0.4759825327510917</v>
          </cell>
          <cell r="AE374">
            <v>0.45851528384279477</v>
          </cell>
          <cell r="AF374">
            <v>0.44104803493449779</v>
          </cell>
          <cell r="AM374">
            <v>0.98689956331877726</v>
          </cell>
          <cell r="AN374">
            <v>0.82096069868995636</v>
          </cell>
          <cell r="AO374">
            <v>0.79912663755458513</v>
          </cell>
          <cell r="AP374">
            <v>0.89519650655021832</v>
          </cell>
          <cell r="AW374">
            <v>0.3296943231441048</v>
          </cell>
          <cell r="AX374">
            <v>0.21615720524017468</v>
          </cell>
          <cell r="AY374">
            <v>0.15938864628820962</v>
          </cell>
          <cell r="AZ374">
            <v>0.32532751091703055</v>
          </cell>
          <cell r="BG374">
            <v>0.78384279475982532</v>
          </cell>
          <cell r="BH374">
            <v>0.63100436681222705</v>
          </cell>
          <cell r="BI374">
            <v>0.34934497816593885</v>
          </cell>
          <cell r="BJ374">
            <v>0.42794759825327511</v>
          </cell>
          <cell r="BQ374">
            <v>0.78602620087336239</v>
          </cell>
          <cell r="BR374">
            <v>0.49781659388646288</v>
          </cell>
          <cell r="BS374">
            <v>0.54366812227074235</v>
          </cell>
          <cell r="BT374">
            <v>0.6506550218340611</v>
          </cell>
          <cell r="BX374">
            <v>0.84061135371179041</v>
          </cell>
          <cell r="CJ374">
            <v>3.0567685589519649E-2</v>
          </cell>
          <cell r="CK374">
            <v>0.95196506550218341</v>
          </cell>
        </row>
        <row r="375">
          <cell r="A375" t="str">
            <v>Ryan Johansen</v>
          </cell>
          <cell r="B375" t="str">
            <v>NSH</v>
          </cell>
          <cell r="I375">
            <v>0.74672489082969429</v>
          </cell>
          <cell r="J375">
            <v>0.63100436681222705</v>
          </cell>
          <cell r="K375">
            <v>0.26419213973799127</v>
          </cell>
          <cell r="L375">
            <v>0.70960698689956336</v>
          </cell>
          <cell r="S375">
            <v>0.34934497816593885</v>
          </cell>
          <cell r="T375">
            <v>0.42139737991266374</v>
          </cell>
          <cell r="U375">
            <v>0.39519650655021832</v>
          </cell>
          <cell r="V375">
            <v>0.35589519650655022</v>
          </cell>
          <cell r="AC375">
            <v>0.28602620087336245</v>
          </cell>
          <cell r="AD375">
            <v>0.29039301310043669</v>
          </cell>
          <cell r="AE375">
            <v>0.41703056768558949</v>
          </cell>
          <cell r="AF375">
            <v>0.29694323144104806</v>
          </cell>
          <cell r="AM375">
            <v>0.73580786026200873</v>
          </cell>
          <cell r="AN375">
            <v>0.49344978165938863</v>
          </cell>
          <cell r="AO375">
            <v>0.34061135371179041</v>
          </cell>
          <cell r="AP375">
            <v>0.5633187772925764</v>
          </cell>
          <cell r="AW375">
            <v>0.54148471615720528</v>
          </cell>
          <cell r="AX375">
            <v>0.35807860262008734</v>
          </cell>
          <cell r="AY375">
            <v>0.21615720524017468</v>
          </cell>
          <cell r="AZ375">
            <v>0.55240174672489084</v>
          </cell>
          <cell r="BG375">
            <v>0.37117903930131002</v>
          </cell>
          <cell r="BH375">
            <v>0.27947598253275108</v>
          </cell>
          <cell r="BI375">
            <v>0.18777292576419213</v>
          </cell>
          <cell r="BJ375">
            <v>0.27510917030567683</v>
          </cell>
          <cell r="BQ375">
            <v>0.57641921397379914</v>
          </cell>
          <cell r="BR375">
            <v>0.46288209606986902</v>
          </cell>
          <cell r="BS375">
            <v>0.25982532751091703</v>
          </cell>
          <cell r="BT375">
            <v>0.55021834061135366</v>
          </cell>
          <cell r="BX375">
            <v>0.51310043668122274</v>
          </cell>
          <cell r="CJ375">
            <v>0.13537117903930132</v>
          </cell>
          <cell r="CK375">
            <v>0.22489082969432314</v>
          </cell>
        </row>
        <row r="376">
          <cell r="A376" t="str">
            <v>Ryan Lomberg</v>
          </cell>
          <cell r="B376" t="str">
            <v>FLA</v>
          </cell>
          <cell r="I376">
            <v>0.9126637554585153</v>
          </cell>
          <cell r="J376">
            <v>0.84497816593886466</v>
          </cell>
          <cell r="K376">
            <v>0.51965065502183405</v>
          </cell>
          <cell r="L376">
            <v>0.85589519650655022</v>
          </cell>
          <cell r="S376">
            <v>0.70087336244541487</v>
          </cell>
          <cell r="T376">
            <v>0.14410480349344978</v>
          </cell>
          <cell r="U376">
            <v>0.21615720524017468</v>
          </cell>
          <cell r="V376">
            <v>0.3056768558951965</v>
          </cell>
          <cell r="AC376">
            <v>0.20087336244541484</v>
          </cell>
          <cell r="AD376">
            <v>0.27292576419213976</v>
          </cell>
          <cell r="AE376">
            <v>0.5</v>
          </cell>
          <cell r="AF376">
            <v>0.21179039301310043</v>
          </cell>
          <cell r="AM376">
            <v>0.59825327510917026</v>
          </cell>
          <cell r="AN376">
            <v>0.43449781659388648</v>
          </cell>
          <cell r="AO376">
            <v>0.26855895196506552</v>
          </cell>
          <cell r="AP376">
            <v>0.43231441048034935</v>
          </cell>
          <cell r="AW376">
            <v>0.15720524017467249</v>
          </cell>
          <cell r="AX376">
            <v>0.48034934497816595</v>
          </cell>
          <cell r="AY376">
            <v>0.48908296943231439</v>
          </cell>
          <cell r="AZ376">
            <v>0.20305676855895197</v>
          </cell>
          <cell r="BG376">
            <v>0.24672489082969432</v>
          </cell>
          <cell r="BH376">
            <v>0.59388646288209612</v>
          </cell>
          <cell r="BI376">
            <v>0.25109170305676853</v>
          </cell>
          <cell r="BJ376">
            <v>0.41484716157205243</v>
          </cell>
          <cell r="BQ376">
            <v>0.71834061135371174</v>
          </cell>
          <cell r="BR376">
            <v>0.69868995633187769</v>
          </cell>
          <cell r="BS376">
            <v>0.54148471615720528</v>
          </cell>
          <cell r="BT376">
            <v>0.63973799126637554</v>
          </cell>
          <cell r="BX376">
            <v>0.41484716157205243</v>
          </cell>
          <cell r="CJ376">
            <v>6.1135371179039298E-2</v>
          </cell>
          <cell r="CK376">
            <v>0.86462882096069871</v>
          </cell>
        </row>
        <row r="377">
          <cell r="A377" t="str">
            <v>Ryan McLeod</v>
          </cell>
          <cell r="B377" t="str">
            <v>EDM</v>
          </cell>
          <cell r="I377">
            <v>0.60043668122270744</v>
          </cell>
          <cell r="J377">
            <v>0.81222707423580787</v>
          </cell>
          <cell r="K377">
            <v>0.48471615720524019</v>
          </cell>
          <cell r="L377">
            <v>0.76855895196506552</v>
          </cell>
          <cell r="S377">
            <v>0.70960698689956336</v>
          </cell>
          <cell r="T377">
            <v>0.59170305676855894</v>
          </cell>
          <cell r="U377">
            <v>0.72925764192139741</v>
          </cell>
          <cell r="V377">
            <v>0.64410480349344978</v>
          </cell>
          <cell r="AC377">
            <v>0.82314410480349343</v>
          </cell>
          <cell r="AD377">
            <v>0.94759825327510916</v>
          </cell>
          <cell r="AE377">
            <v>0.57205240174672489</v>
          </cell>
          <cell r="AF377">
            <v>0.82751091703056767</v>
          </cell>
          <cell r="AM377">
            <v>0.5</v>
          </cell>
          <cell r="AN377">
            <v>0.55895196506550215</v>
          </cell>
          <cell r="AO377">
            <v>0.29694323144104806</v>
          </cell>
          <cell r="AP377">
            <v>0.44759825327510916</v>
          </cell>
          <cell r="AW377">
            <v>0.86681222707423577</v>
          </cell>
          <cell r="AX377">
            <v>0.80349344978165937</v>
          </cell>
          <cell r="AY377">
            <v>0.68558951965065507</v>
          </cell>
          <cell r="AZ377">
            <v>0.82969432314410485</v>
          </cell>
          <cell r="BG377">
            <v>0.34497816593886466</v>
          </cell>
          <cell r="BH377">
            <v>0.57860262008733621</v>
          </cell>
          <cell r="BI377">
            <v>0.47161572052401746</v>
          </cell>
          <cell r="BJ377">
            <v>0.49126637554585151</v>
          </cell>
          <cell r="BQ377">
            <v>0.73799126637554591</v>
          </cell>
          <cell r="BR377">
            <v>0.9366812227074236</v>
          </cell>
          <cell r="BS377">
            <v>0.54803493449781659</v>
          </cell>
          <cell r="BT377">
            <v>0.85152838427947597</v>
          </cell>
          <cell r="BX377">
            <v>0.888646288209607</v>
          </cell>
          <cell r="CJ377">
            <v>0.48689956331877732</v>
          </cell>
          <cell r="CK377">
            <v>0.21615720524017468</v>
          </cell>
        </row>
        <row r="378">
          <cell r="A378" t="str">
            <v>Ryan Nugent-Hopkins</v>
          </cell>
          <cell r="B378" t="str">
            <v>EDM</v>
          </cell>
          <cell r="I378">
            <v>0.58515283842794763</v>
          </cell>
          <cell r="J378">
            <v>0.76200873362445409</v>
          </cell>
          <cell r="K378">
            <v>0.91703056768558955</v>
          </cell>
          <cell r="L378">
            <v>0.74235807860262004</v>
          </cell>
          <cell r="S378">
            <v>0.74890829694323147</v>
          </cell>
          <cell r="T378">
            <v>0.77510917030567683</v>
          </cell>
          <cell r="U378">
            <v>0.56550218340611358</v>
          </cell>
          <cell r="V378">
            <v>0.8253275109170306</v>
          </cell>
          <cell r="AC378">
            <v>0.53056768558951961</v>
          </cell>
          <cell r="AD378">
            <v>0.67685589519650657</v>
          </cell>
          <cell r="AE378">
            <v>0.36462882096069871</v>
          </cell>
          <cell r="AF378">
            <v>0.56550218340611358</v>
          </cell>
          <cell r="AM378">
            <v>0.45196506550218341</v>
          </cell>
          <cell r="AN378">
            <v>0.4606986899563319</v>
          </cell>
          <cell r="AO378">
            <v>0.83842794759825323</v>
          </cell>
          <cell r="AP378">
            <v>0.43231441048034935</v>
          </cell>
          <cell r="AW378">
            <v>0.32096069868995636</v>
          </cell>
          <cell r="AX378">
            <v>0.35152838427947597</v>
          </cell>
          <cell r="AY378">
            <v>0.30131004366812225</v>
          </cell>
          <cell r="AZ378">
            <v>0.4366812227074236</v>
          </cell>
          <cell r="BG378">
            <v>0.74454148471615722</v>
          </cell>
          <cell r="BH378">
            <v>0.45851528384279477</v>
          </cell>
          <cell r="BI378">
            <v>0.89956331877729256</v>
          </cell>
          <cell r="BJ378">
            <v>0.81877729257641918</v>
          </cell>
          <cell r="BQ378">
            <v>0.56986899563318782</v>
          </cell>
          <cell r="BR378">
            <v>0.78165938864628826</v>
          </cell>
          <cell r="BS378">
            <v>0.77292576419213976</v>
          </cell>
          <cell r="BT378">
            <v>0.73799126637554591</v>
          </cell>
          <cell r="BX378">
            <v>0.64628820960698685</v>
          </cell>
          <cell r="CJ378">
            <v>0.51965065502183405</v>
          </cell>
          <cell r="CK378">
            <v>0.11353711790393013</v>
          </cell>
        </row>
        <row r="379">
          <cell r="A379" t="str">
            <v>Ryan O'Reilly</v>
          </cell>
          <cell r="B379" t="str">
            <v>STL, TOR</v>
          </cell>
          <cell r="I379">
            <v>0.61790393013100442</v>
          </cell>
          <cell r="J379">
            <v>0.80131004366812231</v>
          </cell>
          <cell r="K379">
            <v>0.61790393013100442</v>
          </cell>
          <cell r="L379">
            <v>0.82096069868995636</v>
          </cell>
          <cell r="S379">
            <v>0.77074235807860259</v>
          </cell>
          <cell r="T379">
            <v>0.3930131004366812</v>
          </cell>
          <cell r="U379">
            <v>0.31004366812227074</v>
          </cell>
          <cell r="V379">
            <v>0.58296943231441045</v>
          </cell>
          <cell r="AC379">
            <v>0.46288209606986902</v>
          </cell>
          <cell r="AD379">
            <v>0.53056768558951961</v>
          </cell>
          <cell r="AE379">
            <v>3.2751091703056769E-2</v>
          </cell>
          <cell r="AF379">
            <v>0.34934497816593885</v>
          </cell>
          <cell r="AM379">
            <v>0.77510917030567683</v>
          </cell>
          <cell r="AN379">
            <v>0.95196506550218341</v>
          </cell>
          <cell r="AO379">
            <v>0.57860262008733621</v>
          </cell>
          <cell r="AP379">
            <v>0.84716157205240172</v>
          </cell>
          <cell r="AW379">
            <v>0.60698689956331875</v>
          </cell>
          <cell r="AX379">
            <v>0.68340611353711789</v>
          </cell>
          <cell r="AY379">
            <v>8.7336244541484712E-3</v>
          </cell>
          <cell r="AZ379">
            <v>0.57205240174672489</v>
          </cell>
          <cell r="BG379">
            <v>0.83842794759825323</v>
          </cell>
          <cell r="BH379">
            <v>0.10480349344978165</v>
          </cell>
          <cell r="BI379">
            <v>0.53275109170305679</v>
          </cell>
          <cell r="BJ379">
            <v>7.8602620087336247E-2</v>
          </cell>
          <cell r="BQ379">
            <v>0.55676855895196509</v>
          </cell>
          <cell r="BR379">
            <v>0.75545851528384278</v>
          </cell>
          <cell r="BS379">
            <v>0.21615720524017468</v>
          </cell>
          <cell r="BT379">
            <v>0.67030567685589515</v>
          </cell>
          <cell r="BX379">
            <v>0.74890829694323147</v>
          </cell>
          <cell r="CJ379">
            <v>0.63100436681222705</v>
          </cell>
          <cell r="CK379">
            <v>0.30349344978165937</v>
          </cell>
        </row>
        <row r="380">
          <cell r="A380" t="str">
            <v>Ryan Poehling</v>
          </cell>
          <cell r="B380" t="str">
            <v>PIT</v>
          </cell>
          <cell r="I380">
            <v>0.57641921397379914</v>
          </cell>
          <cell r="J380">
            <v>0.45414847161572053</v>
          </cell>
          <cell r="K380">
            <v>0.17903930131004367</v>
          </cell>
          <cell r="L380">
            <v>0.53493449781659386</v>
          </cell>
          <cell r="S380">
            <v>0.27510917030567683</v>
          </cell>
          <cell r="T380">
            <v>0.30786026200873362</v>
          </cell>
          <cell r="U380">
            <v>0.58078602620087338</v>
          </cell>
          <cell r="V380">
            <v>0.22270742358078602</v>
          </cell>
          <cell r="AC380">
            <v>0.40611353711790393</v>
          </cell>
          <cell r="AD380">
            <v>0.75327510917030571</v>
          </cell>
          <cell r="AE380">
            <v>0.60698689956331875</v>
          </cell>
          <cell r="AF380">
            <v>0.82751091703056767</v>
          </cell>
          <cell r="AM380">
            <v>0.1222707423580786</v>
          </cell>
          <cell r="AN380">
            <v>5.6768558951965066E-2</v>
          </cell>
          <cell r="AO380">
            <v>0.15720524017467249</v>
          </cell>
          <cell r="AP380">
            <v>0.11353711790393013</v>
          </cell>
          <cell r="AW380">
            <v>0.44978165938864628</v>
          </cell>
          <cell r="AX380">
            <v>0.74454148471615722</v>
          </cell>
          <cell r="AY380">
            <v>0.62445414847161573</v>
          </cell>
          <cell r="AZ380">
            <v>0.84279475982532748</v>
          </cell>
          <cell r="BG380">
            <v>5.8951965065502182E-2</v>
          </cell>
          <cell r="BH380">
            <v>2.8384279475982533E-2</v>
          </cell>
          <cell r="BI380">
            <v>0.10262008733624454</v>
          </cell>
          <cell r="BJ380">
            <v>0.3056768558951965</v>
          </cell>
          <cell r="BQ380">
            <v>0.49344978165938863</v>
          </cell>
          <cell r="BR380">
            <v>0.57423580786026196</v>
          </cell>
          <cell r="BS380">
            <v>0.26419213973799127</v>
          </cell>
          <cell r="BT380">
            <v>0.74890829694323147</v>
          </cell>
          <cell r="BX380">
            <v>0.38209606986899564</v>
          </cell>
          <cell r="CJ380">
            <v>0.85152838427947597</v>
          </cell>
          <cell r="CK380">
            <v>0.74890829694323147</v>
          </cell>
        </row>
        <row r="381">
          <cell r="A381" t="str">
            <v>Ryan Reaves</v>
          </cell>
          <cell r="B381" t="str">
            <v>MIN, NYR</v>
          </cell>
          <cell r="I381">
            <v>0.17467248908296942</v>
          </cell>
          <cell r="J381">
            <v>8.0786026200873357E-2</v>
          </cell>
          <cell r="K381">
            <v>0.18558951965065501</v>
          </cell>
          <cell r="L381">
            <v>0.10262008733624454</v>
          </cell>
          <cell r="S381">
            <v>0.2205240174672489</v>
          </cell>
          <cell r="T381">
            <v>0.4606986899563319</v>
          </cell>
          <cell r="U381">
            <v>0.36244541484716158</v>
          </cell>
          <cell r="V381">
            <v>0.28602620087336245</v>
          </cell>
          <cell r="AC381">
            <v>0.36244541484716158</v>
          </cell>
          <cell r="AD381">
            <v>0.91921397379912662</v>
          </cell>
          <cell r="AE381">
            <v>0.69213973799126638</v>
          </cell>
          <cell r="AF381">
            <v>0.79912663755458513</v>
          </cell>
          <cell r="AM381">
            <v>7.6419213973799124E-2</v>
          </cell>
          <cell r="AN381">
            <v>8.0786026200873357E-2</v>
          </cell>
          <cell r="AO381">
            <v>0.34279475982532753</v>
          </cell>
          <cell r="AP381">
            <v>8.9519650655021835E-2</v>
          </cell>
          <cell r="AW381">
            <v>0.16157205240174671</v>
          </cell>
          <cell r="AX381">
            <v>0.84279475982532748</v>
          </cell>
          <cell r="AY381">
            <v>0.37117903930131002</v>
          </cell>
          <cell r="AZ381">
            <v>0.68995633187772931</v>
          </cell>
          <cell r="BG381">
            <v>6.9868995633187769E-2</v>
          </cell>
          <cell r="BH381">
            <v>0.23144104803493451</v>
          </cell>
          <cell r="BI381">
            <v>0.29039301310043669</v>
          </cell>
          <cell r="BJ381">
            <v>0.54803493449781659</v>
          </cell>
          <cell r="BQ381">
            <v>0.20305676855895197</v>
          </cell>
          <cell r="BR381">
            <v>0.37336244541484714</v>
          </cell>
          <cell r="BS381">
            <v>0.31877729257641924</v>
          </cell>
          <cell r="BT381">
            <v>0.29694323144104806</v>
          </cell>
          <cell r="BX381">
            <v>0.15283842794759825</v>
          </cell>
          <cell r="CJ381">
            <v>0.36899563318777295</v>
          </cell>
          <cell r="CK381">
            <v>0.68340611353711789</v>
          </cell>
        </row>
        <row r="382">
          <cell r="A382" t="str">
            <v>Ryan Strome</v>
          </cell>
          <cell r="B382" t="str">
            <v>ANA</v>
          </cell>
          <cell r="I382">
            <v>0.40829694323144106</v>
          </cell>
          <cell r="J382">
            <v>0.22489082969432314</v>
          </cell>
          <cell r="K382">
            <v>0.4759825327510917</v>
          </cell>
          <cell r="L382">
            <v>0.33624454148471616</v>
          </cell>
          <cell r="S382">
            <v>0.32096069868995636</v>
          </cell>
          <cell r="T382">
            <v>0.71179039301310043</v>
          </cell>
          <cell r="U382">
            <v>0.48034934497816595</v>
          </cell>
          <cell r="V382">
            <v>0.5633187772925764</v>
          </cell>
          <cell r="AC382">
            <v>6.5502183406113534E-3</v>
          </cell>
          <cell r="AD382">
            <v>2.1834061135371178E-3</v>
          </cell>
          <cell r="AE382">
            <v>1.5283842794759825E-2</v>
          </cell>
          <cell r="AF382">
            <v>2.1834061135371178E-3</v>
          </cell>
          <cell r="AM382">
            <v>0.81441048034934493</v>
          </cell>
          <cell r="AN382">
            <v>0.50218340611353707</v>
          </cell>
          <cell r="AO382">
            <v>0.74890829694323147</v>
          </cell>
          <cell r="AP382">
            <v>0.71179039301310043</v>
          </cell>
          <cell r="AW382">
            <v>5.2401746724890827E-2</v>
          </cell>
          <cell r="AX382">
            <v>8.7336244541484712E-3</v>
          </cell>
          <cell r="AY382">
            <v>0.10262008733624454</v>
          </cell>
          <cell r="AZ382">
            <v>1.5283842794759825E-2</v>
          </cell>
          <cell r="BG382">
            <v>0.85152838427947597</v>
          </cell>
          <cell r="BH382">
            <v>0.58296943231441045</v>
          </cell>
          <cell r="BI382">
            <v>0.55458515283842791</v>
          </cell>
          <cell r="BJ382">
            <v>0.388646288209607</v>
          </cell>
          <cell r="BQ382">
            <v>5.0218340611353711E-2</v>
          </cell>
          <cell r="BR382">
            <v>2.1834061135371178E-2</v>
          </cell>
          <cell r="BS382">
            <v>0.1331877729257642</v>
          </cell>
          <cell r="BT382">
            <v>2.4017467248908297E-2</v>
          </cell>
          <cell r="BX382">
            <v>0.20305676855895197</v>
          </cell>
          <cell r="CJ382">
            <v>0.15502183406113537</v>
          </cell>
          <cell r="CK382">
            <v>0.19213973799126638</v>
          </cell>
        </row>
        <row r="383">
          <cell r="A383" t="str">
            <v>Saku Maenalanen</v>
          </cell>
          <cell r="B383" t="str">
            <v>WPG</v>
          </cell>
          <cell r="I383">
            <v>5.458515283842795E-2</v>
          </cell>
          <cell r="J383">
            <v>0.12008733624454149</v>
          </cell>
          <cell r="K383">
            <v>5.2401746724890827E-2</v>
          </cell>
          <cell r="L383">
            <v>6.768558951965066E-2</v>
          </cell>
          <cell r="S383">
            <v>0.1965065502183406</v>
          </cell>
          <cell r="T383">
            <v>0.20524017467248909</v>
          </cell>
          <cell r="U383">
            <v>9.606986899563319E-2</v>
          </cell>
          <cell r="V383">
            <v>0.12882096069868995</v>
          </cell>
          <cell r="AC383">
            <v>0.29912663755458513</v>
          </cell>
          <cell r="AD383">
            <v>0.36681222707423583</v>
          </cell>
          <cell r="AE383">
            <v>0.93449781659388642</v>
          </cell>
          <cell r="AF383">
            <v>0.41484716157205243</v>
          </cell>
          <cell r="AM383">
            <v>8.7336244541484712E-3</v>
          </cell>
          <cell r="AN383">
            <v>2.6200873362445413E-2</v>
          </cell>
          <cell r="AO383">
            <v>0.1222707423580786</v>
          </cell>
          <cell r="AP383">
            <v>1.3100436681222707E-2</v>
          </cell>
          <cell r="AW383">
            <v>0.14192139737991266</v>
          </cell>
          <cell r="AX383">
            <v>0.24017467248908297</v>
          </cell>
          <cell r="AY383">
            <v>0.87554585152838427</v>
          </cell>
          <cell r="AZ383">
            <v>0.31441048034934499</v>
          </cell>
          <cell r="BG383">
            <v>2.4017467248908297E-2</v>
          </cell>
          <cell r="BH383">
            <v>0.1331877729257642</v>
          </cell>
          <cell r="BI383">
            <v>0.1091703056768559</v>
          </cell>
          <cell r="BJ383">
            <v>0.66593886462882101</v>
          </cell>
          <cell r="BQ383">
            <v>0.10043668122270742</v>
          </cell>
          <cell r="BR383">
            <v>0.16812227074235808</v>
          </cell>
          <cell r="BS383">
            <v>0.36899563318777295</v>
          </cell>
          <cell r="BT383">
            <v>0.10698689956331878</v>
          </cell>
          <cell r="BX383">
            <v>3.2751091703056769E-2</v>
          </cell>
          <cell r="CJ383">
            <v>0.48034934497816595</v>
          </cell>
          <cell r="CK383">
            <v>0.63318777292576423</v>
          </cell>
        </row>
        <row r="384">
          <cell r="A384" t="str">
            <v>Sam Bennett</v>
          </cell>
          <cell r="B384" t="str">
            <v>FLA</v>
          </cell>
          <cell r="I384">
            <v>0.98908296943231444</v>
          </cell>
          <cell r="J384">
            <v>0.98253275109170302</v>
          </cell>
          <cell r="K384">
            <v>0.8493449781659389</v>
          </cell>
          <cell r="L384">
            <v>0.99563318777292575</v>
          </cell>
          <cell r="S384">
            <v>0.46724890829694321</v>
          </cell>
          <cell r="T384">
            <v>0.82314410480349343</v>
          </cell>
          <cell r="U384">
            <v>0.79912663755458513</v>
          </cell>
          <cell r="V384">
            <v>0.71397379912663761</v>
          </cell>
          <cell r="AC384">
            <v>0.32751091703056767</v>
          </cell>
          <cell r="AD384">
            <v>0.19868995633187772</v>
          </cell>
          <cell r="AE384">
            <v>0.48471615720524019</v>
          </cell>
          <cell r="AF384">
            <v>0.34934497816593885</v>
          </cell>
          <cell r="AM384">
            <v>0.96288209606986896</v>
          </cell>
          <cell r="AN384">
            <v>0.94759825327510916</v>
          </cell>
          <cell r="AO384">
            <v>0.65720524017467252</v>
          </cell>
          <cell r="AP384">
            <v>0.95633187772925765</v>
          </cell>
          <cell r="AW384">
            <v>0.29694323144104806</v>
          </cell>
          <cell r="AX384">
            <v>0.21179039301310043</v>
          </cell>
          <cell r="AY384">
            <v>0.4366812227074236</v>
          </cell>
          <cell r="AZ384">
            <v>0.2816593886462882</v>
          </cell>
          <cell r="BG384">
            <v>0.69650655021834063</v>
          </cell>
          <cell r="BH384">
            <v>0.63318777292576423</v>
          </cell>
          <cell r="BI384">
            <v>0.36462882096069871</v>
          </cell>
          <cell r="BJ384">
            <v>0.46288209606986902</v>
          </cell>
          <cell r="BQ384">
            <v>0.91921397379912662</v>
          </cell>
          <cell r="BR384">
            <v>0.83842794759825323</v>
          </cell>
          <cell r="BS384">
            <v>0.76855895196506552</v>
          </cell>
          <cell r="BT384">
            <v>0.9126637554585153</v>
          </cell>
          <cell r="BX384">
            <v>0.85807860262008728</v>
          </cell>
          <cell r="CJ384">
            <v>0.12008733624454149</v>
          </cell>
          <cell r="CK384">
            <v>0.74890829694323147</v>
          </cell>
        </row>
        <row r="385">
          <cell r="A385" t="str">
            <v>Sam Carrick</v>
          </cell>
          <cell r="B385" t="str">
            <v>ANA</v>
          </cell>
          <cell r="I385">
            <v>8.296943231441048E-2</v>
          </cell>
          <cell r="J385">
            <v>3.0567685589519649E-2</v>
          </cell>
          <cell r="K385">
            <v>6.768558951965066E-2</v>
          </cell>
          <cell r="L385">
            <v>1.5283842794759825E-2</v>
          </cell>
          <cell r="S385">
            <v>0.11572052401746726</v>
          </cell>
          <cell r="T385">
            <v>5.458515283842795E-2</v>
          </cell>
          <cell r="U385">
            <v>0.12445414847161572</v>
          </cell>
          <cell r="V385">
            <v>3.9301310043668124E-2</v>
          </cell>
          <cell r="AC385">
            <v>2.1834061135371178E-3</v>
          </cell>
          <cell r="AD385">
            <v>1.0917030567685589E-2</v>
          </cell>
          <cell r="AE385">
            <v>5.6768558951965066E-2</v>
          </cell>
          <cell r="AF385">
            <v>4.3668122270742356E-3</v>
          </cell>
          <cell r="AM385">
            <v>0.25327510917030566</v>
          </cell>
          <cell r="AN385">
            <v>5.458515283842795E-2</v>
          </cell>
          <cell r="AO385">
            <v>0.24672489082969432</v>
          </cell>
          <cell r="AP385">
            <v>5.8951965065502182E-2</v>
          </cell>
          <cell r="AW385">
            <v>4.8034934497816595E-2</v>
          </cell>
          <cell r="AX385">
            <v>0.14192139737991266</v>
          </cell>
          <cell r="AY385">
            <v>0.33406113537117904</v>
          </cell>
          <cell r="AZ385">
            <v>7.2052401746724892E-2</v>
          </cell>
          <cell r="BG385">
            <v>0.10043668122270742</v>
          </cell>
          <cell r="BH385">
            <v>3.7117903930131008E-2</v>
          </cell>
          <cell r="BI385">
            <v>7.4235807860262015E-2</v>
          </cell>
          <cell r="BJ385">
            <v>0.15938864628820962</v>
          </cell>
          <cell r="BQ385">
            <v>8.7336244541484712E-3</v>
          </cell>
          <cell r="BR385">
            <v>4.3668122270742356E-3</v>
          </cell>
          <cell r="BS385">
            <v>3.0567685589519649E-2</v>
          </cell>
          <cell r="BT385">
            <v>2.1834061135371178E-3</v>
          </cell>
          <cell r="BX385">
            <v>4.3668122270742356E-3</v>
          </cell>
          <cell r="CJ385">
            <v>1.3100436681222707E-2</v>
          </cell>
          <cell r="CK385">
            <v>0.99563318777292575</v>
          </cell>
        </row>
        <row r="386">
          <cell r="A386" t="str">
            <v>Sam Gagner</v>
          </cell>
          <cell r="B386" t="str">
            <v>WPG</v>
          </cell>
          <cell r="I386">
            <v>0.83624454148471616</v>
          </cell>
          <cell r="J386">
            <v>0.43013100436681223</v>
          </cell>
          <cell r="K386">
            <v>0.25982532751091703</v>
          </cell>
          <cell r="L386">
            <v>0.56550218340611358</v>
          </cell>
          <cell r="S386">
            <v>0.6026200873362445</v>
          </cell>
          <cell r="T386">
            <v>9.8253275109170299E-2</v>
          </cell>
          <cell r="U386">
            <v>0.23580786026200873</v>
          </cell>
          <cell r="V386">
            <v>0.1965065502183406</v>
          </cell>
          <cell r="AC386">
            <v>0.48689956331877732</v>
          </cell>
          <cell r="AD386">
            <v>0.67685589519650657</v>
          </cell>
          <cell r="AE386">
            <v>0.63755458515283847</v>
          </cell>
          <cell r="AF386">
            <v>0.67248908296943233</v>
          </cell>
          <cell r="AM386">
            <v>0.84279475982532748</v>
          </cell>
          <cell r="AN386">
            <v>0.28602620087336245</v>
          </cell>
          <cell r="AO386">
            <v>0.42358078602620086</v>
          </cell>
          <cell r="AP386">
            <v>0.46724890829694321</v>
          </cell>
          <cell r="AW386">
            <v>0.48253275109170307</v>
          </cell>
          <cell r="AX386">
            <v>0.53711790393013104</v>
          </cell>
          <cell r="AY386">
            <v>0.49781659388646288</v>
          </cell>
          <cell r="AZ386">
            <v>0.72052401746724892</v>
          </cell>
          <cell r="BG386">
            <v>0.18995633187772926</v>
          </cell>
          <cell r="BH386">
            <v>0.53493449781659386</v>
          </cell>
          <cell r="BI386">
            <v>0.1331877729257642</v>
          </cell>
          <cell r="BJ386">
            <v>0.25982532751091703</v>
          </cell>
          <cell r="BQ386">
            <v>0.74672489082969429</v>
          </cell>
          <cell r="BR386">
            <v>0.51091703056768556</v>
          </cell>
          <cell r="BS386">
            <v>0.3930131004366812</v>
          </cell>
          <cell r="BT386">
            <v>0.64628820960698685</v>
          </cell>
          <cell r="BX386">
            <v>0.63755458515283847</v>
          </cell>
          <cell r="CJ386">
            <v>0.75327510917030571</v>
          </cell>
          <cell r="CK386">
            <v>0.16157205240174671</v>
          </cell>
        </row>
        <row r="387">
          <cell r="A387" t="str">
            <v>Sam Lafferty</v>
          </cell>
          <cell r="B387" t="str">
            <v>CHI, TOR</v>
          </cell>
          <cell r="I387">
            <v>0.18122270742358079</v>
          </cell>
          <cell r="J387">
            <v>0.21397379912663755</v>
          </cell>
          <cell r="K387">
            <v>0.18558951965065501</v>
          </cell>
          <cell r="L387">
            <v>0.1331877729257642</v>
          </cell>
          <cell r="S387">
            <v>0.36681222707423583</v>
          </cell>
          <cell r="T387">
            <v>0.43449781659388648</v>
          </cell>
          <cell r="U387">
            <v>0.45851528384279477</v>
          </cell>
          <cell r="V387">
            <v>0.37117903930131002</v>
          </cell>
          <cell r="AC387">
            <v>0.23799126637554585</v>
          </cell>
          <cell r="AD387">
            <v>0.18340611353711792</v>
          </cell>
          <cell r="AE387">
            <v>0.24672489082969432</v>
          </cell>
          <cell r="AF387">
            <v>0.18777292576419213</v>
          </cell>
          <cell r="AM387">
            <v>0.44104803493449779</v>
          </cell>
          <cell r="AN387">
            <v>0.51091703056768556</v>
          </cell>
          <cell r="AO387">
            <v>0.29694323144104806</v>
          </cell>
          <cell r="AP387">
            <v>0.36244541484716158</v>
          </cell>
          <cell r="AW387">
            <v>0.49781659388646288</v>
          </cell>
          <cell r="AX387">
            <v>0.41484716157205243</v>
          </cell>
          <cell r="AY387">
            <v>0.4366812227074236</v>
          </cell>
          <cell r="AZ387">
            <v>0.48034934497816595</v>
          </cell>
          <cell r="BG387">
            <v>0.42794759825327511</v>
          </cell>
          <cell r="BH387">
            <v>9.8253275109170299E-2</v>
          </cell>
          <cell r="BI387">
            <v>0.23580786026200873</v>
          </cell>
          <cell r="BJ387">
            <v>0.20524017467248909</v>
          </cell>
          <cell r="BQ387">
            <v>0.15720524017467249</v>
          </cell>
          <cell r="BR387">
            <v>0.17467248908296942</v>
          </cell>
          <cell r="BS387">
            <v>0.1222707423580786</v>
          </cell>
          <cell r="BT387">
            <v>0.1091703056768559</v>
          </cell>
          <cell r="BX387">
            <v>0.15720524017467249</v>
          </cell>
          <cell r="CJ387">
            <v>0.38209606986899564</v>
          </cell>
          <cell r="CK387">
            <v>0.63755458515283847</v>
          </cell>
        </row>
        <row r="388">
          <cell r="A388" t="str">
            <v>Sam Reinhart</v>
          </cell>
          <cell r="B388" t="str">
            <v>FLA</v>
          </cell>
          <cell r="I388">
            <v>0.8493449781659389</v>
          </cell>
          <cell r="J388">
            <v>0.80567685589519655</v>
          </cell>
          <cell r="K388">
            <v>0.31441048034934499</v>
          </cell>
          <cell r="L388">
            <v>0.79039301310043664</v>
          </cell>
          <cell r="S388">
            <v>0.27510917030567683</v>
          </cell>
          <cell r="T388">
            <v>0.66812227074235808</v>
          </cell>
          <cell r="U388">
            <v>0.65938864628820959</v>
          </cell>
          <cell r="V388">
            <v>0.50873362445414849</v>
          </cell>
          <cell r="AC388">
            <v>0.69650655021834063</v>
          </cell>
          <cell r="AD388">
            <v>0.69868995633187769</v>
          </cell>
          <cell r="AE388">
            <v>0.45851528384279477</v>
          </cell>
          <cell r="AF388">
            <v>0.83842794759825323</v>
          </cell>
          <cell r="AM388">
            <v>0.388646288209607</v>
          </cell>
          <cell r="AN388">
            <v>0.32314410480349343</v>
          </cell>
          <cell r="AO388">
            <v>6.5502183406113537E-2</v>
          </cell>
          <cell r="AP388">
            <v>0.29257641921397382</v>
          </cell>
          <cell r="AW388">
            <v>0.87117903930131002</v>
          </cell>
          <cell r="AX388">
            <v>0.95633187772925765</v>
          </cell>
          <cell r="AY388">
            <v>0.4366812227074236</v>
          </cell>
          <cell r="AZ388">
            <v>0.95633187772925765</v>
          </cell>
          <cell r="BG388">
            <v>0.69868995633187769</v>
          </cell>
          <cell r="BH388">
            <v>0.42358078602620086</v>
          </cell>
          <cell r="BI388">
            <v>0.15283842794759825</v>
          </cell>
          <cell r="BJ388">
            <v>0.15938864628820962</v>
          </cell>
          <cell r="BQ388">
            <v>0.85152838427947597</v>
          </cell>
          <cell r="BR388">
            <v>0.83624454148471616</v>
          </cell>
          <cell r="BS388">
            <v>0.3296943231441048</v>
          </cell>
          <cell r="BT388">
            <v>0.888646288209607</v>
          </cell>
          <cell r="BX388">
            <v>0.83187772925764192</v>
          </cell>
          <cell r="CJ388">
            <v>0.93013100436681218</v>
          </cell>
          <cell r="CK388">
            <v>0.32096069868995636</v>
          </cell>
        </row>
        <row r="389">
          <cell r="A389" t="str">
            <v>Sam Steel</v>
          </cell>
          <cell r="B389" t="str">
            <v>MIN</v>
          </cell>
          <cell r="I389">
            <v>0.61790393013100442</v>
          </cell>
          <cell r="J389">
            <v>0.68558951965065507</v>
          </cell>
          <cell r="K389">
            <v>0.59170305676855894</v>
          </cell>
          <cell r="L389">
            <v>0.70524017467248912</v>
          </cell>
          <cell r="S389">
            <v>0.36681222707423583</v>
          </cell>
          <cell r="T389">
            <v>0.51528384279475981</v>
          </cell>
          <cell r="U389">
            <v>0.23580786026200873</v>
          </cell>
          <cell r="V389">
            <v>0.43886462882096072</v>
          </cell>
          <cell r="AC389">
            <v>0.74890829694323147</v>
          </cell>
          <cell r="AD389">
            <v>0.70305676855895194</v>
          </cell>
          <cell r="AE389">
            <v>0.67903930131004364</v>
          </cell>
          <cell r="AF389">
            <v>0.51310043668122274</v>
          </cell>
          <cell r="AM389">
            <v>0.65502183406113534</v>
          </cell>
          <cell r="AN389">
            <v>0.88209606986899558</v>
          </cell>
          <cell r="AO389">
            <v>0.80131004366812231</v>
          </cell>
          <cell r="AP389">
            <v>0.87554585152838427</v>
          </cell>
          <cell r="AW389">
            <v>0.79912663755458513</v>
          </cell>
          <cell r="AX389">
            <v>0.15065502183406113</v>
          </cell>
          <cell r="AY389">
            <v>0.56986899563318782</v>
          </cell>
          <cell r="AZ389">
            <v>0.13100436681222707</v>
          </cell>
          <cell r="BG389">
            <v>0.61572052401746724</v>
          </cell>
          <cell r="BH389">
            <v>0.9126637554585153</v>
          </cell>
          <cell r="BI389">
            <v>0.6266375545851528</v>
          </cell>
          <cell r="BJ389">
            <v>0.70960698689956336</v>
          </cell>
          <cell r="BQ389">
            <v>0.72052401746724892</v>
          </cell>
          <cell r="BR389">
            <v>0.74235807860262004</v>
          </cell>
          <cell r="BS389">
            <v>0.69213973799126638</v>
          </cell>
          <cell r="BT389">
            <v>0.65720524017467252</v>
          </cell>
          <cell r="BX389">
            <v>0.69650655021834063</v>
          </cell>
          <cell r="CJ389">
            <v>0.63100436681222705</v>
          </cell>
          <cell r="CK389">
            <v>3.9301310043668124E-2</v>
          </cell>
        </row>
        <row r="390">
          <cell r="A390" t="str">
            <v>Sammy Blais</v>
          </cell>
          <cell r="B390" t="str">
            <v>NYR, STL</v>
          </cell>
          <cell r="I390">
            <v>5.8951965065502182E-2</v>
          </cell>
          <cell r="J390">
            <v>5.8951965065502182E-2</v>
          </cell>
          <cell r="K390">
            <v>0.51965065502183405</v>
          </cell>
          <cell r="L390">
            <v>3.4934497816593885E-2</v>
          </cell>
          <cell r="S390">
            <v>0.55676855895196509</v>
          </cell>
          <cell r="T390">
            <v>0.71179039301310043</v>
          </cell>
          <cell r="U390">
            <v>0.39519650655021832</v>
          </cell>
          <cell r="V390">
            <v>0.66812227074235808</v>
          </cell>
          <cell r="AC390">
            <v>0.55458515283842791</v>
          </cell>
          <cell r="AD390">
            <v>0.51746724890829698</v>
          </cell>
          <cell r="AE390">
            <v>0.85152838427947597</v>
          </cell>
          <cell r="AF390">
            <v>0.5873362445414847</v>
          </cell>
          <cell r="AM390">
            <v>5.8951965065502182E-2</v>
          </cell>
          <cell r="AN390">
            <v>0.12008733624454149</v>
          </cell>
          <cell r="AO390">
            <v>0.41921397379912662</v>
          </cell>
          <cell r="AP390">
            <v>6.5502183406113537E-2</v>
          </cell>
          <cell r="AW390">
            <v>0.49563318777292575</v>
          </cell>
          <cell r="AX390">
            <v>0.59606986899563319</v>
          </cell>
          <cell r="AY390">
            <v>0.79694323144104806</v>
          </cell>
          <cell r="AZ390">
            <v>0.76200873362445409</v>
          </cell>
          <cell r="BG390">
            <v>0.25982532751091703</v>
          </cell>
          <cell r="BH390">
            <v>0.51310043668122274</v>
          </cell>
          <cell r="BI390">
            <v>0.87117903930131002</v>
          </cell>
          <cell r="BJ390">
            <v>0.94323144104803491</v>
          </cell>
          <cell r="BQ390">
            <v>0.15938864628820962</v>
          </cell>
          <cell r="BR390">
            <v>0.14192139737991266</v>
          </cell>
          <cell r="BS390">
            <v>0.81441048034934493</v>
          </cell>
          <cell r="BT390">
            <v>0.10043668122270742</v>
          </cell>
          <cell r="BX390">
            <v>0.21179039301310043</v>
          </cell>
          <cell r="CJ390">
            <v>0.28820960698689957</v>
          </cell>
          <cell r="CK390">
            <v>0.85589519650655022</v>
          </cell>
        </row>
        <row r="391">
          <cell r="A391" t="str">
            <v>Scott Laughton</v>
          </cell>
          <cell r="B391" t="str">
            <v>PHI</v>
          </cell>
          <cell r="I391">
            <v>0.67030567685589515</v>
          </cell>
          <cell r="J391">
            <v>0.50655021834061131</v>
          </cell>
          <cell r="K391">
            <v>0.42358078602620086</v>
          </cell>
          <cell r="L391">
            <v>0.55458515283842791</v>
          </cell>
          <cell r="S391">
            <v>0.2205240174672489</v>
          </cell>
          <cell r="T391">
            <v>0.37336244541484714</v>
          </cell>
          <cell r="U391">
            <v>0.21615720524017468</v>
          </cell>
          <cell r="V391">
            <v>0.23144104803493451</v>
          </cell>
          <cell r="AC391">
            <v>0.21397379912663755</v>
          </cell>
          <cell r="AD391">
            <v>0.20087336244541484</v>
          </cell>
          <cell r="AE391">
            <v>0.33624454148471616</v>
          </cell>
          <cell r="AF391">
            <v>0.37554585152838427</v>
          </cell>
          <cell r="AM391">
            <v>0.80786026200873362</v>
          </cell>
          <cell r="AN391">
            <v>0.68122270742358082</v>
          </cell>
          <cell r="AO391">
            <v>0.59388646288209612</v>
          </cell>
          <cell r="AP391">
            <v>0.75982532751091703</v>
          </cell>
          <cell r="AW391">
            <v>0.20305676855895197</v>
          </cell>
          <cell r="AX391">
            <v>0.17248908296943233</v>
          </cell>
          <cell r="AY391">
            <v>0.27292576419213976</v>
          </cell>
          <cell r="AZ391">
            <v>0.34061135371179041</v>
          </cell>
          <cell r="BG391">
            <v>0.79694323144104806</v>
          </cell>
          <cell r="BH391">
            <v>0.21615720524017468</v>
          </cell>
          <cell r="BI391">
            <v>0.26855895196506552</v>
          </cell>
          <cell r="BJ391">
            <v>0.25982532751091703</v>
          </cell>
          <cell r="BQ391">
            <v>0.46724890829694321</v>
          </cell>
          <cell r="BR391">
            <v>0.35371179039301309</v>
          </cell>
          <cell r="BS391">
            <v>0.33842794759825329</v>
          </cell>
          <cell r="BT391">
            <v>0.47161572052401746</v>
          </cell>
          <cell r="BX391">
            <v>0.44323144104803491</v>
          </cell>
          <cell r="CJ391">
            <v>0.36026200873362446</v>
          </cell>
          <cell r="CK391">
            <v>0.44323144104803491</v>
          </cell>
        </row>
        <row r="392">
          <cell r="A392" t="str">
            <v>Sean Kuraly</v>
          </cell>
          <cell r="B392" t="str">
            <v>CBJ</v>
          </cell>
          <cell r="I392">
            <v>0.13755458515283842</v>
          </cell>
          <cell r="J392">
            <v>0.25545851528384278</v>
          </cell>
          <cell r="K392">
            <v>7.4235807860262015E-2</v>
          </cell>
          <cell r="L392">
            <v>0.22707423580786026</v>
          </cell>
          <cell r="S392">
            <v>0.16812227074235808</v>
          </cell>
          <cell r="T392">
            <v>9.8253275109170299E-2</v>
          </cell>
          <cell r="U392">
            <v>0.21615720524017468</v>
          </cell>
          <cell r="V392">
            <v>6.9868995633187769E-2</v>
          </cell>
          <cell r="AC392">
            <v>3.4934497816593885E-2</v>
          </cell>
          <cell r="AD392">
            <v>0.14628820960698691</v>
          </cell>
          <cell r="AE392">
            <v>1.7467248908296942E-2</v>
          </cell>
          <cell r="AF392">
            <v>7.2052401746724892E-2</v>
          </cell>
          <cell r="AM392">
            <v>0.25982532751091703</v>
          </cell>
          <cell r="AN392">
            <v>0.63537117903930129</v>
          </cell>
          <cell r="AO392">
            <v>0.23580786026200873</v>
          </cell>
          <cell r="AP392">
            <v>0.45196506550218341</v>
          </cell>
          <cell r="AW392">
            <v>0.16375545851528384</v>
          </cell>
          <cell r="AX392">
            <v>0.24454148471615719</v>
          </cell>
          <cell r="AY392">
            <v>8.9519650655021835E-2</v>
          </cell>
          <cell r="AZ392">
            <v>0.18122270742358079</v>
          </cell>
          <cell r="BG392">
            <v>0.51965065502183405</v>
          </cell>
          <cell r="BH392">
            <v>2.1834061135371178E-2</v>
          </cell>
          <cell r="BI392">
            <v>8.9519650655021835E-2</v>
          </cell>
          <cell r="BJ392">
            <v>3.9301310043668124E-2</v>
          </cell>
          <cell r="BQ392">
            <v>3.2751091703056769E-2</v>
          </cell>
          <cell r="BR392">
            <v>0.17903930131004367</v>
          </cell>
          <cell r="BS392">
            <v>2.1834061135371178E-2</v>
          </cell>
          <cell r="BT392">
            <v>8.9519650655021835E-2</v>
          </cell>
          <cell r="BX392">
            <v>2.4017467248908297E-2</v>
          </cell>
          <cell r="CJ392">
            <v>9.8253275109170299E-2</v>
          </cell>
          <cell r="CK392">
            <v>0.52183406113537123</v>
          </cell>
        </row>
        <row r="393">
          <cell r="A393" t="str">
            <v>Sean Monahan</v>
          </cell>
          <cell r="B393" t="str">
            <v>MTL</v>
          </cell>
          <cell r="I393">
            <v>0.66375545851528384</v>
          </cell>
          <cell r="J393">
            <v>0.24890829694323144</v>
          </cell>
          <cell r="K393">
            <v>0.48034934497816595</v>
          </cell>
          <cell r="L393">
            <v>0.61353711790393017</v>
          </cell>
          <cell r="S393">
            <v>0.42358078602620086</v>
          </cell>
          <cell r="T393">
            <v>0.77074235807860259</v>
          </cell>
          <cell r="U393">
            <v>0.94541484716157209</v>
          </cell>
          <cell r="V393">
            <v>0.65938864628820959</v>
          </cell>
          <cell r="AC393">
            <v>0.55676855895196509</v>
          </cell>
          <cell r="AD393">
            <v>0.12008733624454149</v>
          </cell>
          <cell r="AE393">
            <v>0.17467248908296942</v>
          </cell>
          <cell r="AF393">
            <v>0.14847161572052403</v>
          </cell>
          <cell r="AM393">
            <v>0.82969432314410485</v>
          </cell>
          <cell r="AN393">
            <v>0.58515283842794763</v>
          </cell>
          <cell r="AO393">
            <v>0.43449781659388648</v>
          </cell>
          <cell r="AP393">
            <v>0.81659388646288211</v>
          </cell>
          <cell r="AW393">
            <v>0.35371179039301309</v>
          </cell>
          <cell r="AX393">
            <v>0.12445414847161572</v>
          </cell>
          <cell r="AY393">
            <v>0.40611353711790393</v>
          </cell>
          <cell r="AZ393">
            <v>0.20305676855895197</v>
          </cell>
          <cell r="BG393">
            <v>0.37554585152838427</v>
          </cell>
          <cell r="BH393">
            <v>0.60480349344978168</v>
          </cell>
          <cell r="BI393">
            <v>0.31441048034934499</v>
          </cell>
          <cell r="BJ393">
            <v>0.14628820960698691</v>
          </cell>
          <cell r="BQ393">
            <v>0.63100436681222705</v>
          </cell>
          <cell r="BR393">
            <v>0.15720524017467249</v>
          </cell>
          <cell r="BS393">
            <v>0.27292576419213976</v>
          </cell>
          <cell r="BT393">
            <v>0.35371179039301309</v>
          </cell>
          <cell r="BX393">
            <v>0.62882096069868998</v>
          </cell>
          <cell r="CJ393">
            <v>0.82096069868995636</v>
          </cell>
          <cell r="CK393">
            <v>1.3100436681222707E-2</v>
          </cell>
        </row>
        <row r="394">
          <cell r="A394" t="str">
            <v>Sebastian Aho</v>
          </cell>
          <cell r="B394" t="str">
            <v>CAR</v>
          </cell>
          <cell r="I394">
            <v>0.98471615720524019</v>
          </cell>
          <cell r="J394">
            <v>0.93231441048034935</v>
          </cell>
          <cell r="K394">
            <v>0.83842794759825323</v>
          </cell>
          <cell r="L394">
            <v>0.9606986899563319</v>
          </cell>
          <cell r="S394">
            <v>0.95414847161572047</v>
          </cell>
          <cell r="T394">
            <v>0.4759825327510917</v>
          </cell>
          <cell r="U394">
            <v>0.78165938864628826</v>
          </cell>
          <cell r="V394">
            <v>0.8493449781659389</v>
          </cell>
          <cell r="AC394">
            <v>0.82314410480349343</v>
          </cell>
          <cell r="AD394">
            <v>0.72270742358078599</v>
          </cell>
          <cell r="AE394">
            <v>0.5</v>
          </cell>
          <cell r="AF394">
            <v>0.85371179039301315</v>
          </cell>
          <cell r="AM394">
            <v>0.78384279475982532</v>
          </cell>
          <cell r="AN394">
            <v>0.77947598253275108</v>
          </cell>
          <cell r="AO394">
            <v>0.83842794759825323</v>
          </cell>
          <cell r="AP394">
            <v>0.85807860262008728</v>
          </cell>
          <cell r="AW394">
            <v>3.2751091703056769E-2</v>
          </cell>
          <cell r="AX394">
            <v>0.23580786026200873</v>
          </cell>
          <cell r="AY394">
            <v>0.17467248908296942</v>
          </cell>
          <cell r="AZ394">
            <v>0.18122270742358079</v>
          </cell>
          <cell r="BG394">
            <v>0.74235807860262004</v>
          </cell>
          <cell r="BH394">
            <v>0.83406113537117899</v>
          </cell>
          <cell r="BI394">
            <v>0.55021834061135366</v>
          </cell>
          <cell r="BJ394">
            <v>0.46288209606986902</v>
          </cell>
          <cell r="BQ394">
            <v>0.96506550218340614</v>
          </cell>
          <cell r="BR394">
            <v>0.93231441048034935</v>
          </cell>
          <cell r="BS394">
            <v>0.77510917030567683</v>
          </cell>
          <cell r="BT394">
            <v>0.9759825327510917</v>
          </cell>
          <cell r="BX394">
            <v>0.8973799126637555</v>
          </cell>
          <cell r="CJ394">
            <v>0.21179039301310043</v>
          </cell>
          <cell r="CK394">
            <v>0.88209606986899558</v>
          </cell>
        </row>
        <row r="395">
          <cell r="A395" t="str">
            <v>Seth Jarvis</v>
          </cell>
          <cell r="B395" t="str">
            <v>CAR</v>
          </cell>
          <cell r="I395">
            <v>0.92576419213973804</v>
          </cell>
          <cell r="J395">
            <v>0.85807860262008728</v>
          </cell>
          <cell r="K395">
            <v>0.46943231441048033</v>
          </cell>
          <cell r="L395">
            <v>0.89082969432314407</v>
          </cell>
          <cell r="S395">
            <v>0.5873362445414847</v>
          </cell>
          <cell r="T395">
            <v>0.22707423580786026</v>
          </cell>
          <cell r="U395">
            <v>0.19868995633187772</v>
          </cell>
          <cell r="V395">
            <v>0.32096069868995636</v>
          </cell>
          <cell r="AC395">
            <v>0.96288209606986896</v>
          </cell>
          <cell r="AD395">
            <v>0.81441048034934493</v>
          </cell>
          <cell r="AE395">
            <v>0.83624454148471616</v>
          </cell>
          <cell r="AF395">
            <v>0.96943231441048039</v>
          </cell>
          <cell r="AM395">
            <v>0.44541484716157204</v>
          </cell>
          <cell r="AN395">
            <v>0.50436681222707425</v>
          </cell>
          <cell r="AO395">
            <v>0.43449781659388648</v>
          </cell>
          <cell r="AP395">
            <v>0.60917030567685593</v>
          </cell>
          <cell r="AW395">
            <v>0.26419213973799127</v>
          </cell>
          <cell r="AX395">
            <v>0.39082969432314413</v>
          </cell>
          <cell r="AY395">
            <v>0.62445414847161573</v>
          </cell>
          <cell r="AZ395">
            <v>0.49563318777292575</v>
          </cell>
          <cell r="BG395">
            <v>0.73362445414847166</v>
          </cell>
          <cell r="BH395">
            <v>0.88646288209606983</v>
          </cell>
          <cell r="BI395">
            <v>0.24672489082969432</v>
          </cell>
          <cell r="BJ395">
            <v>0.44323144104803491</v>
          </cell>
          <cell r="BQ395">
            <v>0.96288209606986896</v>
          </cell>
          <cell r="BR395">
            <v>0.9126637554585153</v>
          </cell>
          <cell r="BS395">
            <v>0.75982532751091703</v>
          </cell>
          <cell r="BT395">
            <v>0.98034934497816595</v>
          </cell>
          <cell r="BX395">
            <v>0.80786026200873362</v>
          </cell>
          <cell r="CJ395">
            <v>0.95414847161572047</v>
          </cell>
          <cell r="CK395">
            <v>0.40829694323144106</v>
          </cell>
        </row>
        <row r="396">
          <cell r="A396" t="str">
            <v>Shane Pinto</v>
          </cell>
          <cell r="B396" t="str">
            <v>OTT</v>
          </cell>
          <cell r="I396">
            <v>0.74672489082969429</v>
          </cell>
          <cell r="J396">
            <v>0.45633187772925765</v>
          </cell>
          <cell r="K396">
            <v>0.2576419213973799</v>
          </cell>
          <cell r="L396">
            <v>0.59825327510917026</v>
          </cell>
          <cell r="S396">
            <v>0.67685589519650657</v>
          </cell>
          <cell r="T396">
            <v>0.11572052401746726</v>
          </cell>
          <cell r="U396">
            <v>0.11572052401746726</v>
          </cell>
          <cell r="V396">
            <v>0.26637554585152839</v>
          </cell>
          <cell r="AC396">
            <v>0.54803493449781659</v>
          </cell>
          <cell r="AD396">
            <v>0.4366812227074236</v>
          </cell>
          <cell r="AE396">
            <v>0.1943231441048035</v>
          </cell>
          <cell r="AF396">
            <v>0.49563318777292575</v>
          </cell>
          <cell r="AM396">
            <v>0.5240174672489083</v>
          </cell>
          <cell r="AN396">
            <v>0.21397379912663755</v>
          </cell>
          <cell r="AO396">
            <v>0.28820960698689957</v>
          </cell>
          <cell r="AP396">
            <v>0.388646288209607</v>
          </cell>
          <cell r="AW396">
            <v>0.50655021834061131</v>
          </cell>
          <cell r="AX396">
            <v>0.37117903930131002</v>
          </cell>
          <cell r="AY396">
            <v>0.23580786026200873</v>
          </cell>
          <cell r="AZ396">
            <v>0.48034934497816595</v>
          </cell>
          <cell r="BG396">
            <v>0.63537117903930129</v>
          </cell>
          <cell r="BH396">
            <v>0.75109170305676853</v>
          </cell>
          <cell r="BI396">
            <v>0.12445414847161572</v>
          </cell>
          <cell r="BJ396">
            <v>5.8951965065502182E-2</v>
          </cell>
          <cell r="BQ396">
            <v>0.69432314410480345</v>
          </cell>
          <cell r="BR396">
            <v>0.4126637554585153</v>
          </cell>
          <cell r="BS396">
            <v>0.14410480349344978</v>
          </cell>
          <cell r="BT396">
            <v>0.57205240174672489</v>
          </cell>
          <cell r="BX396">
            <v>0.50655021834061131</v>
          </cell>
          <cell r="CJ396">
            <v>0.71834061135371174</v>
          </cell>
          <cell r="CK396">
            <v>0.6746724890829694</v>
          </cell>
        </row>
        <row r="397">
          <cell r="A397" t="str">
            <v>Sheldon Dries</v>
          </cell>
          <cell r="B397" t="str">
            <v>VAN</v>
          </cell>
          <cell r="I397">
            <v>0.13100436681222707</v>
          </cell>
          <cell r="J397">
            <v>0.46506550218340609</v>
          </cell>
          <cell r="K397">
            <v>0.32532751091703055</v>
          </cell>
          <cell r="L397">
            <v>0.23362445414847161</v>
          </cell>
          <cell r="S397">
            <v>0.388646288209607</v>
          </cell>
          <cell r="T397">
            <v>6.5502183406113537E-2</v>
          </cell>
          <cell r="U397">
            <v>9.1703056768558958E-2</v>
          </cell>
          <cell r="V397">
            <v>9.8253275109170299E-2</v>
          </cell>
          <cell r="AC397">
            <v>0.29694323144104806</v>
          </cell>
          <cell r="AD397">
            <v>0.4366812227074236</v>
          </cell>
          <cell r="AE397">
            <v>0.32314410480349343</v>
          </cell>
          <cell r="AF397">
            <v>0.29694323144104806</v>
          </cell>
          <cell r="AM397">
            <v>0.31222707423580787</v>
          </cell>
          <cell r="AN397">
            <v>0.51965065502183405</v>
          </cell>
          <cell r="AO397">
            <v>0.35152838427947597</v>
          </cell>
          <cell r="AP397">
            <v>0.40174672489082969</v>
          </cell>
          <cell r="AW397">
            <v>0.1331877729257642</v>
          </cell>
          <cell r="AX397">
            <v>0.31222707423580787</v>
          </cell>
          <cell r="AY397">
            <v>0.64628820960698685</v>
          </cell>
          <cell r="AZ397">
            <v>0.14192139737991266</v>
          </cell>
          <cell r="BG397">
            <v>9.606986899563319E-2</v>
          </cell>
          <cell r="BH397">
            <v>0.49344978165938863</v>
          </cell>
          <cell r="BI397">
            <v>0.52620087336244536</v>
          </cell>
          <cell r="BJ397">
            <v>0.41048034934497818</v>
          </cell>
          <cell r="BQ397">
            <v>0.14847161572052403</v>
          </cell>
          <cell r="BR397">
            <v>0.42139737991266374</v>
          </cell>
          <cell r="BS397">
            <v>0.25982532751091703</v>
          </cell>
          <cell r="BT397">
            <v>0.21397379912663755</v>
          </cell>
          <cell r="BX397">
            <v>6.9868995633187769E-2</v>
          </cell>
          <cell r="CJ397">
            <v>0.31222707423580787</v>
          </cell>
          <cell r="CK397">
            <v>0.72707423580786024</v>
          </cell>
        </row>
        <row r="398">
          <cell r="A398" t="str">
            <v>Sidney Crosby</v>
          </cell>
          <cell r="B398" t="str">
            <v>PIT</v>
          </cell>
          <cell r="I398">
            <v>0.95414847161572047</v>
          </cell>
          <cell r="J398">
            <v>0.96506550218340614</v>
          </cell>
          <cell r="K398">
            <v>0.85807860262008728</v>
          </cell>
          <cell r="L398">
            <v>0.94541484716157209</v>
          </cell>
          <cell r="S398">
            <v>0.83406113537117899</v>
          </cell>
          <cell r="T398">
            <v>0.94104803493449785</v>
          </cell>
          <cell r="U398">
            <v>0.88209606986899558</v>
          </cell>
          <cell r="V398">
            <v>0.95414847161572047</v>
          </cell>
          <cell r="AC398">
            <v>0.24017467248908297</v>
          </cell>
          <cell r="AD398">
            <v>0.30349344978165937</v>
          </cell>
          <cell r="AE398">
            <v>0.5393013100436681</v>
          </cell>
          <cell r="AF398">
            <v>0.32532751091703055</v>
          </cell>
          <cell r="AM398">
            <v>0.91484716157205237</v>
          </cell>
          <cell r="AN398">
            <v>0.92576419213973804</v>
          </cell>
          <cell r="AO398">
            <v>0.91703056768558955</v>
          </cell>
          <cell r="AP398">
            <v>0.87991266375545851</v>
          </cell>
          <cell r="AW398">
            <v>0.20524017467248909</v>
          </cell>
          <cell r="AX398">
            <v>0.31659388646288211</v>
          </cell>
          <cell r="AY398">
            <v>0.65720524017467252</v>
          </cell>
          <cell r="AZ398">
            <v>0.28820960698689957</v>
          </cell>
          <cell r="BG398">
            <v>0.96506550218340614</v>
          </cell>
          <cell r="BH398">
            <v>0.94759825327510916</v>
          </cell>
          <cell r="BI398">
            <v>0.66593886462882101</v>
          </cell>
          <cell r="BJ398">
            <v>0.74672489082969429</v>
          </cell>
          <cell r="BQ398">
            <v>0.80786026200873362</v>
          </cell>
          <cell r="BR398">
            <v>0.86899563318777295</v>
          </cell>
          <cell r="BS398">
            <v>0.80786026200873362</v>
          </cell>
          <cell r="BT398">
            <v>0.86462882096069871</v>
          </cell>
          <cell r="BX398">
            <v>0.86899563318777295</v>
          </cell>
          <cell r="CJ398">
            <v>0.42794759825327511</v>
          </cell>
          <cell r="CK398">
            <v>0.46724890829694321</v>
          </cell>
        </row>
        <row r="399">
          <cell r="A399" t="str">
            <v>Simon Holmstrom</v>
          </cell>
          <cell r="B399" t="str">
            <v>NYI</v>
          </cell>
          <cell r="I399">
            <v>0.37336244541484714</v>
          </cell>
          <cell r="J399">
            <v>0.51965065502183405</v>
          </cell>
          <cell r="K399">
            <v>6.3318777292576414E-2</v>
          </cell>
          <cell r="L399">
            <v>0.39956331877729256</v>
          </cell>
          <cell r="S399">
            <v>0.51528384279475981</v>
          </cell>
          <cell r="T399">
            <v>5.0218340611353711E-2</v>
          </cell>
          <cell r="U399">
            <v>3.9301310043668124E-2</v>
          </cell>
          <cell r="V399">
            <v>0.10262008733624454</v>
          </cell>
          <cell r="AC399">
            <v>0.43231441048034935</v>
          </cell>
          <cell r="AD399">
            <v>0.86899563318777295</v>
          </cell>
          <cell r="AE399">
            <v>0.67903930131004364</v>
          </cell>
          <cell r="AF399">
            <v>0.82096069868995636</v>
          </cell>
          <cell r="AM399">
            <v>0.23362445414847161</v>
          </cell>
          <cell r="AN399">
            <v>0.17685589519650655</v>
          </cell>
          <cell r="AO399">
            <v>5.2401746724890827E-2</v>
          </cell>
          <cell r="AP399">
            <v>0.31659388646288211</v>
          </cell>
          <cell r="AW399">
            <v>0.46943231441048033</v>
          </cell>
          <cell r="AX399">
            <v>0.98034934497816595</v>
          </cell>
          <cell r="AY399">
            <v>0.25327510917030566</v>
          </cell>
          <cell r="AZ399">
            <v>0.88427947598253276</v>
          </cell>
          <cell r="BG399">
            <v>0.23580786026200873</v>
          </cell>
          <cell r="BH399">
            <v>0.62227074235807855</v>
          </cell>
          <cell r="BI399">
            <v>5.8951965065502182E-2</v>
          </cell>
          <cell r="BJ399">
            <v>0.2183406113537118</v>
          </cell>
          <cell r="BQ399">
            <v>0.37336244541484714</v>
          </cell>
          <cell r="BR399">
            <v>0.73799126637554591</v>
          </cell>
          <cell r="BS399">
            <v>0.17903930131004367</v>
          </cell>
          <cell r="BT399">
            <v>0.63318777292576423</v>
          </cell>
          <cell r="BX399">
            <v>0.38427947598253276</v>
          </cell>
          <cell r="CJ399">
            <v>0.99563318777292575</v>
          </cell>
          <cell r="CK399">
            <v>0.12445414847161572</v>
          </cell>
        </row>
        <row r="400">
          <cell r="A400" t="str">
            <v>Sonny Milano</v>
          </cell>
          <cell r="B400" t="str">
            <v>WSH</v>
          </cell>
          <cell r="I400">
            <v>0.49344978165938863</v>
          </cell>
          <cell r="J400">
            <v>0.55458515283842791</v>
          </cell>
          <cell r="K400">
            <v>0.8253275109170306</v>
          </cell>
          <cell r="L400">
            <v>0.64192139737991272</v>
          </cell>
          <cell r="S400">
            <v>0.65938864628820959</v>
          </cell>
          <cell r="T400">
            <v>0.84716157205240172</v>
          </cell>
          <cell r="U400">
            <v>0.60043668122270744</v>
          </cell>
          <cell r="V400">
            <v>0.81877729257641918</v>
          </cell>
          <cell r="AC400">
            <v>0.37336244541484714</v>
          </cell>
          <cell r="AD400">
            <v>0.26637554585152839</v>
          </cell>
          <cell r="AE400">
            <v>3.9301310043668124E-2</v>
          </cell>
          <cell r="AF400">
            <v>0.29694323144104806</v>
          </cell>
          <cell r="AM400">
            <v>0.36681222707423583</v>
          </cell>
          <cell r="AN400">
            <v>0.46288209606986902</v>
          </cell>
          <cell r="AO400">
            <v>0.77947598253275108</v>
          </cell>
          <cell r="AP400">
            <v>0.5240174672489083</v>
          </cell>
          <cell r="AW400">
            <v>0.49126637554585151</v>
          </cell>
          <cell r="AX400">
            <v>0.24017467248908297</v>
          </cell>
          <cell r="AY400">
            <v>1.9650655021834062E-2</v>
          </cell>
          <cell r="AZ400">
            <v>0.34061135371179041</v>
          </cell>
          <cell r="BG400">
            <v>0.44323144104803491</v>
          </cell>
          <cell r="BH400">
            <v>0.88209606986899558</v>
          </cell>
          <cell r="BI400">
            <v>0.9366812227074236</v>
          </cell>
          <cell r="BJ400">
            <v>0.44323144104803491</v>
          </cell>
          <cell r="BQ400">
            <v>0.42794759825327511</v>
          </cell>
          <cell r="BR400">
            <v>0.40174672489082969</v>
          </cell>
          <cell r="BS400">
            <v>0.36244541484716158</v>
          </cell>
          <cell r="BT400">
            <v>0.48908296943231439</v>
          </cell>
          <cell r="BX400">
            <v>0.51310043668122274</v>
          </cell>
          <cell r="CJ400">
            <v>0.58078602620087338</v>
          </cell>
          <cell r="CK400">
            <v>0.20742358078602621</v>
          </cell>
        </row>
        <row r="401">
          <cell r="A401" t="str">
            <v>Stefan Noesen</v>
          </cell>
          <cell r="B401" t="str">
            <v>CAR</v>
          </cell>
          <cell r="I401">
            <v>0.96288209606986896</v>
          </cell>
          <cell r="J401">
            <v>0.93231441048034935</v>
          </cell>
          <cell r="K401">
            <v>0.49781659388646288</v>
          </cell>
          <cell r="L401">
            <v>0.96943231441048039</v>
          </cell>
          <cell r="S401">
            <v>0.16812227074235808</v>
          </cell>
          <cell r="T401">
            <v>0.74672489082969429</v>
          </cell>
          <cell r="U401">
            <v>0.64192139737991272</v>
          </cell>
          <cell r="V401">
            <v>0.51310043668122274</v>
          </cell>
          <cell r="AC401">
            <v>0.99781659388646293</v>
          </cell>
          <cell r="AD401">
            <v>0.87117903930131002</v>
          </cell>
          <cell r="AE401">
            <v>0.99563318777292575</v>
          </cell>
          <cell r="AF401">
            <v>0.99126637554585151</v>
          </cell>
          <cell r="AM401">
            <v>0.73362445414847166</v>
          </cell>
          <cell r="AN401">
            <v>0.81222707423580787</v>
          </cell>
          <cell r="AO401">
            <v>0.47379912663755458</v>
          </cell>
          <cell r="AP401">
            <v>0.88646288209606983</v>
          </cell>
          <cell r="AW401">
            <v>0.93449781659388642</v>
          </cell>
          <cell r="AX401">
            <v>0.55021834061135366</v>
          </cell>
          <cell r="AY401">
            <v>0.95414847161572047</v>
          </cell>
          <cell r="AZ401">
            <v>0.80567685589519655</v>
          </cell>
          <cell r="BG401">
            <v>8.7336244541484712E-2</v>
          </cell>
          <cell r="BH401">
            <v>0.94978165938864634</v>
          </cell>
          <cell r="BI401">
            <v>0.3056768558951965</v>
          </cell>
          <cell r="BJ401">
            <v>0.77947598253275108</v>
          </cell>
          <cell r="BQ401">
            <v>0.99563318777292575</v>
          </cell>
          <cell r="BR401">
            <v>0.97161572052401746</v>
          </cell>
          <cell r="BS401">
            <v>0.98689956331877726</v>
          </cell>
          <cell r="BT401">
            <v>0.99563318777292575</v>
          </cell>
          <cell r="BX401">
            <v>0.96943231441048039</v>
          </cell>
          <cell r="CJ401">
            <v>0.6506550218340611</v>
          </cell>
          <cell r="CK401">
            <v>0.46724890829694321</v>
          </cell>
        </row>
        <row r="402">
          <cell r="A402" t="str">
            <v>Steven Lorentz</v>
          </cell>
          <cell r="B402" t="str">
            <v>S.J</v>
          </cell>
          <cell r="I402">
            <v>0.37554585152838427</v>
          </cell>
          <cell r="J402">
            <v>0.67030567685589515</v>
          </cell>
          <cell r="K402">
            <v>8.9519650655021835E-2</v>
          </cell>
          <cell r="L402">
            <v>0.53493449781659386</v>
          </cell>
          <cell r="S402">
            <v>0.388646288209607</v>
          </cell>
          <cell r="T402">
            <v>0.1703056768558952</v>
          </cell>
          <cell r="U402">
            <v>6.3318777292576414E-2</v>
          </cell>
          <cell r="V402">
            <v>0.18558951965065501</v>
          </cell>
          <cell r="AC402">
            <v>0.24890829694323144</v>
          </cell>
          <cell r="AD402">
            <v>0.38646288209606988</v>
          </cell>
          <cell r="AE402">
            <v>0.23362445414847161</v>
          </cell>
          <cell r="AF402">
            <v>0.36244541484716158</v>
          </cell>
          <cell r="AM402">
            <v>0.47161572052401746</v>
          </cell>
          <cell r="AN402">
            <v>0.2423580786026201</v>
          </cell>
          <cell r="AO402">
            <v>8.7336244541484712E-2</v>
          </cell>
          <cell r="AP402">
            <v>0.34061135371179041</v>
          </cell>
          <cell r="AW402">
            <v>0.32751091703056767</v>
          </cell>
          <cell r="AX402">
            <v>0.4366812227074236</v>
          </cell>
          <cell r="AY402">
            <v>0.73799126637554591</v>
          </cell>
          <cell r="AZ402">
            <v>0.51965065502183405</v>
          </cell>
          <cell r="BG402">
            <v>0.15283842794759825</v>
          </cell>
          <cell r="BH402">
            <v>0.25982532751091703</v>
          </cell>
          <cell r="BI402">
            <v>7.6419213973799124E-2</v>
          </cell>
          <cell r="BJ402">
            <v>5.8951965065502182E-2</v>
          </cell>
          <cell r="BQ402">
            <v>0.30131004366812225</v>
          </cell>
          <cell r="BR402">
            <v>0.53493449781659386</v>
          </cell>
          <cell r="BS402">
            <v>6.768558951965066E-2</v>
          </cell>
          <cell r="BT402">
            <v>0.44759825327510916</v>
          </cell>
          <cell r="BX402">
            <v>0.2423580786026201</v>
          </cell>
          <cell r="CJ402">
            <v>0.70960698689956336</v>
          </cell>
          <cell r="CK402">
            <v>0.12445414847161572</v>
          </cell>
        </row>
        <row r="403">
          <cell r="A403" t="str">
            <v>Steven Stamkos</v>
          </cell>
          <cell r="B403" t="str">
            <v>T.B</v>
          </cell>
          <cell r="I403">
            <v>0.62445414847161573</v>
          </cell>
          <cell r="J403">
            <v>0.80567685589519655</v>
          </cell>
          <cell r="K403">
            <v>0.89519650655021832</v>
          </cell>
          <cell r="L403">
            <v>0.75109170305676853</v>
          </cell>
          <cell r="S403">
            <v>0.72707423580786024</v>
          </cell>
          <cell r="T403">
            <v>0.8493449781659389</v>
          </cell>
          <cell r="U403">
            <v>0.8493449781659389</v>
          </cell>
          <cell r="V403">
            <v>0.84061135371179041</v>
          </cell>
          <cell r="AC403">
            <v>0.30349344978165937</v>
          </cell>
          <cell r="AD403">
            <v>0.51091703056768556</v>
          </cell>
          <cell r="AE403">
            <v>0.33187772925764192</v>
          </cell>
          <cell r="AF403">
            <v>0.28384279475982532</v>
          </cell>
          <cell r="AM403">
            <v>0.48253275109170307</v>
          </cell>
          <cell r="AN403">
            <v>0.45633187772925765</v>
          </cell>
          <cell r="AO403">
            <v>0.93013100436681218</v>
          </cell>
          <cell r="AP403">
            <v>0.51528384279475981</v>
          </cell>
          <cell r="AW403">
            <v>0.16375545851528384</v>
          </cell>
          <cell r="AX403">
            <v>0.39956331877729256</v>
          </cell>
          <cell r="AY403">
            <v>0.18995633187772926</v>
          </cell>
          <cell r="AZ403">
            <v>0.21179039301310043</v>
          </cell>
          <cell r="BG403">
            <v>0.83624454148471616</v>
          </cell>
          <cell r="BH403">
            <v>0.52620087336244536</v>
          </cell>
          <cell r="BI403">
            <v>0.92794759825327511</v>
          </cell>
          <cell r="BJ403">
            <v>0.84279475982532748</v>
          </cell>
          <cell r="BQ403">
            <v>0.49126637554585151</v>
          </cell>
          <cell r="BR403">
            <v>0.75109170305676853</v>
          </cell>
          <cell r="BS403">
            <v>0.71397379912663761</v>
          </cell>
          <cell r="BT403">
            <v>0.57423580786026196</v>
          </cell>
          <cell r="BX403">
            <v>0.52183406113537123</v>
          </cell>
          <cell r="CJ403">
            <v>0.28820960698689957</v>
          </cell>
          <cell r="CK403">
            <v>0.45851528384279477</v>
          </cell>
        </row>
        <row r="404">
          <cell r="A404" t="str">
            <v>T.J. Oshie</v>
          </cell>
          <cell r="B404" t="str">
            <v>WSH</v>
          </cell>
          <cell r="I404">
            <v>0.23362445414847161</v>
          </cell>
          <cell r="J404">
            <v>0.55458515283842791</v>
          </cell>
          <cell r="K404">
            <v>0.43231441048034935</v>
          </cell>
          <cell r="L404">
            <v>0.37336244541484714</v>
          </cell>
          <cell r="S404">
            <v>0.70524017467248912</v>
          </cell>
          <cell r="T404">
            <v>0.56113537117903933</v>
          </cell>
          <cell r="U404">
            <v>0.31004366812227074</v>
          </cell>
          <cell r="V404">
            <v>0.6266375545851528</v>
          </cell>
          <cell r="AC404">
            <v>0.26637554585152839</v>
          </cell>
          <cell r="AD404">
            <v>0.33842794759825329</v>
          </cell>
          <cell r="AE404">
            <v>0.45851528384279477</v>
          </cell>
          <cell r="AF404">
            <v>0.19213973799126638</v>
          </cell>
          <cell r="AM404">
            <v>0.13973799126637554</v>
          </cell>
          <cell r="AN404">
            <v>0.51091703056768556</v>
          </cell>
          <cell r="AO404">
            <v>0.41048034934497818</v>
          </cell>
          <cell r="AP404">
            <v>0.32532751091703055</v>
          </cell>
          <cell r="AW404">
            <v>0.29257641921397382</v>
          </cell>
          <cell r="AX404">
            <v>0.28602620087336245</v>
          </cell>
          <cell r="AY404">
            <v>0.68558951965065507</v>
          </cell>
          <cell r="AZ404">
            <v>0.19213973799126638</v>
          </cell>
          <cell r="BG404">
            <v>0.56550218340611358</v>
          </cell>
          <cell r="BH404">
            <v>0.6506550218340611</v>
          </cell>
          <cell r="BI404">
            <v>0.67248908296943233</v>
          </cell>
          <cell r="BJ404">
            <v>0.70960698689956336</v>
          </cell>
          <cell r="BQ404">
            <v>0.22489082969432314</v>
          </cell>
          <cell r="BR404">
            <v>0.4366812227074236</v>
          </cell>
          <cell r="BS404">
            <v>0.41921397379912662</v>
          </cell>
          <cell r="BT404">
            <v>0.27074235807860264</v>
          </cell>
          <cell r="BX404">
            <v>0.19868995633187772</v>
          </cell>
          <cell r="CJ404">
            <v>0.13755458515283842</v>
          </cell>
          <cell r="CK404">
            <v>0.94104803493449785</v>
          </cell>
        </row>
        <row r="405">
          <cell r="A405" t="str">
            <v>Tage Thompson</v>
          </cell>
          <cell r="B405" t="str">
            <v>BUF</v>
          </cell>
          <cell r="I405">
            <v>0.90829694323144106</v>
          </cell>
          <cell r="J405">
            <v>0.85152838427947597</v>
          </cell>
          <cell r="K405">
            <v>0.9759825327510917</v>
          </cell>
          <cell r="L405">
            <v>0.90611353711790388</v>
          </cell>
          <cell r="S405">
            <v>0.9759825327510917</v>
          </cell>
          <cell r="T405">
            <v>0.97161572052401746</v>
          </cell>
          <cell r="U405">
            <v>0.96506550218340614</v>
          </cell>
          <cell r="V405">
            <v>0.98908296943231444</v>
          </cell>
          <cell r="AC405">
            <v>0.21397379912663755</v>
          </cell>
          <cell r="AD405">
            <v>4.148471615720524E-2</v>
          </cell>
          <cell r="AE405">
            <v>9.8253275109170299E-2</v>
          </cell>
          <cell r="AF405">
            <v>5.6768558951965066E-2</v>
          </cell>
          <cell r="AM405">
            <v>0.96506550218340614</v>
          </cell>
          <cell r="AN405">
            <v>0.9606986899563319</v>
          </cell>
          <cell r="AO405">
            <v>0.95851528384279472</v>
          </cell>
          <cell r="AP405">
            <v>0.95196506550218341</v>
          </cell>
          <cell r="AW405">
            <v>0.11790393013100436</v>
          </cell>
          <cell r="AX405">
            <v>3.7117903930131008E-2</v>
          </cell>
          <cell r="AY405">
            <v>0.24017467248908297</v>
          </cell>
          <cell r="AZ405">
            <v>2.6200873362445413E-2</v>
          </cell>
          <cell r="BG405">
            <v>0.82096069868995636</v>
          </cell>
          <cell r="BH405">
            <v>0.97161572052401746</v>
          </cell>
          <cell r="BI405">
            <v>0.8973799126637555</v>
          </cell>
          <cell r="BJ405">
            <v>0.68340611353711789</v>
          </cell>
          <cell r="BQ405">
            <v>0.72489082969432317</v>
          </cell>
          <cell r="BR405">
            <v>0.44759825327510916</v>
          </cell>
          <cell r="BS405">
            <v>0.65283842794759828</v>
          </cell>
          <cell r="BT405">
            <v>0.53711790393013104</v>
          </cell>
          <cell r="BX405">
            <v>0.80131004366812231</v>
          </cell>
          <cell r="CJ405">
            <v>0.29912663755458513</v>
          </cell>
          <cell r="CK405">
            <v>0.78165938864628826</v>
          </cell>
        </row>
        <row r="406">
          <cell r="A406" t="str">
            <v>Tanner Jeannot</v>
          </cell>
          <cell r="B406" t="str">
            <v>NSH, T.B</v>
          </cell>
          <cell r="I406">
            <v>0.5240174672489083</v>
          </cell>
          <cell r="J406">
            <v>0.74454148471615722</v>
          </cell>
          <cell r="K406">
            <v>0.2205240174672489</v>
          </cell>
          <cell r="L406">
            <v>0.64192139737991272</v>
          </cell>
          <cell r="S406">
            <v>9.8253275109170299E-2</v>
          </cell>
          <cell r="T406">
            <v>0.31877729257641924</v>
          </cell>
          <cell r="U406">
            <v>0.21615720524017468</v>
          </cell>
          <cell r="V406">
            <v>0.13755458515283842</v>
          </cell>
          <cell r="AC406">
            <v>0.29257641921397382</v>
          </cell>
          <cell r="AD406">
            <v>0.43449781659388648</v>
          </cell>
          <cell r="AE406">
            <v>0.5</v>
          </cell>
          <cell r="AF406">
            <v>0.32532751091703055</v>
          </cell>
          <cell r="AM406">
            <v>0.41048034934497818</v>
          </cell>
          <cell r="AN406">
            <v>0.71179039301310043</v>
          </cell>
          <cell r="AO406">
            <v>0.29694323144104806</v>
          </cell>
          <cell r="AP406">
            <v>0.5240174672489083</v>
          </cell>
          <cell r="AW406">
            <v>0.42794759825327511</v>
          </cell>
          <cell r="AX406">
            <v>0.54366812227074235</v>
          </cell>
          <cell r="AY406">
            <v>0.41484716157205243</v>
          </cell>
          <cell r="AZ406">
            <v>0.44978165938864628</v>
          </cell>
          <cell r="BG406">
            <v>0.3930131004366812</v>
          </cell>
          <cell r="BH406">
            <v>0.32096069868995636</v>
          </cell>
          <cell r="BI406">
            <v>0.16157205240174671</v>
          </cell>
          <cell r="BJ406">
            <v>0.34061135371179041</v>
          </cell>
          <cell r="BQ406">
            <v>0.39956331877729256</v>
          </cell>
          <cell r="BR406">
            <v>0.64847161572052403</v>
          </cell>
          <cell r="BS406">
            <v>0.2576419213973799</v>
          </cell>
          <cell r="BT406">
            <v>0.50655021834061131</v>
          </cell>
          <cell r="BX406">
            <v>0.29475982532751094</v>
          </cell>
          <cell r="CJ406">
            <v>4.5851528384279479E-2</v>
          </cell>
          <cell r="CK406">
            <v>0.8973799126637555</v>
          </cell>
        </row>
        <row r="407">
          <cell r="A407" t="str">
            <v>Tanner Laczynski</v>
          </cell>
          <cell r="B407" t="str">
            <v>PHI</v>
          </cell>
          <cell r="I407">
            <v>1.7467248908296942E-2</v>
          </cell>
          <cell r="J407">
            <v>2.1834061135371178E-3</v>
          </cell>
          <cell r="K407">
            <v>6.5502183406113534E-3</v>
          </cell>
          <cell r="L407">
            <v>4.3668122270742356E-3</v>
          </cell>
          <cell r="S407">
            <v>0.16812227074235808</v>
          </cell>
          <cell r="T407">
            <v>2.6200873362445413E-2</v>
          </cell>
          <cell r="U407">
            <v>9.606986899563319E-2</v>
          </cell>
          <cell r="V407">
            <v>2.4017467248908297E-2</v>
          </cell>
          <cell r="AC407">
            <v>0.83624454148471616</v>
          </cell>
          <cell r="AD407">
            <v>0.87991266375545851</v>
          </cell>
          <cell r="AE407">
            <v>0.79475982532751088</v>
          </cell>
          <cell r="AF407">
            <v>0.90393013100436681</v>
          </cell>
          <cell r="AM407">
            <v>1.7467248908296942E-2</v>
          </cell>
          <cell r="AN407">
            <v>1.0917030567685589E-2</v>
          </cell>
          <cell r="AO407">
            <v>1.7467248908296942E-2</v>
          </cell>
          <cell r="AP407">
            <v>2.6200873362445413E-2</v>
          </cell>
          <cell r="AW407">
            <v>0.95414847161572047</v>
          </cell>
          <cell r="AX407">
            <v>0.83842794759825323</v>
          </cell>
          <cell r="AY407">
            <v>0.78384279475982532</v>
          </cell>
          <cell r="AZ407">
            <v>0.87991266375545851</v>
          </cell>
          <cell r="BG407">
            <v>5.0218340611353711E-2</v>
          </cell>
          <cell r="BH407">
            <v>0.34497816593886466</v>
          </cell>
          <cell r="BI407">
            <v>1.0917030567685589E-2</v>
          </cell>
          <cell r="BJ407">
            <v>4.8034934497816595E-2</v>
          </cell>
          <cell r="BQ407">
            <v>0.13755458515283842</v>
          </cell>
          <cell r="BR407">
            <v>1.9650655021834062E-2</v>
          </cell>
          <cell r="BS407">
            <v>1.7467248908296942E-2</v>
          </cell>
          <cell r="BT407">
            <v>7.2052401746724892E-2</v>
          </cell>
          <cell r="BX407">
            <v>0.14192139737991266</v>
          </cell>
          <cell r="CJ407">
            <v>0.93886462882096067</v>
          </cell>
          <cell r="CK407">
            <v>9.606986899563319E-2</v>
          </cell>
        </row>
        <row r="408">
          <cell r="A408" t="str">
            <v>Taylor Hall</v>
          </cell>
          <cell r="B408" t="str">
            <v>BOS</v>
          </cell>
          <cell r="I408">
            <v>0.77947598253275108</v>
          </cell>
          <cell r="J408">
            <v>0.60698689956331875</v>
          </cell>
          <cell r="K408">
            <v>0.70524017467248912</v>
          </cell>
          <cell r="L408">
            <v>0.63318777292576423</v>
          </cell>
          <cell r="S408">
            <v>0.53493449781659386</v>
          </cell>
          <cell r="T408">
            <v>0.74672489082969429</v>
          </cell>
          <cell r="U408">
            <v>0.75109170305676853</v>
          </cell>
          <cell r="V408">
            <v>0.6746724890829694</v>
          </cell>
          <cell r="AC408">
            <v>0.48471615720524019</v>
          </cell>
          <cell r="AD408">
            <v>0.59170305676855894</v>
          </cell>
          <cell r="AE408">
            <v>0.76419213973799127</v>
          </cell>
          <cell r="AF408">
            <v>0.63755458515283847</v>
          </cell>
          <cell r="AM408">
            <v>0.67248908296943233</v>
          </cell>
          <cell r="AN408">
            <v>0.33842794759825329</v>
          </cell>
          <cell r="AO408">
            <v>0.41048034934497818</v>
          </cell>
          <cell r="AP408">
            <v>0.47379912663755458</v>
          </cell>
          <cell r="AW408">
            <v>0.20742358078602621</v>
          </cell>
          <cell r="AX408">
            <v>0.26855895196506552</v>
          </cell>
          <cell r="AY408">
            <v>0.14192139737991266</v>
          </cell>
          <cell r="AZ408">
            <v>0.22707423580786026</v>
          </cell>
          <cell r="BG408">
            <v>0.6506550218340611</v>
          </cell>
          <cell r="BH408">
            <v>0.65938864628820959</v>
          </cell>
          <cell r="BI408">
            <v>0.611353711790393</v>
          </cell>
          <cell r="BJ408">
            <v>0.74672489082969429</v>
          </cell>
          <cell r="BQ408">
            <v>0.68340611353711789</v>
          </cell>
          <cell r="BR408">
            <v>0.59606986899563319</v>
          </cell>
          <cell r="BS408">
            <v>0.83187772925764192</v>
          </cell>
          <cell r="BT408">
            <v>0.67903930131004364</v>
          </cell>
          <cell r="BX408">
            <v>0.6266375545851528</v>
          </cell>
          <cell r="CJ408">
            <v>0.40393013100436681</v>
          </cell>
          <cell r="CK408">
            <v>0.78165938864628826</v>
          </cell>
        </row>
        <row r="409">
          <cell r="A409" t="str">
            <v>Taylor Raddysh</v>
          </cell>
          <cell r="B409" t="str">
            <v>CHI</v>
          </cell>
          <cell r="I409">
            <v>0.15938864628820962</v>
          </cell>
          <cell r="J409">
            <v>0.18995633187772926</v>
          </cell>
          <cell r="K409">
            <v>0.17467248908296942</v>
          </cell>
          <cell r="L409">
            <v>0.22270742358078602</v>
          </cell>
          <cell r="S409">
            <v>0.56986899563318782</v>
          </cell>
          <cell r="T409">
            <v>9.1703056768558958E-2</v>
          </cell>
          <cell r="U409">
            <v>7.8602620087336247E-2</v>
          </cell>
          <cell r="V409">
            <v>0.17248908296943233</v>
          </cell>
          <cell r="AC409">
            <v>0.33624454148471616</v>
          </cell>
          <cell r="AD409">
            <v>0.29475982532751094</v>
          </cell>
          <cell r="AE409">
            <v>0.59825327510917026</v>
          </cell>
          <cell r="AF409">
            <v>0.34934497816593885</v>
          </cell>
          <cell r="AM409">
            <v>0.64847161572052403</v>
          </cell>
          <cell r="AN409">
            <v>0.72489082969432317</v>
          </cell>
          <cell r="AO409">
            <v>0.44323144104803491</v>
          </cell>
          <cell r="AP409">
            <v>0.69650655021834063</v>
          </cell>
          <cell r="AW409">
            <v>0.84061135371179041</v>
          </cell>
          <cell r="AX409">
            <v>0.5873362445414847</v>
          </cell>
          <cell r="AY409">
            <v>0.94323144104803491</v>
          </cell>
          <cell r="AZ409">
            <v>0.76200873362445409</v>
          </cell>
          <cell r="BG409">
            <v>0.66812227074235808</v>
          </cell>
          <cell r="BH409">
            <v>0.40174672489082969</v>
          </cell>
          <cell r="BI409">
            <v>0.21615720524017468</v>
          </cell>
          <cell r="BJ409">
            <v>0.35807860262008734</v>
          </cell>
          <cell r="BQ409">
            <v>0.18777292576419213</v>
          </cell>
          <cell r="BR409">
            <v>0.19213973799126638</v>
          </cell>
          <cell r="BS409">
            <v>0.2423580786026201</v>
          </cell>
          <cell r="BT409">
            <v>0.2183406113537118</v>
          </cell>
          <cell r="BX409">
            <v>0.36026200873362446</v>
          </cell>
          <cell r="CJ409">
            <v>0.76855895196506552</v>
          </cell>
          <cell r="CK409">
            <v>0.19213973799126638</v>
          </cell>
        </row>
        <row r="410">
          <cell r="A410" t="str">
            <v>Teddy Blueger</v>
          </cell>
          <cell r="B410" t="str">
            <v>PIT, VGK</v>
          </cell>
          <cell r="I410">
            <v>0.30786026200873362</v>
          </cell>
          <cell r="J410">
            <v>0.51528384279475981</v>
          </cell>
          <cell r="K410">
            <v>0.1331877729257642</v>
          </cell>
          <cell r="L410">
            <v>0.42358078602620086</v>
          </cell>
          <cell r="S410">
            <v>6.3318777292576414E-2</v>
          </cell>
          <cell r="T410">
            <v>0.48689956331877732</v>
          </cell>
          <cell r="U410">
            <v>0.70305676855895194</v>
          </cell>
          <cell r="V410">
            <v>0.17248908296943233</v>
          </cell>
          <cell r="AC410">
            <v>0.44104803493449779</v>
          </cell>
          <cell r="AD410">
            <v>0.39519650655021832</v>
          </cell>
          <cell r="AE410">
            <v>0.27510917030567683</v>
          </cell>
          <cell r="AF410">
            <v>0.43013100436681223</v>
          </cell>
          <cell r="AM410">
            <v>9.3886462882096067E-2</v>
          </cell>
          <cell r="AN410">
            <v>0.20960698689956331</v>
          </cell>
          <cell r="AO410">
            <v>8.0786026200873357E-2</v>
          </cell>
          <cell r="AP410">
            <v>0.17248908296943233</v>
          </cell>
          <cell r="AW410">
            <v>0.80131004366812231</v>
          </cell>
          <cell r="AX410">
            <v>0.83406113537117899</v>
          </cell>
          <cell r="AY410">
            <v>0.15938864628820962</v>
          </cell>
          <cell r="AZ410">
            <v>0.84279475982532748</v>
          </cell>
          <cell r="BG410">
            <v>0.20742358078602621</v>
          </cell>
          <cell r="BH410">
            <v>8.7336244541484712E-3</v>
          </cell>
          <cell r="BI410">
            <v>9.8253275109170299E-2</v>
          </cell>
          <cell r="BJ410">
            <v>6.3318777292576414E-2</v>
          </cell>
          <cell r="BQ410">
            <v>0.33842794759825329</v>
          </cell>
          <cell r="BR410">
            <v>0.44104803493449779</v>
          </cell>
          <cell r="BS410">
            <v>9.1703056768558958E-2</v>
          </cell>
          <cell r="BT410">
            <v>0.39519650655021832</v>
          </cell>
          <cell r="BX410">
            <v>0.24017467248908297</v>
          </cell>
          <cell r="CJ410">
            <v>0.67903930131004364</v>
          </cell>
          <cell r="CK410">
            <v>0.36244541484716158</v>
          </cell>
        </row>
        <row r="411">
          <cell r="A411" t="str">
            <v>Teuvo Teravainen</v>
          </cell>
          <cell r="B411" t="str">
            <v>CAR</v>
          </cell>
          <cell r="I411">
            <v>0.77947598253275108</v>
          </cell>
          <cell r="J411">
            <v>0.6026200873362445</v>
          </cell>
          <cell r="K411">
            <v>0.60043668122270744</v>
          </cell>
          <cell r="L411">
            <v>0.65283842794759828</v>
          </cell>
          <cell r="S411">
            <v>7.4235807860262015E-2</v>
          </cell>
          <cell r="T411">
            <v>0.69868995633187769</v>
          </cell>
          <cell r="U411">
            <v>0.85589519650655022</v>
          </cell>
          <cell r="V411">
            <v>0.38209606986899564</v>
          </cell>
          <cell r="AC411">
            <v>0.96724890829694321</v>
          </cell>
          <cell r="AD411">
            <v>0.71834061135371174</v>
          </cell>
          <cell r="AE411">
            <v>0.66812227074235808</v>
          </cell>
          <cell r="AF411">
            <v>0.94978165938864634</v>
          </cell>
          <cell r="AM411">
            <v>7.8602620087336247E-2</v>
          </cell>
          <cell r="AN411">
            <v>3.4934497816593885E-2</v>
          </cell>
          <cell r="AO411">
            <v>0.45851528384279477</v>
          </cell>
          <cell r="AP411">
            <v>7.8602620087336247E-2</v>
          </cell>
          <cell r="AW411">
            <v>0.39082969432314413</v>
          </cell>
          <cell r="AX411">
            <v>0.27510917030567683</v>
          </cell>
          <cell r="AY411">
            <v>0.45196506550218341</v>
          </cell>
          <cell r="AZ411">
            <v>0.38209606986899564</v>
          </cell>
          <cell r="BG411">
            <v>0.48034934497816595</v>
          </cell>
          <cell r="BH411">
            <v>0.93231441048034935</v>
          </cell>
          <cell r="BI411">
            <v>0.51528384279475981</v>
          </cell>
          <cell r="BJ411">
            <v>0.46288209606986902</v>
          </cell>
          <cell r="BQ411">
            <v>0.94759825327510916</v>
          </cell>
          <cell r="BR411">
            <v>0.67030567685589515</v>
          </cell>
          <cell r="BS411">
            <v>0.69213973799126638</v>
          </cell>
          <cell r="BT411">
            <v>0.88646288209606983</v>
          </cell>
          <cell r="BX411">
            <v>0.57205240174672489</v>
          </cell>
          <cell r="CJ411">
            <v>0.79475982532751088</v>
          </cell>
          <cell r="CK411">
            <v>4.3668122270742356E-3</v>
          </cell>
        </row>
        <row r="412">
          <cell r="A412" t="str">
            <v>Tim Stützle</v>
          </cell>
          <cell r="B412" t="str">
            <v>OTT</v>
          </cell>
          <cell r="I412">
            <v>0.95633187772925765</v>
          </cell>
          <cell r="J412">
            <v>0.9126637554585153</v>
          </cell>
          <cell r="K412">
            <v>0.85152838427947597</v>
          </cell>
          <cell r="L412">
            <v>0.92139737991266379</v>
          </cell>
          <cell r="S412">
            <v>0.82751091703056767</v>
          </cell>
          <cell r="T412">
            <v>0.8493449781659389</v>
          </cell>
          <cell r="U412">
            <v>0.78165938864628826</v>
          </cell>
          <cell r="V412">
            <v>0.8973799126637555</v>
          </cell>
          <cell r="AC412">
            <v>0.4606986899563319</v>
          </cell>
          <cell r="AD412">
            <v>0.47379912663755458</v>
          </cell>
          <cell r="AE412">
            <v>9.8253275109170299E-2</v>
          </cell>
          <cell r="AF412">
            <v>0.34279475982532753</v>
          </cell>
          <cell r="AM412">
            <v>0.95196506550218341</v>
          </cell>
          <cell r="AN412">
            <v>0.96506550218340614</v>
          </cell>
          <cell r="AO412">
            <v>0.93886462882096067</v>
          </cell>
          <cell r="AP412">
            <v>0.9606986899563319</v>
          </cell>
          <cell r="AW412">
            <v>0.40829694323144106</v>
          </cell>
          <cell r="AX412">
            <v>0.47379912663755458</v>
          </cell>
          <cell r="AY412">
            <v>6.1135371179039298E-2</v>
          </cell>
          <cell r="AZ412">
            <v>0.26637554585152839</v>
          </cell>
          <cell r="BG412">
            <v>0.94759825327510916</v>
          </cell>
          <cell r="BH412">
            <v>0.8733624454148472</v>
          </cell>
          <cell r="BI412">
            <v>0.67685589519650657</v>
          </cell>
          <cell r="BJ412">
            <v>0.24672489082969432</v>
          </cell>
          <cell r="BQ412">
            <v>0.89082969432314407</v>
          </cell>
          <cell r="BR412">
            <v>0.86026200873362446</v>
          </cell>
          <cell r="BS412">
            <v>0.46506550218340609</v>
          </cell>
          <cell r="BT412">
            <v>0.84279475982532748</v>
          </cell>
          <cell r="BX412">
            <v>0.93013100436681218</v>
          </cell>
          <cell r="CJ412">
            <v>0.21615720524017468</v>
          </cell>
          <cell r="CK412">
            <v>0.89519650655021832</v>
          </cell>
        </row>
        <row r="413">
          <cell r="A413" t="str">
            <v>Timo Meier</v>
          </cell>
          <cell r="B413" t="str">
            <v>N.J, S.J</v>
          </cell>
          <cell r="I413">
            <v>0.88427947598253276</v>
          </cell>
          <cell r="J413">
            <v>0.99126637554585151</v>
          </cell>
          <cell r="K413">
            <v>0.78602620087336239</v>
          </cell>
          <cell r="L413">
            <v>0.96943231441048039</v>
          </cell>
          <cell r="S413">
            <v>0.86244541484716153</v>
          </cell>
          <cell r="T413">
            <v>0.27074235807860264</v>
          </cell>
          <cell r="U413">
            <v>0.38646288209606988</v>
          </cell>
          <cell r="V413">
            <v>0.62882096069868998</v>
          </cell>
          <cell r="AC413">
            <v>0.5873362445414847</v>
          </cell>
          <cell r="AD413">
            <v>0.70960698689956336</v>
          </cell>
          <cell r="AE413">
            <v>0.22707423580786026</v>
          </cell>
          <cell r="AF413">
            <v>0.65502183406113534</v>
          </cell>
          <cell r="AM413">
            <v>0.94323144104803491</v>
          </cell>
          <cell r="AN413">
            <v>0.93013100436681218</v>
          </cell>
          <cell r="AO413">
            <v>0.76419213973799127</v>
          </cell>
          <cell r="AP413">
            <v>0.95414847161572047</v>
          </cell>
          <cell r="AW413">
            <v>0.5633187772925764</v>
          </cell>
          <cell r="AX413">
            <v>0.4759825327510917</v>
          </cell>
          <cell r="AY413">
            <v>0.45196506550218341</v>
          </cell>
          <cell r="AZ413">
            <v>0.53493449781659386</v>
          </cell>
          <cell r="BG413">
            <v>0.96724890829694321</v>
          </cell>
          <cell r="BH413">
            <v>0.86244541484716153</v>
          </cell>
          <cell r="BI413">
            <v>0.62227074235807855</v>
          </cell>
          <cell r="BJ413">
            <v>0.3056768558951965</v>
          </cell>
          <cell r="BQ413">
            <v>0.84279475982532748</v>
          </cell>
          <cell r="BR413">
            <v>0.96943231441048039</v>
          </cell>
          <cell r="BS413">
            <v>0.53275109170305679</v>
          </cell>
          <cell r="BT413">
            <v>0.94104803493449785</v>
          </cell>
          <cell r="BX413">
            <v>0.92358078602620086</v>
          </cell>
          <cell r="CJ413">
            <v>0.32532751091703055</v>
          </cell>
          <cell r="CK413">
            <v>0.73580786026200873</v>
          </cell>
        </row>
        <row r="414">
          <cell r="A414" t="str">
            <v>Tom Wilson</v>
          </cell>
          <cell r="B414" t="str">
            <v>WSH</v>
          </cell>
          <cell r="I414">
            <v>0.55021834061135366</v>
          </cell>
          <cell r="J414">
            <v>0.28820960698689957</v>
          </cell>
          <cell r="K414">
            <v>0.65502183406113534</v>
          </cell>
          <cell r="L414">
            <v>0.37336244541484714</v>
          </cell>
          <cell r="S414">
            <v>0.55676855895196509</v>
          </cell>
          <cell r="T414">
            <v>0.40393013100436681</v>
          </cell>
          <cell r="U414">
            <v>0.52183406113537123</v>
          </cell>
          <cell r="V414">
            <v>0.44978165938864628</v>
          </cell>
          <cell r="AC414">
            <v>0.16593886462882096</v>
          </cell>
          <cell r="AD414">
            <v>1.7467248908296942E-2</v>
          </cell>
          <cell r="AE414">
            <v>1.0917030567685589E-2</v>
          </cell>
          <cell r="AF414">
            <v>5.6768558951965066E-2</v>
          </cell>
          <cell r="AM414">
            <v>0.46724890829694321</v>
          </cell>
          <cell r="AN414">
            <v>0.18122270742358079</v>
          </cell>
          <cell r="AO414">
            <v>0.56113537117903933</v>
          </cell>
          <cell r="AP414">
            <v>0.27947598253275108</v>
          </cell>
          <cell r="AW414">
            <v>0.29039301310043669</v>
          </cell>
          <cell r="AX414">
            <v>1.7467248908296942E-2</v>
          </cell>
          <cell r="AY414">
            <v>4.5851528384279479E-2</v>
          </cell>
          <cell r="AZ414">
            <v>8.9519650655021835E-2</v>
          </cell>
          <cell r="BG414">
            <v>0.68122270742358082</v>
          </cell>
          <cell r="BH414">
            <v>0.888646288209607</v>
          </cell>
          <cell r="BI414">
            <v>0.78384279475982532</v>
          </cell>
          <cell r="BJ414">
            <v>0.1091703056768559</v>
          </cell>
          <cell r="BQ414">
            <v>0.3296943231441048</v>
          </cell>
          <cell r="BR414">
            <v>6.3318777292576414E-2</v>
          </cell>
          <cell r="BS414">
            <v>0.18777292576419213</v>
          </cell>
          <cell r="BT414">
            <v>0.14847161572052403</v>
          </cell>
          <cell r="BX414">
            <v>0.18558951965065501</v>
          </cell>
          <cell r="CJ414">
            <v>1.3100436681222707E-2</v>
          </cell>
          <cell r="CK414">
            <v>0.94978165938864634</v>
          </cell>
        </row>
        <row r="415">
          <cell r="A415" t="str">
            <v>Tomas Hertl</v>
          </cell>
          <cell r="B415" t="str">
            <v>S.J</v>
          </cell>
          <cell r="I415">
            <v>0.70524017467248912</v>
          </cell>
          <cell r="J415">
            <v>0.96943231441048039</v>
          </cell>
          <cell r="K415">
            <v>0.61790393013100442</v>
          </cell>
          <cell r="L415">
            <v>0.88427947598253276</v>
          </cell>
          <cell r="S415">
            <v>0.51528384279475981</v>
          </cell>
          <cell r="T415">
            <v>0.59606986899563319</v>
          </cell>
          <cell r="U415">
            <v>0.45851528384279477</v>
          </cell>
          <cell r="V415">
            <v>0.55240174672489084</v>
          </cell>
          <cell r="AC415">
            <v>0.37554585152838427</v>
          </cell>
          <cell r="AD415">
            <v>0.29475982532751094</v>
          </cell>
          <cell r="AE415">
            <v>5.8951965065502182E-2</v>
          </cell>
          <cell r="AF415">
            <v>0.20087336244541484</v>
          </cell>
          <cell r="AM415">
            <v>0.85152838427947597</v>
          </cell>
          <cell r="AN415">
            <v>0.9366812227074236</v>
          </cell>
          <cell r="AO415">
            <v>0.69868995633187769</v>
          </cell>
          <cell r="AP415">
            <v>0.89519650655021832</v>
          </cell>
          <cell r="AW415">
            <v>0.5</v>
          </cell>
          <cell r="AX415">
            <v>0.30786026200873362</v>
          </cell>
          <cell r="AY415">
            <v>0.3056768558951965</v>
          </cell>
          <cell r="AZ415">
            <v>0.28820960698689957</v>
          </cell>
          <cell r="BG415">
            <v>0.94323144104803491</v>
          </cell>
          <cell r="BH415">
            <v>0.60043668122270744</v>
          </cell>
          <cell r="BI415">
            <v>0.58078602620087338</v>
          </cell>
          <cell r="BJ415">
            <v>0.15938864628820962</v>
          </cell>
          <cell r="BQ415">
            <v>0.58296943231441045</v>
          </cell>
          <cell r="BR415">
            <v>0.87117903930131002</v>
          </cell>
          <cell r="BS415">
            <v>0.25109170305676853</v>
          </cell>
          <cell r="BT415">
            <v>0.72270742358078599</v>
          </cell>
          <cell r="BX415">
            <v>0.68995633187772931</v>
          </cell>
          <cell r="CJ415">
            <v>0.35371179039301309</v>
          </cell>
          <cell r="CK415">
            <v>0.40829694323144106</v>
          </cell>
        </row>
        <row r="416">
          <cell r="A416" t="str">
            <v>Tomas Nosek</v>
          </cell>
          <cell r="B416" t="str">
            <v>BOS</v>
          </cell>
          <cell r="I416">
            <v>0.11135371179039301</v>
          </cell>
          <cell r="J416">
            <v>0.32314410480349343</v>
          </cell>
          <cell r="K416">
            <v>0.18558951965065501</v>
          </cell>
          <cell r="L416">
            <v>0.15283842794759825</v>
          </cell>
          <cell r="S416">
            <v>0.14847161572052403</v>
          </cell>
          <cell r="T416">
            <v>0.51528384279475981</v>
          </cell>
          <cell r="U416">
            <v>0.39519650655021832</v>
          </cell>
          <cell r="V416">
            <v>0.26637554585152839</v>
          </cell>
          <cell r="AC416">
            <v>0.65502183406113534</v>
          </cell>
          <cell r="AD416">
            <v>0.6266375545851528</v>
          </cell>
          <cell r="AE416">
            <v>0.98689956331877726</v>
          </cell>
          <cell r="AF416">
            <v>0.68340611353711789</v>
          </cell>
          <cell r="AM416">
            <v>1.3100436681222707E-2</v>
          </cell>
          <cell r="AN416">
            <v>0.11135371179039301</v>
          </cell>
          <cell r="AO416">
            <v>2.8384279475982533E-2</v>
          </cell>
          <cell r="AP416">
            <v>5.0218340611353711E-2</v>
          </cell>
          <cell r="AW416">
            <v>0.40174672489082969</v>
          </cell>
          <cell r="AX416">
            <v>0.38209606986899564</v>
          </cell>
          <cell r="AY416">
            <v>0.81222707423580787</v>
          </cell>
          <cell r="AZ416">
            <v>0.32532751091703055</v>
          </cell>
          <cell r="BG416">
            <v>0.11353711790393013</v>
          </cell>
          <cell r="BH416">
            <v>2.1834061135371178E-3</v>
          </cell>
          <cell r="BI416">
            <v>0.27292576419213976</v>
          </cell>
          <cell r="BJ416">
            <v>0.87991266375545851</v>
          </cell>
          <cell r="BQ416">
            <v>0.25109170305676853</v>
          </cell>
          <cell r="BR416">
            <v>0.42139737991266374</v>
          </cell>
          <cell r="BS416">
            <v>0.87117903930131002</v>
          </cell>
          <cell r="BT416">
            <v>0.3056768558951965</v>
          </cell>
          <cell r="BX416">
            <v>0.16157205240174671</v>
          </cell>
          <cell r="CJ416">
            <v>0.12663755458515283</v>
          </cell>
          <cell r="CK416">
            <v>0.30349344978165937</v>
          </cell>
        </row>
        <row r="417">
          <cell r="A417" t="str">
            <v>Tomas Tatar</v>
          </cell>
          <cell r="B417" t="str">
            <v>N.J</v>
          </cell>
          <cell r="I417">
            <v>0.93886462882096067</v>
          </cell>
          <cell r="J417">
            <v>0.97379912663755464</v>
          </cell>
          <cell r="K417">
            <v>0.91048034934497812</v>
          </cell>
          <cell r="L417">
            <v>0.98689956331877726</v>
          </cell>
          <cell r="S417">
            <v>0.70960698689956336</v>
          </cell>
          <cell r="T417">
            <v>0.66812227074235808</v>
          </cell>
          <cell r="U417">
            <v>0.27947598253275108</v>
          </cell>
          <cell r="V417">
            <v>0.71397379912663761</v>
          </cell>
          <cell r="AC417">
            <v>0.9366812227074236</v>
          </cell>
          <cell r="AD417">
            <v>0.98034934497816595</v>
          </cell>
          <cell r="AE417">
            <v>0.94978165938864634</v>
          </cell>
          <cell r="AF417">
            <v>0.96943231441048039</v>
          </cell>
          <cell r="AM417">
            <v>0.85807860262008728</v>
          </cell>
          <cell r="AN417">
            <v>0.89519650655021832</v>
          </cell>
          <cell r="AO417">
            <v>0.81659388646288211</v>
          </cell>
          <cell r="AP417">
            <v>0.90393013100436681</v>
          </cell>
          <cell r="AW417">
            <v>0.87554585152838427</v>
          </cell>
          <cell r="AX417">
            <v>0.85807860262008728</v>
          </cell>
          <cell r="AY417">
            <v>0.94541484716157209</v>
          </cell>
          <cell r="AZ417">
            <v>0.91048034934497812</v>
          </cell>
          <cell r="BG417">
            <v>0.68558951965065507</v>
          </cell>
          <cell r="BH417">
            <v>0.39737991266375544</v>
          </cell>
          <cell r="BI417">
            <v>0.71615720524017468</v>
          </cell>
          <cell r="BJ417">
            <v>0.9126637554585153</v>
          </cell>
          <cell r="BQ417">
            <v>0.95633187772925765</v>
          </cell>
          <cell r="BR417">
            <v>0.99563318777292575</v>
          </cell>
          <cell r="BS417">
            <v>0.99126637554585151</v>
          </cell>
          <cell r="BT417">
            <v>0.99126637554585151</v>
          </cell>
          <cell r="BX417">
            <v>0.99126637554585151</v>
          </cell>
          <cell r="CJ417">
            <v>0.55021834061135366</v>
          </cell>
          <cell r="CK417">
            <v>0.12445414847161572</v>
          </cell>
        </row>
        <row r="418">
          <cell r="A418" t="str">
            <v>Tommy Novak</v>
          </cell>
          <cell r="B418" t="str">
            <v>NSH</v>
          </cell>
          <cell r="I418">
            <v>0.64192139737991272</v>
          </cell>
          <cell r="J418">
            <v>0.57205240174672489</v>
          </cell>
          <cell r="K418">
            <v>0.90393013100436681</v>
          </cell>
          <cell r="L418">
            <v>0.81222707423580787</v>
          </cell>
          <cell r="S418">
            <v>0.87991266375545851</v>
          </cell>
          <cell r="T418">
            <v>0.96724890829694321</v>
          </cell>
          <cell r="U418">
            <v>0.96724890829694321</v>
          </cell>
          <cell r="V418">
            <v>0.97161572052401746</v>
          </cell>
          <cell r="AC418">
            <v>2.8384279475982533E-2</v>
          </cell>
          <cell r="AD418">
            <v>5.6768558951965066E-2</v>
          </cell>
          <cell r="AE418">
            <v>0.27947598253275108</v>
          </cell>
          <cell r="AF418">
            <v>1.5283842794759825E-2</v>
          </cell>
          <cell r="AM418">
            <v>0.82969432314410485</v>
          </cell>
          <cell r="AN418">
            <v>0.58296943231441045</v>
          </cell>
          <cell r="AO418">
            <v>0.95414847161572047</v>
          </cell>
          <cell r="AP418">
            <v>0.87991266375545851</v>
          </cell>
          <cell r="AW418">
            <v>5.0218340611353711E-2</v>
          </cell>
          <cell r="AX418">
            <v>7.2052401746724892E-2</v>
          </cell>
          <cell r="AY418">
            <v>0.13100436681222707</v>
          </cell>
          <cell r="AZ418">
            <v>1.3100436681222707E-2</v>
          </cell>
          <cell r="BG418">
            <v>0.36026200873362446</v>
          </cell>
          <cell r="BH418">
            <v>0.9759825327510917</v>
          </cell>
          <cell r="BI418">
            <v>0.92576419213973804</v>
          </cell>
          <cell r="BJ418">
            <v>0.93013100436681218</v>
          </cell>
          <cell r="BQ418">
            <v>0.18340611353711792</v>
          </cell>
          <cell r="BR418">
            <v>0.23580786026200873</v>
          </cell>
          <cell r="BS418">
            <v>0.67685589519650657</v>
          </cell>
          <cell r="BT418">
            <v>0.23362445414847161</v>
          </cell>
          <cell r="BX418">
            <v>0.55240174672489084</v>
          </cell>
          <cell r="CJ418">
            <v>0.8733624454148472</v>
          </cell>
          <cell r="CK418">
            <v>0.6746724890829694</v>
          </cell>
        </row>
        <row r="419">
          <cell r="A419" t="str">
            <v>Travis Boyd</v>
          </cell>
          <cell r="B419" t="str">
            <v>ARI</v>
          </cell>
          <cell r="I419">
            <v>0.1091703056768559</v>
          </cell>
          <cell r="J419">
            <v>0.13100436681222707</v>
          </cell>
          <cell r="K419">
            <v>0.34934497816593885</v>
          </cell>
          <cell r="L419">
            <v>0.15065502183406113</v>
          </cell>
          <cell r="S419">
            <v>0.54585152838427953</v>
          </cell>
          <cell r="T419">
            <v>0.13100436681222707</v>
          </cell>
          <cell r="U419">
            <v>0.16157205240174671</v>
          </cell>
          <cell r="V419">
            <v>0.20524017467248909</v>
          </cell>
          <cell r="AC419">
            <v>0.10698689956331878</v>
          </cell>
          <cell r="AD419">
            <v>6.9868995633187769E-2</v>
          </cell>
          <cell r="AE419">
            <v>4.3668122270742356E-2</v>
          </cell>
          <cell r="AF419">
            <v>0.10043668122270742</v>
          </cell>
          <cell r="AM419">
            <v>0.4126637554585153</v>
          </cell>
          <cell r="AN419">
            <v>0.37772925764192139</v>
          </cell>
          <cell r="AO419">
            <v>0.49126637554585151</v>
          </cell>
          <cell r="AP419">
            <v>0.45196506550218341</v>
          </cell>
          <cell r="AW419">
            <v>0.17685589519650655</v>
          </cell>
          <cell r="AX419">
            <v>4.3668122270742356E-2</v>
          </cell>
          <cell r="AY419">
            <v>1.5283842794759825E-2</v>
          </cell>
          <cell r="AZ419">
            <v>8.0786026200873357E-2</v>
          </cell>
          <cell r="BG419">
            <v>0.59606986899563319</v>
          </cell>
          <cell r="BH419">
            <v>0.29039301310043669</v>
          </cell>
          <cell r="BI419">
            <v>0.72707423580786024</v>
          </cell>
          <cell r="BJ419">
            <v>0.34061135371179041</v>
          </cell>
          <cell r="BQ419">
            <v>7.2052401746724892E-2</v>
          </cell>
          <cell r="BR419">
            <v>5.458515283842795E-2</v>
          </cell>
          <cell r="BS419">
            <v>0.11572052401746726</v>
          </cell>
          <cell r="BT419">
            <v>8.296943231441048E-2</v>
          </cell>
          <cell r="BX419">
            <v>5.2401746724890827E-2</v>
          </cell>
          <cell r="CJ419">
            <v>0.63100436681222705</v>
          </cell>
          <cell r="CK419">
            <v>0.39519650655021832</v>
          </cell>
        </row>
        <row r="420">
          <cell r="A420" t="str">
            <v>Travis Konecny</v>
          </cell>
          <cell r="B420" t="str">
            <v>PHI</v>
          </cell>
          <cell r="I420">
            <v>0.70305676855895194</v>
          </cell>
          <cell r="J420">
            <v>0.48253275109170307</v>
          </cell>
          <cell r="K420">
            <v>0.54803493449781659</v>
          </cell>
          <cell r="L420">
            <v>0.59606986899563319</v>
          </cell>
          <cell r="S420">
            <v>0.92358078602620086</v>
          </cell>
          <cell r="T420">
            <v>0.61353711790393017</v>
          </cell>
          <cell r="U420">
            <v>0.78165938864628826</v>
          </cell>
          <cell r="V420">
            <v>0.86244541484716153</v>
          </cell>
          <cell r="AC420">
            <v>0.1703056768558952</v>
          </cell>
          <cell r="AD420">
            <v>5.0218340611353711E-2</v>
          </cell>
          <cell r="AE420">
            <v>0.21615720524017468</v>
          </cell>
          <cell r="AF420">
            <v>0.1222707423580786</v>
          </cell>
          <cell r="AM420">
            <v>0.79257641921397382</v>
          </cell>
          <cell r="AN420">
            <v>0.65938864628820959</v>
          </cell>
          <cell r="AO420">
            <v>0.77292576419213976</v>
          </cell>
          <cell r="AP420">
            <v>0.77729257641921401</v>
          </cell>
          <cell r="AW420">
            <v>0.18340611353711792</v>
          </cell>
          <cell r="AX420">
            <v>2.4017467248908297E-2</v>
          </cell>
          <cell r="AY420">
            <v>0.11353711790393013</v>
          </cell>
          <cell r="AZ420">
            <v>4.8034934497816595E-2</v>
          </cell>
          <cell r="BG420">
            <v>0.90174672489082974</v>
          </cell>
          <cell r="BH420">
            <v>0.51746724890829698</v>
          </cell>
          <cell r="BI420">
            <v>0.51528384279475981</v>
          </cell>
          <cell r="BJ420">
            <v>0.35807860262008734</v>
          </cell>
          <cell r="BQ420">
            <v>0.45633187772925765</v>
          </cell>
          <cell r="BR420">
            <v>0.19868995633187772</v>
          </cell>
          <cell r="BS420">
            <v>0.34934497816593885</v>
          </cell>
          <cell r="BT420">
            <v>0.31004366812227074</v>
          </cell>
          <cell r="BX420">
            <v>0.51091703056768556</v>
          </cell>
          <cell r="CJ420">
            <v>0.11572052401746726</v>
          </cell>
          <cell r="CK420">
            <v>0.9759825327510917</v>
          </cell>
        </row>
        <row r="421">
          <cell r="A421" t="str">
            <v>Trent Frederic</v>
          </cell>
          <cell r="B421" t="str">
            <v>BOS</v>
          </cell>
          <cell r="I421">
            <v>0.51965065502183405</v>
          </cell>
          <cell r="J421">
            <v>0.74890829694323147</v>
          </cell>
          <cell r="K421">
            <v>0.84497816593886466</v>
          </cell>
          <cell r="L421">
            <v>0.67030567685589515</v>
          </cell>
          <cell r="S421">
            <v>0.84716157205240172</v>
          </cell>
          <cell r="T421">
            <v>0.44978165938864628</v>
          </cell>
          <cell r="U421">
            <v>0.31004366812227074</v>
          </cell>
          <cell r="V421">
            <v>0.72707423580786024</v>
          </cell>
          <cell r="AC421">
            <v>0.71179039301310043</v>
          </cell>
          <cell r="AD421">
            <v>0.83406113537117899</v>
          </cell>
          <cell r="AE421">
            <v>0.95633187772925765</v>
          </cell>
          <cell r="AF421">
            <v>0.85371179039301315</v>
          </cell>
          <cell r="AM421">
            <v>0.33624454148471616</v>
          </cell>
          <cell r="AN421">
            <v>0.66812227074235808</v>
          </cell>
          <cell r="AO421">
            <v>0.5633187772925764</v>
          </cell>
          <cell r="AP421">
            <v>0.54148471615720528</v>
          </cell>
          <cell r="AW421">
            <v>0.59170305676855894</v>
          </cell>
          <cell r="AX421">
            <v>0.74672489082969429</v>
          </cell>
          <cell r="AY421">
            <v>0.67248908296943233</v>
          </cell>
          <cell r="AZ421">
            <v>0.72052401746724892</v>
          </cell>
          <cell r="BG421">
            <v>0.32096069868995636</v>
          </cell>
          <cell r="BH421">
            <v>0.20960698689956331</v>
          </cell>
          <cell r="BI421">
            <v>0.88209606986899558</v>
          </cell>
          <cell r="BJ421">
            <v>0.98471615720524019</v>
          </cell>
          <cell r="BQ421">
            <v>0.61572052401746724</v>
          </cell>
          <cell r="BR421">
            <v>0.85807860262008728</v>
          </cell>
          <cell r="BS421">
            <v>0.98471615720524019</v>
          </cell>
          <cell r="BT421">
            <v>0.8253275109170306</v>
          </cell>
          <cell r="BX421">
            <v>0.75545851528384278</v>
          </cell>
          <cell r="CJ421">
            <v>0.23799126637554585</v>
          </cell>
          <cell r="CK421">
            <v>0.73580786026200873</v>
          </cell>
        </row>
        <row r="422">
          <cell r="A422" t="str">
            <v>Trevor Lewis</v>
          </cell>
          <cell r="B422" t="str">
            <v>CGY</v>
          </cell>
          <cell r="I422">
            <v>0.77292576419213976</v>
          </cell>
          <cell r="J422">
            <v>0.30349344978165937</v>
          </cell>
          <cell r="K422">
            <v>0.2183406113537118</v>
          </cell>
          <cell r="L422">
            <v>0.29694323144104806</v>
          </cell>
          <cell r="S422">
            <v>0.20742358078602621</v>
          </cell>
          <cell r="T422">
            <v>0.37336244541484714</v>
          </cell>
          <cell r="U422">
            <v>0.45851528384279477</v>
          </cell>
          <cell r="V422">
            <v>0.22270742358078602</v>
          </cell>
          <cell r="AC422">
            <v>0.94541484716157209</v>
          </cell>
          <cell r="AD422">
            <v>0.76200873362445409</v>
          </cell>
          <cell r="AE422">
            <v>0.4366812227074236</v>
          </cell>
          <cell r="AF422">
            <v>0.90174672489082974</v>
          </cell>
          <cell r="AM422">
            <v>0.15720524017467249</v>
          </cell>
          <cell r="AN422">
            <v>0.14628820960698691</v>
          </cell>
          <cell r="AO422">
            <v>0.10480349344978165</v>
          </cell>
          <cell r="AP422">
            <v>4.8034934497816595E-2</v>
          </cell>
          <cell r="AW422">
            <v>0.61790393013100442</v>
          </cell>
          <cell r="AX422">
            <v>0.46288209606986902</v>
          </cell>
          <cell r="AY422">
            <v>0.46724890829694321</v>
          </cell>
          <cell r="AZ422">
            <v>0.72052401746724892</v>
          </cell>
          <cell r="BG422">
            <v>0.15502183406113537</v>
          </cell>
          <cell r="BH422">
            <v>0.64192139737991272</v>
          </cell>
          <cell r="BI422">
            <v>6.9868995633187769E-2</v>
          </cell>
          <cell r="BJ422">
            <v>3.7117903930131008E-2</v>
          </cell>
          <cell r="BQ422">
            <v>0.92576419213973804</v>
          </cell>
          <cell r="BR422">
            <v>0.46506550218340609</v>
          </cell>
          <cell r="BS422">
            <v>0.21615720524017468</v>
          </cell>
          <cell r="BT422">
            <v>0.6026200873362445</v>
          </cell>
          <cell r="BX422">
            <v>0.48471615720524019</v>
          </cell>
          <cell r="CJ422">
            <v>0.56550218340611358</v>
          </cell>
          <cell r="CK422">
            <v>1.5283842794759825E-2</v>
          </cell>
        </row>
        <row r="423">
          <cell r="A423" t="str">
            <v>Trevor Moore</v>
          </cell>
          <cell r="B423" t="str">
            <v>L.A</v>
          </cell>
          <cell r="I423">
            <v>0.82096069868995636</v>
          </cell>
          <cell r="J423">
            <v>0.64847161572052403</v>
          </cell>
          <cell r="K423">
            <v>0.18340611353711792</v>
          </cell>
          <cell r="L423">
            <v>0.63318777292576423</v>
          </cell>
          <cell r="S423">
            <v>0.24454148471615719</v>
          </cell>
          <cell r="T423">
            <v>0.43231441048034935</v>
          </cell>
          <cell r="U423">
            <v>0.58078602620087338</v>
          </cell>
          <cell r="V423">
            <v>0.27510917030567683</v>
          </cell>
          <cell r="AC423">
            <v>0.90174672489082974</v>
          </cell>
          <cell r="AD423">
            <v>0.888646288209607</v>
          </cell>
          <cell r="AE423">
            <v>0.66812227074235808</v>
          </cell>
          <cell r="AF423">
            <v>0.92139737991266379</v>
          </cell>
          <cell r="AM423">
            <v>0.68777292576419213</v>
          </cell>
          <cell r="AN423">
            <v>0.4126637554585153</v>
          </cell>
          <cell r="AO423">
            <v>0.12882096069868995</v>
          </cell>
          <cell r="AP423">
            <v>0.56986899563318782</v>
          </cell>
          <cell r="AW423">
            <v>0.66812227074235808</v>
          </cell>
          <cell r="AX423">
            <v>0.68995633187772931</v>
          </cell>
          <cell r="AY423">
            <v>0.49781659388646288</v>
          </cell>
          <cell r="AZ423">
            <v>0.65502183406113534</v>
          </cell>
          <cell r="BG423">
            <v>0.69432314410480345</v>
          </cell>
          <cell r="BH423">
            <v>0.37117903930131002</v>
          </cell>
          <cell r="BI423">
            <v>6.1135371179039298E-2</v>
          </cell>
          <cell r="BJ423">
            <v>0.10043668122270742</v>
          </cell>
          <cell r="BQ423">
            <v>0.91703056768558955</v>
          </cell>
          <cell r="BR423">
            <v>0.81877729257641918</v>
          </cell>
          <cell r="BS423">
            <v>0.30131004366812225</v>
          </cell>
          <cell r="BT423">
            <v>0.84497816593886466</v>
          </cell>
          <cell r="BX423">
            <v>0.79475982532751088</v>
          </cell>
          <cell r="CJ423">
            <v>0.83842794759825323</v>
          </cell>
          <cell r="CK423">
            <v>0.2576419213973799</v>
          </cell>
        </row>
        <row r="424">
          <cell r="A424" t="str">
            <v>Trevor Zegras</v>
          </cell>
          <cell r="B424" t="str">
            <v>ANA</v>
          </cell>
          <cell r="I424">
            <v>0.48689956331877732</v>
          </cell>
          <cell r="J424">
            <v>0.36899563318777295</v>
          </cell>
          <cell r="K424">
            <v>0.66157205240174677</v>
          </cell>
          <cell r="L424">
            <v>0.46943231441048033</v>
          </cell>
          <cell r="S424">
            <v>0.65938864628820959</v>
          </cell>
          <cell r="T424">
            <v>0.75545851528384278</v>
          </cell>
          <cell r="U424">
            <v>0.86244541484716153</v>
          </cell>
          <cell r="V424">
            <v>0.75764192139737996</v>
          </cell>
          <cell r="AC424">
            <v>5.8951965065502182E-2</v>
          </cell>
          <cell r="AD424">
            <v>1.5283842794759825E-2</v>
          </cell>
          <cell r="AE424">
            <v>2.4017467248908297E-2</v>
          </cell>
          <cell r="AF424">
            <v>2.1834061135371178E-2</v>
          </cell>
          <cell r="AM424">
            <v>0.87991266375545851</v>
          </cell>
          <cell r="AN424">
            <v>0.71179039301310043</v>
          </cell>
          <cell r="AO424">
            <v>0.89519650655021832</v>
          </cell>
          <cell r="AP424">
            <v>0.84716157205240172</v>
          </cell>
          <cell r="AW424">
            <v>0.8493449781659389</v>
          </cell>
          <cell r="AX424">
            <v>0.40829694323144106</v>
          </cell>
          <cell r="AY424">
            <v>0.16812227074235808</v>
          </cell>
          <cell r="AZ424">
            <v>0.36462882096069871</v>
          </cell>
          <cell r="BG424">
            <v>0.9606986899563319</v>
          </cell>
          <cell r="BH424">
            <v>0.98471615720524019</v>
          </cell>
          <cell r="BI424">
            <v>0.77947598253275108</v>
          </cell>
          <cell r="BJ424">
            <v>0.49126637554585151</v>
          </cell>
          <cell r="BQ424">
            <v>0.16812227074235808</v>
          </cell>
          <cell r="BR424">
            <v>8.5152838427947602E-2</v>
          </cell>
          <cell r="BS424">
            <v>0.22925764192139739</v>
          </cell>
          <cell r="BT424">
            <v>0.12008733624454149</v>
          </cell>
          <cell r="BX424">
            <v>0.54803493449781659</v>
          </cell>
          <cell r="CJ424">
            <v>0.17685589519650655</v>
          </cell>
          <cell r="CK424">
            <v>0.77074235807860259</v>
          </cell>
        </row>
        <row r="425">
          <cell r="A425" t="str">
            <v>Troy Terry</v>
          </cell>
          <cell r="B425" t="str">
            <v>ANA</v>
          </cell>
          <cell r="I425">
            <v>0.46288209606986902</v>
          </cell>
          <cell r="J425">
            <v>0.55458515283842791</v>
          </cell>
          <cell r="K425">
            <v>0.76855895196506552</v>
          </cell>
          <cell r="L425">
            <v>0.55458515283842791</v>
          </cell>
          <cell r="S425">
            <v>0.6026200873362445</v>
          </cell>
          <cell r="T425">
            <v>0.93231441048034935</v>
          </cell>
          <cell r="U425">
            <v>0.86244541484716153</v>
          </cell>
          <cell r="V425">
            <v>0.87554585152838427</v>
          </cell>
          <cell r="AC425">
            <v>0.16812227074235808</v>
          </cell>
          <cell r="AD425">
            <v>6.3318777292576414E-2</v>
          </cell>
          <cell r="AE425">
            <v>0.1943231441048035</v>
          </cell>
          <cell r="AF425">
            <v>0.10698689956331878</v>
          </cell>
          <cell r="AM425">
            <v>0.83624454148471616</v>
          </cell>
          <cell r="AN425">
            <v>0.90611353711790388</v>
          </cell>
          <cell r="AO425">
            <v>0.9606986899563319</v>
          </cell>
          <cell r="AP425">
            <v>0.93231441048034935</v>
          </cell>
          <cell r="AW425">
            <v>0.97816593886462877</v>
          </cell>
          <cell r="AX425">
            <v>0.86244541484716153</v>
          </cell>
          <cell r="AY425">
            <v>0.59825327510917026</v>
          </cell>
          <cell r="AZ425">
            <v>0.8973799126637555</v>
          </cell>
          <cell r="BG425">
            <v>0.97379912663755464</v>
          </cell>
          <cell r="BH425">
            <v>0.73799126637554591</v>
          </cell>
          <cell r="BI425">
            <v>0.86899563318777295</v>
          </cell>
          <cell r="BJ425">
            <v>0.77947598253275108</v>
          </cell>
          <cell r="BQ425">
            <v>0.29475982532751094</v>
          </cell>
          <cell r="BR425">
            <v>0.24672489082969432</v>
          </cell>
          <cell r="BS425">
            <v>0.48034934497816595</v>
          </cell>
          <cell r="BT425">
            <v>0.2816593886462882</v>
          </cell>
          <cell r="BX425">
            <v>0.66593886462882101</v>
          </cell>
          <cell r="CJ425">
            <v>0.73362445414847166</v>
          </cell>
          <cell r="CK425">
            <v>0.88427947598253276</v>
          </cell>
        </row>
        <row r="426">
          <cell r="A426" t="str">
            <v>Ty Dellandrea</v>
          </cell>
          <cell r="B426" t="str">
            <v>DAL</v>
          </cell>
          <cell r="I426">
            <v>0.48471615720524019</v>
          </cell>
          <cell r="J426">
            <v>0.28602620087336245</v>
          </cell>
          <cell r="K426">
            <v>0.51965065502183405</v>
          </cell>
          <cell r="L426">
            <v>0.2816593886462882</v>
          </cell>
          <cell r="S426">
            <v>0.26419213973799127</v>
          </cell>
          <cell r="T426">
            <v>0.55458515283842791</v>
          </cell>
          <cell r="U426">
            <v>0.51091703056768556</v>
          </cell>
          <cell r="V426">
            <v>0.39956331877729256</v>
          </cell>
          <cell r="AC426">
            <v>0.60043668122270744</v>
          </cell>
          <cell r="AD426">
            <v>0.73144104803493448</v>
          </cell>
          <cell r="AE426">
            <v>0.45414847161572053</v>
          </cell>
          <cell r="AF426">
            <v>0.69868995633187769</v>
          </cell>
          <cell r="AM426">
            <v>0.39956331877729256</v>
          </cell>
          <cell r="AN426">
            <v>0.11353711790393013</v>
          </cell>
          <cell r="AO426">
            <v>0.49563318777292575</v>
          </cell>
          <cell r="AP426">
            <v>0.19213973799126638</v>
          </cell>
          <cell r="AW426">
            <v>0.48253275109170307</v>
          </cell>
          <cell r="AX426">
            <v>0.40611353711790393</v>
          </cell>
          <cell r="AY426">
            <v>0.14628820960698691</v>
          </cell>
          <cell r="AZ426">
            <v>0.44978165938864628</v>
          </cell>
          <cell r="BG426">
            <v>0.44104803493449779</v>
          </cell>
          <cell r="BH426">
            <v>0.48253275109170307</v>
          </cell>
          <cell r="BI426">
            <v>0.63537117903930129</v>
          </cell>
          <cell r="BJ426">
            <v>0.53711790393013104</v>
          </cell>
          <cell r="BQ426">
            <v>0.5240174672489083</v>
          </cell>
          <cell r="BR426">
            <v>0.43231441048034935</v>
          </cell>
          <cell r="BS426">
            <v>0.48471615720524019</v>
          </cell>
          <cell r="BT426">
            <v>0.43013100436681223</v>
          </cell>
          <cell r="BX426">
            <v>0.388646288209607</v>
          </cell>
          <cell r="CJ426">
            <v>0.17248908296943233</v>
          </cell>
          <cell r="CK426">
            <v>0.81877729257641918</v>
          </cell>
        </row>
        <row r="427">
          <cell r="A427" t="str">
            <v>Tyler Bertuzzi</v>
          </cell>
          <cell r="B427" t="str">
            <v>BOS, DET</v>
          </cell>
          <cell r="I427">
            <v>0.87117903930131002</v>
          </cell>
          <cell r="J427">
            <v>0.73362445414847166</v>
          </cell>
          <cell r="K427">
            <v>0.77510917030567683</v>
          </cell>
          <cell r="L427">
            <v>0.83624454148471616</v>
          </cell>
          <cell r="S427">
            <v>0.1222707423580786</v>
          </cell>
          <cell r="T427">
            <v>0.86462882096069871</v>
          </cell>
          <cell r="U427">
            <v>0.88209606986899558</v>
          </cell>
          <cell r="V427">
            <v>0.59606986899563319</v>
          </cell>
          <cell r="AC427">
            <v>0.37554585152838427</v>
          </cell>
          <cell r="AD427">
            <v>0.21397379912663755</v>
          </cell>
          <cell r="AE427">
            <v>0.17467248908296942</v>
          </cell>
          <cell r="AF427">
            <v>0.37554585152838427</v>
          </cell>
          <cell r="AM427">
            <v>0.98034934497816595</v>
          </cell>
          <cell r="AN427">
            <v>0.91484716157205237</v>
          </cell>
          <cell r="AO427">
            <v>0.60480349344978168</v>
          </cell>
          <cell r="AP427">
            <v>0.9366812227074236</v>
          </cell>
          <cell r="AW427">
            <v>0.28384279475982532</v>
          </cell>
          <cell r="AX427">
            <v>7.4235807860262015E-2</v>
          </cell>
          <cell r="AY427">
            <v>1.0917030567685589E-2</v>
          </cell>
          <cell r="AZ427">
            <v>0.16375545851528384</v>
          </cell>
          <cell r="BG427">
            <v>0.69213973799126638</v>
          </cell>
          <cell r="BH427">
            <v>0.72925764192139741</v>
          </cell>
          <cell r="BI427">
            <v>0.5873362445414847</v>
          </cell>
          <cell r="BJ427">
            <v>0.29039301310043669</v>
          </cell>
          <cell r="BQ427">
            <v>0.74672489082969429</v>
          </cell>
          <cell r="BR427">
            <v>0.49781659388646288</v>
          </cell>
          <cell r="BS427">
            <v>0.46943231441048033</v>
          </cell>
          <cell r="BT427">
            <v>0.70960698689956336</v>
          </cell>
          <cell r="BX427">
            <v>0.75764192139737996</v>
          </cell>
          <cell r="CJ427">
            <v>0.57641921397379914</v>
          </cell>
          <cell r="CK427">
            <v>0.38646288209606988</v>
          </cell>
        </row>
        <row r="428">
          <cell r="A428" t="str">
            <v>Tyler Johnson</v>
          </cell>
          <cell r="B428" t="str">
            <v>CHI</v>
          </cell>
          <cell r="I428">
            <v>0.11572052401746726</v>
          </cell>
          <cell r="J428">
            <v>5.8951965065502182E-2</v>
          </cell>
          <cell r="K428">
            <v>0.21615720524017468</v>
          </cell>
          <cell r="L428">
            <v>0.1331877729257642</v>
          </cell>
          <cell r="S428">
            <v>0.26419213973799127</v>
          </cell>
          <cell r="T428">
            <v>0.4606986899563319</v>
          </cell>
          <cell r="U428">
            <v>0.42358078602620086</v>
          </cell>
          <cell r="V428">
            <v>0.32096069868995636</v>
          </cell>
          <cell r="AC428">
            <v>0.33187772925764192</v>
          </cell>
          <cell r="AD428">
            <v>0.53275109170305679</v>
          </cell>
          <cell r="AE428">
            <v>0.26419213973799127</v>
          </cell>
          <cell r="AF428">
            <v>0.37554585152838427</v>
          </cell>
          <cell r="AM428">
            <v>0.36026200873362446</v>
          </cell>
          <cell r="AN428">
            <v>0.35807860262008734</v>
          </cell>
          <cell r="AO428">
            <v>0.38646288209606988</v>
          </cell>
          <cell r="AP428">
            <v>0.47379912663755458</v>
          </cell>
          <cell r="AW428">
            <v>0.57860262008733621</v>
          </cell>
          <cell r="AX428">
            <v>0.70742358078602618</v>
          </cell>
          <cell r="AY428">
            <v>0.55895196506550215</v>
          </cell>
          <cell r="AZ428">
            <v>0.51965065502183405</v>
          </cell>
          <cell r="BG428">
            <v>0.71615720524017468</v>
          </cell>
          <cell r="BH428">
            <v>0.58951965065502188</v>
          </cell>
          <cell r="BI428">
            <v>0.32532751091703055</v>
          </cell>
          <cell r="BJ428">
            <v>0.24672489082969432</v>
          </cell>
          <cell r="BQ428">
            <v>0.14628820960698691</v>
          </cell>
          <cell r="BR428">
            <v>0.14847161572052403</v>
          </cell>
          <cell r="BS428">
            <v>0.14410480349344978</v>
          </cell>
          <cell r="BT428">
            <v>0.17685589519650655</v>
          </cell>
          <cell r="BX428">
            <v>0.18777292576419213</v>
          </cell>
          <cell r="CJ428">
            <v>0.74672489082969429</v>
          </cell>
          <cell r="CK428">
            <v>4.148471615720524E-2</v>
          </cell>
        </row>
        <row r="429">
          <cell r="A429" t="str">
            <v>Tyler Motte</v>
          </cell>
          <cell r="B429" t="str">
            <v>NYR, OTT</v>
          </cell>
          <cell r="I429">
            <v>0.24890829694323144</v>
          </cell>
          <cell r="J429">
            <v>0.6266375545851528</v>
          </cell>
          <cell r="K429">
            <v>0.27510917030567683</v>
          </cell>
          <cell r="L429">
            <v>0.51528384279475981</v>
          </cell>
          <cell r="S429">
            <v>0.34934497816593885</v>
          </cell>
          <cell r="T429">
            <v>0.60917030567685593</v>
          </cell>
          <cell r="U429">
            <v>0.65938864628820959</v>
          </cell>
          <cell r="V429">
            <v>0.51310043668122274</v>
          </cell>
          <cell r="AC429">
            <v>0.25109170305676853</v>
          </cell>
          <cell r="AD429">
            <v>0.49344978165938863</v>
          </cell>
          <cell r="AE429">
            <v>0.77947598253275108</v>
          </cell>
          <cell r="AF429">
            <v>0.25327510917030566</v>
          </cell>
          <cell r="AM429">
            <v>0.13100436681222707</v>
          </cell>
          <cell r="AN429">
            <v>0.38209606986899564</v>
          </cell>
          <cell r="AO429">
            <v>0.30349344978165937</v>
          </cell>
          <cell r="AP429">
            <v>0.34934497816593885</v>
          </cell>
          <cell r="AW429">
            <v>0.21397379912663755</v>
          </cell>
          <cell r="AX429">
            <v>0.73799126637554591</v>
          </cell>
          <cell r="AY429">
            <v>0.74672489082969429</v>
          </cell>
          <cell r="AZ429">
            <v>0.35807860262008734</v>
          </cell>
          <cell r="BG429">
            <v>0.15938864628820962</v>
          </cell>
          <cell r="BH429">
            <v>0.18995633187772926</v>
          </cell>
          <cell r="BI429">
            <v>0.33406113537117904</v>
          </cell>
          <cell r="BJ429">
            <v>0.72925764192139741</v>
          </cell>
          <cell r="BQ429">
            <v>0.20742358078602621</v>
          </cell>
          <cell r="BR429">
            <v>0.54585152838427953</v>
          </cell>
          <cell r="BS429">
            <v>0.48471615720524019</v>
          </cell>
          <cell r="BT429">
            <v>0.37991266375545851</v>
          </cell>
          <cell r="BX429">
            <v>0.1965065502183406</v>
          </cell>
          <cell r="CJ429">
            <v>0.888646288209607</v>
          </cell>
          <cell r="CK429">
            <v>0.94323144104803491</v>
          </cell>
        </row>
        <row r="430">
          <cell r="A430" t="str">
            <v>Tyler Pitlick</v>
          </cell>
          <cell r="B430" t="str">
            <v>STL</v>
          </cell>
          <cell r="I430">
            <v>8.5152838427947602E-2</v>
          </cell>
          <cell r="J430">
            <v>0.15065502183406113</v>
          </cell>
          <cell r="K430">
            <v>0.38209606986899564</v>
          </cell>
          <cell r="L430">
            <v>9.3886462882096067E-2</v>
          </cell>
          <cell r="S430">
            <v>0.56986899563318782</v>
          </cell>
          <cell r="T430">
            <v>0.48689956331877732</v>
          </cell>
          <cell r="U430">
            <v>0.69650655021834063</v>
          </cell>
          <cell r="V430">
            <v>0.50218340611353707</v>
          </cell>
          <cell r="AC430">
            <v>0.62882096069868998</v>
          </cell>
          <cell r="AD430">
            <v>0.74235807860262004</v>
          </cell>
          <cell r="AE430">
            <v>0.6266375545851528</v>
          </cell>
          <cell r="AF430">
            <v>0.62008733624454149</v>
          </cell>
          <cell r="AM430">
            <v>0.1331877729257642</v>
          </cell>
          <cell r="AN430">
            <v>0.40174672489082969</v>
          </cell>
          <cell r="AO430">
            <v>0.3296943231441048</v>
          </cell>
          <cell r="AP430">
            <v>0.20305676855895197</v>
          </cell>
          <cell r="AW430">
            <v>0.88646288209606983</v>
          </cell>
          <cell r="AX430">
            <v>0.9366812227074236</v>
          </cell>
          <cell r="AY430">
            <v>0.90829694323144106</v>
          </cell>
          <cell r="AZ430">
            <v>0.92576419213973804</v>
          </cell>
          <cell r="BG430">
            <v>0.11790393013100436</v>
          </cell>
          <cell r="BH430">
            <v>0.17467248908296942</v>
          </cell>
          <cell r="BI430">
            <v>0.66812227074235808</v>
          </cell>
          <cell r="BJ430">
            <v>0.59388646288209612</v>
          </cell>
          <cell r="BQ430">
            <v>0.2183406113537118</v>
          </cell>
          <cell r="BR430">
            <v>0.30349344978165937</v>
          </cell>
          <cell r="BS430">
            <v>0.48471615720524019</v>
          </cell>
          <cell r="BT430">
            <v>0.20087336244541484</v>
          </cell>
          <cell r="BX430">
            <v>0.35152838427947597</v>
          </cell>
          <cell r="CJ430">
            <v>0.51965065502183405</v>
          </cell>
          <cell r="CK430">
            <v>0.66375545851528384</v>
          </cell>
        </row>
        <row r="431">
          <cell r="A431" t="str">
            <v>Tyler Seguin</v>
          </cell>
          <cell r="B431" t="str">
            <v>DAL</v>
          </cell>
          <cell r="I431">
            <v>0.78602620087336239</v>
          </cell>
          <cell r="J431">
            <v>0.59170305676855894</v>
          </cell>
          <cell r="K431">
            <v>0.51528384279475981</v>
          </cell>
          <cell r="L431">
            <v>0.68777292576419213</v>
          </cell>
          <cell r="S431">
            <v>0.44323144104803491</v>
          </cell>
          <cell r="T431">
            <v>0.8253275109170306</v>
          </cell>
          <cell r="U431">
            <v>0.60043668122270744</v>
          </cell>
          <cell r="V431">
            <v>0.70742358078602618</v>
          </cell>
          <cell r="AC431">
            <v>0.69868995633187769</v>
          </cell>
          <cell r="AD431">
            <v>0.60480349344978168</v>
          </cell>
          <cell r="AE431">
            <v>0.45851528384279477</v>
          </cell>
          <cell r="AF431">
            <v>0.75109170305676853</v>
          </cell>
          <cell r="AM431">
            <v>0.78165938864628826</v>
          </cell>
          <cell r="AN431">
            <v>0.40393013100436681</v>
          </cell>
          <cell r="AO431">
            <v>0.4759825327510917</v>
          </cell>
          <cell r="AP431">
            <v>0.62445414847161573</v>
          </cell>
          <cell r="AW431">
            <v>0.63973799126637554</v>
          </cell>
          <cell r="AX431">
            <v>0.27729257641921395</v>
          </cell>
          <cell r="AY431">
            <v>9.3886462882096067E-2</v>
          </cell>
          <cell r="AZ431">
            <v>0.51091703056768556</v>
          </cell>
          <cell r="BG431">
            <v>0.58515283842794763</v>
          </cell>
          <cell r="BH431">
            <v>0.40393013100436681</v>
          </cell>
          <cell r="BI431">
            <v>0.39519650655021832</v>
          </cell>
          <cell r="BJ431">
            <v>0.35807860262008734</v>
          </cell>
          <cell r="BQ431">
            <v>0.80349344978165937</v>
          </cell>
          <cell r="BR431">
            <v>0.59606986899563319</v>
          </cell>
          <cell r="BS431">
            <v>0.48471615720524019</v>
          </cell>
          <cell r="BT431">
            <v>0.77947598253275108</v>
          </cell>
          <cell r="BX431">
            <v>0.85589519650655022</v>
          </cell>
          <cell r="CJ431">
            <v>0.58078602620087338</v>
          </cell>
          <cell r="CK431">
            <v>0.39519650655021832</v>
          </cell>
        </row>
        <row r="432">
          <cell r="A432" t="str">
            <v>Tyler Toffoli</v>
          </cell>
          <cell r="B432" t="str">
            <v>CGY</v>
          </cell>
          <cell r="I432">
            <v>0.95196506550218341</v>
          </cell>
          <cell r="J432">
            <v>0.56550218340611358</v>
          </cell>
          <cell r="K432">
            <v>0.92139737991266379</v>
          </cell>
          <cell r="L432">
            <v>0.89082969432314407</v>
          </cell>
          <cell r="S432">
            <v>0.87991266375545851</v>
          </cell>
          <cell r="T432">
            <v>0.77510917030567683</v>
          </cell>
          <cell r="U432">
            <v>0.41048034934497818</v>
          </cell>
          <cell r="V432">
            <v>0.91048034934497812</v>
          </cell>
          <cell r="AC432">
            <v>0.95196506550218341</v>
          </cell>
          <cell r="AD432">
            <v>0.94104803493449785</v>
          </cell>
          <cell r="AE432">
            <v>0.69213973799126638</v>
          </cell>
          <cell r="AF432">
            <v>0.93449781659388642</v>
          </cell>
          <cell r="AM432">
            <v>0.74017467248908297</v>
          </cell>
          <cell r="AN432">
            <v>0.43449781659388648</v>
          </cell>
          <cell r="AO432">
            <v>0.90393013100436681</v>
          </cell>
          <cell r="AP432">
            <v>0.77729257641921401</v>
          </cell>
          <cell r="AW432">
            <v>0.63973799126637554</v>
          </cell>
          <cell r="AX432">
            <v>0.87554585152838427</v>
          </cell>
          <cell r="AY432">
            <v>0.78384279475982532</v>
          </cell>
          <cell r="AZ432">
            <v>0.81004366812227069</v>
          </cell>
          <cell r="BG432">
            <v>0.48689956331877732</v>
          </cell>
          <cell r="BH432">
            <v>0.57205240174672489</v>
          </cell>
          <cell r="BI432">
            <v>0.79039301310043664</v>
          </cell>
          <cell r="BJ432">
            <v>0.61790393013100442</v>
          </cell>
          <cell r="BQ432">
            <v>0.96943231441048039</v>
          </cell>
          <cell r="BR432">
            <v>0.82314410480349343</v>
          </cell>
          <cell r="BS432">
            <v>0.90829694323144106</v>
          </cell>
          <cell r="BT432">
            <v>0.96506550218340614</v>
          </cell>
          <cell r="BX432">
            <v>0.98908296943231444</v>
          </cell>
          <cell r="CJ432">
            <v>0.67903930131004364</v>
          </cell>
          <cell r="CK432">
            <v>0.42358078602620086</v>
          </cell>
        </row>
        <row r="433">
          <cell r="A433" t="str">
            <v>Tyson Jost</v>
          </cell>
          <cell r="B433" t="str">
            <v>BUF, MIN</v>
          </cell>
          <cell r="I433">
            <v>0.22707423580786026</v>
          </cell>
          <cell r="J433">
            <v>0.50655021834061131</v>
          </cell>
          <cell r="K433">
            <v>0.38209606986899564</v>
          </cell>
          <cell r="L433">
            <v>0.35152838427947597</v>
          </cell>
          <cell r="S433">
            <v>0.11572052401746726</v>
          </cell>
          <cell r="T433">
            <v>0.75545851528384278</v>
          </cell>
          <cell r="U433">
            <v>0.54803493449781659</v>
          </cell>
          <cell r="V433">
            <v>0.5</v>
          </cell>
          <cell r="AC433">
            <v>0.48034934497816595</v>
          </cell>
          <cell r="AD433">
            <v>0.56113537117903933</v>
          </cell>
          <cell r="AE433">
            <v>0.14410480349344978</v>
          </cell>
          <cell r="AF433">
            <v>0.56550218340611358</v>
          </cell>
          <cell r="AM433">
            <v>0.11790393013100436</v>
          </cell>
          <cell r="AN433">
            <v>0.53493449781659386</v>
          </cell>
          <cell r="AO433">
            <v>0.14192139737991266</v>
          </cell>
          <cell r="AP433">
            <v>0.25327510917030566</v>
          </cell>
          <cell r="AW433">
            <v>0.60480349344978168</v>
          </cell>
          <cell r="AX433">
            <v>0.90393013100436681</v>
          </cell>
          <cell r="AY433">
            <v>0.388646288209607</v>
          </cell>
          <cell r="AZ433">
            <v>0.86244541484716153</v>
          </cell>
          <cell r="BG433">
            <v>0.39956331877729256</v>
          </cell>
          <cell r="BH433">
            <v>0.44541484716157204</v>
          </cell>
          <cell r="BI433">
            <v>0.42358078602620086</v>
          </cell>
          <cell r="BJ433">
            <v>0.18995633187772926</v>
          </cell>
          <cell r="BQ433">
            <v>0.31222707423580787</v>
          </cell>
          <cell r="BR433">
            <v>0.50655021834061131</v>
          </cell>
          <cell r="BS433">
            <v>0.20305676855895197</v>
          </cell>
          <cell r="BT433">
            <v>0.41703056768558949</v>
          </cell>
          <cell r="BX433">
            <v>0.31659388646288211</v>
          </cell>
          <cell r="CJ433">
            <v>0.56550218340611358</v>
          </cell>
          <cell r="CK433">
            <v>0.68340611353711789</v>
          </cell>
        </row>
        <row r="434">
          <cell r="A434" t="str">
            <v>Valeri Nichushkin</v>
          </cell>
          <cell r="B434" t="str">
            <v>COL</v>
          </cell>
          <cell r="I434">
            <v>0.77292576419213976</v>
          </cell>
          <cell r="J434">
            <v>0.44323144104803491</v>
          </cell>
          <cell r="K434">
            <v>0.80786026200873362</v>
          </cell>
          <cell r="L434">
            <v>0.56550218340611358</v>
          </cell>
          <cell r="S434">
            <v>0.16812227074235808</v>
          </cell>
          <cell r="T434">
            <v>0.92794759825327511</v>
          </cell>
          <cell r="U434">
            <v>0.8253275109170306</v>
          </cell>
          <cell r="V434">
            <v>0.71397379912663761</v>
          </cell>
          <cell r="AC434">
            <v>0.68777292576419213</v>
          </cell>
          <cell r="AD434">
            <v>0.60480349344978168</v>
          </cell>
          <cell r="AE434">
            <v>0.80786026200873362</v>
          </cell>
          <cell r="AF434">
            <v>0.69213973799126638</v>
          </cell>
          <cell r="AM434">
            <v>0.72270742358078599</v>
          </cell>
          <cell r="AN434">
            <v>0.59388646288209612</v>
          </cell>
          <cell r="AO434">
            <v>0.78602620087336239</v>
          </cell>
          <cell r="AP434">
            <v>0.58951965065502188</v>
          </cell>
          <cell r="AW434">
            <v>0.5240174672489083</v>
          </cell>
          <cell r="AX434">
            <v>0.39082969432314413</v>
          </cell>
          <cell r="AY434">
            <v>0.31441048034934499</v>
          </cell>
          <cell r="AZ434">
            <v>0.39082969432314413</v>
          </cell>
          <cell r="BG434">
            <v>0.86244541484716153</v>
          </cell>
          <cell r="BH434">
            <v>0.71397379912663761</v>
          </cell>
          <cell r="BI434">
            <v>0.75764192139737996</v>
          </cell>
          <cell r="BJ434">
            <v>0.86026200873362446</v>
          </cell>
          <cell r="BQ434">
            <v>0.78820960698689957</v>
          </cell>
          <cell r="BR434">
            <v>0.49126637554585151</v>
          </cell>
          <cell r="BS434">
            <v>0.89301310043668125</v>
          </cell>
          <cell r="BT434">
            <v>0.66375545851528384</v>
          </cell>
          <cell r="BX434">
            <v>0.74454148471615722</v>
          </cell>
          <cell r="CJ434">
            <v>0.98253275109170302</v>
          </cell>
          <cell r="CK434">
            <v>0.52183406113537123</v>
          </cell>
        </row>
        <row r="435">
          <cell r="A435" t="str">
            <v>Vasily Podkolzin</v>
          </cell>
          <cell r="B435" t="str">
            <v>VAN</v>
          </cell>
          <cell r="I435">
            <v>0.31441048034934499</v>
          </cell>
          <cell r="J435">
            <v>0.31222707423580787</v>
          </cell>
          <cell r="K435">
            <v>0.15502183406113537</v>
          </cell>
          <cell r="L435">
            <v>0.27292576419213976</v>
          </cell>
          <cell r="S435">
            <v>0.33624454148471616</v>
          </cell>
          <cell r="T435">
            <v>6.9868995633187769E-2</v>
          </cell>
          <cell r="U435">
            <v>0.15065502183406113</v>
          </cell>
          <cell r="V435">
            <v>8.296943231441048E-2</v>
          </cell>
          <cell r="AC435">
            <v>0.49344978165938863</v>
          </cell>
          <cell r="AD435">
            <v>0.83842794759825323</v>
          </cell>
          <cell r="AE435">
            <v>0.62008733624454149</v>
          </cell>
          <cell r="AF435">
            <v>0.4606986899563319</v>
          </cell>
          <cell r="AM435">
            <v>0.60917030567685593</v>
          </cell>
          <cell r="AN435">
            <v>0.33624454148471616</v>
          </cell>
          <cell r="AO435">
            <v>9.1703056768558958E-2</v>
          </cell>
          <cell r="AP435">
            <v>0.42139737991266374</v>
          </cell>
          <cell r="AW435">
            <v>0.388646288209607</v>
          </cell>
          <cell r="AX435">
            <v>0.90611353711790388</v>
          </cell>
          <cell r="AY435">
            <v>0.86462882096069871</v>
          </cell>
          <cell r="AZ435">
            <v>0.46288209606986902</v>
          </cell>
          <cell r="BG435">
            <v>0.3296943231441048</v>
          </cell>
          <cell r="BH435">
            <v>0.82751091703056767</v>
          </cell>
          <cell r="BI435">
            <v>9.3886462882096067E-2</v>
          </cell>
          <cell r="BJ435">
            <v>0.31877729257641924</v>
          </cell>
          <cell r="BQ435">
            <v>0.35807860262008734</v>
          </cell>
          <cell r="BR435">
            <v>0.53711790393013104</v>
          </cell>
          <cell r="BS435">
            <v>0.23580786026200873</v>
          </cell>
          <cell r="BT435">
            <v>0.30349344978165937</v>
          </cell>
          <cell r="BX435">
            <v>0.25545851528384278</v>
          </cell>
          <cell r="CJ435">
            <v>0.8253275109170306</v>
          </cell>
          <cell r="CK435">
            <v>0.57205240174672489</v>
          </cell>
        </row>
        <row r="436">
          <cell r="A436" t="str">
            <v>Victor Olofsson</v>
          </cell>
          <cell r="B436" t="str">
            <v>BUF</v>
          </cell>
          <cell r="I436">
            <v>0.45196506550218341</v>
          </cell>
          <cell r="J436">
            <v>0.15502183406113537</v>
          </cell>
          <cell r="K436">
            <v>0.43886462882096072</v>
          </cell>
          <cell r="L436">
            <v>0.2816593886462882</v>
          </cell>
          <cell r="S436">
            <v>0.92358078602620086</v>
          </cell>
          <cell r="T436">
            <v>7.2052401746724892E-2</v>
          </cell>
          <cell r="U436">
            <v>0.23144104803493451</v>
          </cell>
          <cell r="V436">
            <v>0.51310043668122274</v>
          </cell>
          <cell r="AC436">
            <v>0.41703056768558949</v>
          </cell>
          <cell r="AD436">
            <v>0.23580786026200873</v>
          </cell>
          <cell r="AE436">
            <v>2.6200873362445413E-2</v>
          </cell>
          <cell r="AF436">
            <v>0.21179039301310043</v>
          </cell>
          <cell r="AM436">
            <v>0.27510917030567683</v>
          </cell>
          <cell r="AN436">
            <v>0.10480349344978165</v>
          </cell>
          <cell r="AO436">
            <v>0.2183406113537118</v>
          </cell>
          <cell r="AP436">
            <v>0.15720524017467249</v>
          </cell>
          <cell r="AW436">
            <v>0.42358078602620086</v>
          </cell>
          <cell r="AX436">
            <v>0.48253275109170307</v>
          </cell>
          <cell r="AY436">
            <v>6.768558951965066E-2</v>
          </cell>
          <cell r="AZ436">
            <v>0.35807860262008734</v>
          </cell>
          <cell r="BG436">
            <v>0.33842794759825329</v>
          </cell>
          <cell r="BH436">
            <v>0.48689956331877732</v>
          </cell>
          <cell r="BI436">
            <v>0.41703056768558949</v>
          </cell>
          <cell r="BJ436">
            <v>5.0218340611353711E-2</v>
          </cell>
          <cell r="BQ436">
            <v>0.42576419213973798</v>
          </cell>
          <cell r="BR436">
            <v>0.14628820960698691</v>
          </cell>
          <cell r="BS436">
            <v>0.13537117903930132</v>
          </cell>
          <cell r="BT436">
            <v>0.2205240174672489</v>
          </cell>
          <cell r="BX436">
            <v>0.23362445414847161</v>
          </cell>
          <cell r="CJ436">
            <v>0.98908296943231444</v>
          </cell>
          <cell r="CK436">
            <v>0.35589519650655022</v>
          </cell>
        </row>
        <row r="437">
          <cell r="A437" t="str">
            <v>Viktor Arvidsson</v>
          </cell>
          <cell r="B437" t="str">
            <v>L.A</v>
          </cell>
          <cell r="I437">
            <v>0.82969432314410485</v>
          </cell>
          <cell r="J437">
            <v>0.67903930131004364</v>
          </cell>
          <cell r="K437">
            <v>0.37117903930131002</v>
          </cell>
          <cell r="L437">
            <v>0.70960698689956336</v>
          </cell>
          <cell r="S437">
            <v>0.51528384279475981</v>
          </cell>
          <cell r="T437">
            <v>0.40393013100436681</v>
          </cell>
          <cell r="U437">
            <v>0.65938864628820959</v>
          </cell>
          <cell r="V437">
            <v>0.43449781659388648</v>
          </cell>
          <cell r="AC437">
            <v>0.81659388646288211</v>
          </cell>
          <cell r="AD437">
            <v>0.8253275109170306</v>
          </cell>
          <cell r="AE437">
            <v>0.73362445414847166</v>
          </cell>
          <cell r="AF437">
            <v>0.75109170305676853</v>
          </cell>
          <cell r="AM437">
            <v>0.75982532751091703</v>
          </cell>
          <cell r="AN437">
            <v>0.47379912663755458</v>
          </cell>
          <cell r="AO437">
            <v>0.31004366812227074</v>
          </cell>
          <cell r="AP437">
            <v>0.68558951965065507</v>
          </cell>
          <cell r="AW437">
            <v>0.37117903930131002</v>
          </cell>
          <cell r="AX437">
            <v>0.5873362445414847</v>
          </cell>
          <cell r="AY437">
            <v>0.73144104803493448</v>
          </cell>
          <cell r="AZ437">
            <v>0.41921397379912662</v>
          </cell>
          <cell r="BG437">
            <v>0.8733624454148472</v>
          </cell>
          <cell r="BH437">
            <v>0.34716157205240172</v>
          </cell>
          <cell r="BI437">
            <v>0.19868995633187772</v>
          </cell>
          <cell r="BJ437">
            <v>0.33187772925764192</v>
          </cell>
          <cell r="BQ437">
            <v>0.86899563318777295</v>
          </cell>
          <cell r="BR437">
            <v>0.78820960698689957</v>
          </cell>
          <cell r="BS437">
            <v>0.5633187772925764</v>
          </cell>
          <cell r="BT437">
            <v>0.79912663755458513</v>
          </cell>
          <cell r="BX437">
            <v>0.78602620087336239</v>
          </cell>
          <cell r="CJ437">
            <v>0.59170305676855894</v>
          </cell>
          <cell r="CK437">
            <v>0.78165938864628826</v>
          </cell>
        </row>
        <row r="438">
          <cell r="A438" t="str">
            <v>Vincent Trocheck</v>
          </cell>
          <cell r="B438" t="str">
            <v>NYR</v>
          </cell>
          <cell r="I438">
            <v>0.70742358078602618</v>
          </cell>
          <cell r="J438">
            <v>0.62882096069868998</v>
          </cell>
          <cell r="K438">
            <v>0.63100436681222705</v>
          </cell>
          <cell r="L438">
            <v>0.68777292576419213</v>
          </cell>
          <cell r="S438">
            <v>0.27510917030567683</v>
          </cell>
          <cell r="T438">
            <v>0.89519650655021832</v>
          </cell>
          <cell r="U438">
            <v>0.94978165938864634</v>
          </cell>
          <cell r="V438">
            <v>0.74454148471615722</v>
          </cell>
          <cell r="AC438">
            <v>0.77074235807860259</v>
          </cell>
          <cell r="AD438">
            <v>0.388646288209607</v>
          </cell>
          <cell r="AE438">
            <v>0.51965065502183405</v>
          </cell>
          <cell r="AF438">
            <v>0.4606986899563319</v>
          </cell>
          <cell r="AM438">
            <v>0.86899563318777295</v>
          </cell>
          <cell r="AN438">
            <v>0.67903930131004364</v>
          </cell>
          <cell r="AO438">
            <v>0.5633187772925764</v>
          </cell>
          <cell r="AP438">
            <v>0.80786026200873362</v>
          </cell>
          <cell r="AW438">
            <v>0.67903930131004364</v>
          </cell>
          <cell r="AX438">
            <v>0.50436681222707425</v>
          </cell>
          <cell r="AY438">
            <v>0.27292576419213976</v>
          </cell>
          <cell r="AZ438">
            <v>0.46288209606986902</v>
          </cell>
          <cell r="BG438">
            <v>0.93886462882096067</v>
          </cell>
          <cell r="BH438">
            <v>0.36026200873362446</v>
          </cell>
          <cell r="BI438">
            <v>0.59606986899563319</v>
          </cell>
          <cell r="BJ438">
            <v>0.49126637554585151</v>
          </cell>
          <cell r="BQ438">
            <v>0.78820960698689957</v>
          </cell>
          <cell r="BR438">
            <v>0.49781659388646288</v>
          </cell>
          <cell r="BS438">
            <v>0.60698689956331875</v>
          </cell>
          <cell r="BT438">
            <v>0.62227074235807855</v>
          </cell>
          <cell r="BX438">
            <v>0.81877729257641918</v>
          </cell>
          <cell r="CJ438">
            <v>0.19213973799126638</v>
          </cell>
          <cell r="CK438">
            <v>0.60043668122270744</v>
          </cell>
        </row>
        <row r="439">
          <cell r="A439" t="str">
            <v>Vinnie Hinostroza</v>
          </cell>
          <cell r="B439" t="str">
            <v>BUF</v>
          </cell>
          <cell r="I439">
            <v>0.60043668122270744</v>
          </cell>
          <cell r="J439">
            <v>0.12663755458515283</v>
          </cell>
          <cell r="K439">
            <v>0.56550218340611358</v>
          </cell>
          <cell r="L439">
            <v>0.44323144104803491</v>
          </cell>
          <cell r="S439">
            <v>0.14847161572052403</v>
          </cell>
          <cell r="T439">
            <v>0.90611353711790388</v>
          </cell>
          <cell r="U439">
            <v>0.75109170305676853</v>
          </cell>
          <cell r="V439">
            <v>0.67030567685589515</v>
          </cell>
          <cell r="AC439">
            <v>0.1943231441048035</v>
          </cell>
          <cell r="AD439">
            <v>2.1834061135371178E-2</v>
          </cell>
          <cell r="AE439">
            <v>0.31877729257641924</v>
          </cell>
          <cell r="AF439">
            <v>6.5502183406113537E-2</v>
          </cell>
          <cell r="AM439">
            <v>0.53056768558951961</v>
          </cell>
          <cell r="AN439">
            <v>6.9868995633187769E-2</v>
          </cell>
          <cell r="AO439">
            <v>0.61572052401746724</v>
          </cell>
          <cell r="AP439">
            <v>0.26200873362445415</v>
          </cell>
          <cell r="AW439">
            <v>0.36462882096069871</v>
          </cell>
          <cell r="AX439">
            <v>4.8034934497816595E-2</v>
          </cell>
          <cell r="AY439">
            <v>0.69868995633187769</v>
          </cell>
          <cell r="AZ439">
            <v>0.25545851528384278</v>
          </cell>
          <cell r="BG439">
            <v>0.51310043668122274</v>
          </cell>
          <cell r="BH439">
            <v>0.31004366812227074</v>
          </cell>
          <cell r="BI439">
            <v>0.48689956331877732</v>
          </cell>
          <cell r="BJ439">
            <v>0.54803493449781659</v>
          </cell>
          <cell r="BQ439">
            <v>0.40611353711790393</v>
          </cell>
          <cell r="BR439">
            <v>3.2751091703056769E-2</v>
          </cell>
          <cell r="BS439">
            <v>0.41703056768558949</v>
          </cell>
          <cell r="BT439">
            <v>0.18558951965065501</v>
          </cell>
          <cell r="BX439">
            <v>0.27074235807860264</v>
          </cell>
          <cell r="CJ439">
            <v>0.6506550218340611</v>
          </cell>
          <cell r="CK439">
            <v>0.67248908296943233</v>
          </cell>
        </row>
        <row r="440">
          <cell r="A440" t="str">
            <v>Vitali Kravtsov</v>
          </cell>
          <cell r="B440" t="str">
            <v>NYR, VAN</v>
          </cell>
          <cell r="I440">
            <v>0.20305676855895197</v>
          </cell>
          <cell r="J440">
            <v>0.33406113537117904</v>
          </cell>
          <cell r="K440">
            <v>0.11353711790393013</v>
          </cell>
          <cell r="L440">
            <v>0.20087336244541484</v>
          </cell>
          <cell r="S440">
            <v>0.15502183406113537</v>
          </cell>
          <cell r="T440">
            <v>3.7117903930131008E-2</v>
          </cell>
          <cell r="U440">
            <v>2.1834061135371178E-3</v>
          </cell>
          <cell r="V440">
            <v>2.8384279475982533E-2</v>
          </cell>
          <cell r="AC440">
            <v>0.73362445414847166</v>
          </cell>
          <cell r="AD440">
            <v>0.77729257641921401</v>
          </cell>
          <cell r="AE440">
            <v>0.98689956331877726</v>
          </cell>
          <cell r="AF440">
            <v>0.77947598253275108</v>
          </cell>
          <cell r="AM440">
            <v>0.26855895196506552</v>
          </cell>
          <cell r="AN440">
            <v>0.31441048034934499</v>
          </cell>
          <cell r="AO440">
            <v>9.1703056768558958E-2</v>
          </cell>
          <cell r="AP440">
            <v>0.23580786026200873</v>
          </cell>
          <cell r="AW440">
            <v>0.4759825327510917</v>
          </cell>
          <cell r="AX440">
            <v>0.75327510917030571</v>
          </cell>
          <cell r="AY440">
            <v>0.94104803493449785</v>
          </cell>
          <cell r="AZ440">
            <v>0.60917030567685593</v>
          </cell>
          <cell r="BG440">
            <v>0.19868995633187772</v>
          </cell>
          <cell r="BH440">
            <v>0.79475982532751088</v>
          </cell>
          <cell r="BI440">
            <v>0.14847161572052403</v>
          </cell>
          <cell r="BJ440">
            <v>0.80349344978165937</v>
          </cell>
          <cell r="BQ440">
            <v>0.4126637554585153</v>
          </cell>
          <cell r="BR440">
            <v>0.49781659388646288</v>
          </cell>
          <cell r="BS440">
            <v>0.79039301310043664</v>
          </cell>
          <cell r="BT440">
            <v>0.38209606986899564</v>
          </cell>
          <cell r="BX440">
            <v>0.21397379912663755</v>
          </cell>
          <cell r="CJ440">
            <v>0.70960698689956336</v>
          </cell>
          <cell r="CK440">
            <v>2.1834061135371178E-3</v>
          </cell>
        </row>
        <row r="441">
          <cell r="A441" t="str">
            <v>Vladimir Tarasenko</v>
          </cell>
          <cell r="B441" t="str">
            <v>NYR, STL</v>
          </cell>
          <cell r="I441">
            <v>0.29912663755458513</v>
          </cell>
          <cell r="J441">
            <v>0.2423580786026201</v>
          </cell>
          <cell r="K441">
            <v>0.72707423580786024</v>
          </cell>
          <cell r="L441">
            <v>0.34716157205240172</v>
          </cell>
          <cell r="S441">
            <v>0.63318777292576423</v>
          </cell>
          <cell r="T441">
            <v>0.73580786026200873</v>
          </cell>
          <cell r="U441">
            <v>0.61790393013100442</v>
          </cell>
          <cell r="V441">
            <v>0.73580786026200873</v>
          </cell>
          <cell r="AC441">
            <v>0.10043668122270742</v>
          </cell>
          <cell r="AD441">
            <v>9.606986899563319E-2</v>
          </cell>
          <cell r="AE441">
            <v>0.29039301310043669</v>
          </cell>
          <cell r="AF441">
            <v>7.8602620087336247E-2</v>
          </cell>
          <cell r="AM441">
            <v>0.54585152838427953</v>
          </cell>
          <cell r="AN441">
            <v>0.29475982532751094</v>
          </cell>
          <cell r="AO441">
            <v>0.76855895196506552</v>
          </cell>
          <cell r="AP441">
            <v>0.47379912663755458</v>
          </cell>
          <cell r="AW441">
            <v>5.6768558951965066E-2</v>
          </cell>
          <cell r="AX441">
            <v>0.1965065502183406</v>
          </cell>
          <cell r="AY441">
            <v>0.4126637554585153</v>
          </cell>
          <cell r="AZ441">
            <v>0.11572052401746726</v>
          </cell>
          <cell r="BG441">
            <v>0.81877729257641918</v>
          </cell>
          <cell r="BH441">
            <v>0.69868995633187769</v>
          </cell>
          <cell r="BI441">
            <v>0.88646288209606983</v>
          </cell>
          <cell r="BJ441">
            <v>0.81877729257641918</v>
          </cell>
          <cell r="BQ441">
            <v>0.14410480349344978</v>
          </cell>
          <cell r="BR441">
            <v>0.1222707423580786</v>
          </cell>
          <cell r="BS441">
            <v>0.5393013100436681</v>
          </cell>
          <cell r="BT441">
            <v>0.16157205240174671</v>
          </cell>
          <cell r="BX441">
            <v>0.20524017467248909</v>
          </cell>
          <cell r="CJ441">
            <v>0.91484716157205237</v>
          </cell>
          <cell r="CK441">
            <v>0.63755458515283847</v>
          </cell>
        </row>
        <row r="442">
          <cell r="A442" t="str">
            <v>Vladislav Namestnikov</v>
          </cell>
          <cell r="B442" t="str">
            <v>T.B, WPG</v>
          </cell>
          <cell r="I442">
            <v>0.611353711790393</v>
          </cell>
          <cell r="J442">
            <v>0.81441048034934493</v>
          </cell>
          <cell r="K442">
            <v>0.46943231441048033</v>
          </cell>
          <cell r="L442">
            <v>0.70960698689956336</v>
          </cell>
          <cell r="S442">
            <v>0.29694323144104806</v>
          </cell>
          <cell r="T442">
            <v>0.59170305676855894</v>
          </cell>
          <cell r="U442">
            <v>0.23580786026200873</v>
          </cell>
          <cell r="V442">
            <v>0.44978165938864628</v>
          </cell>
          <cell r="AC442">
            <v>0.89519650655021832</v>
          </cell>
          <cell r="AD442">
            <v>0.89301310043668125</v>
          </cell>
          <cell r="AE442">
            <v>0.80786026200873362</v>
          </cell>
          <cell r="AF442">
            <v>0.9126637554585153</v>
          </cell>
          <cell r="AM442">
            <v>0.3930131004366812</v>
          </cell>
          <cell r="AN442">
            <v>0.35807860262008734</v>
          </cell>
          <cell r="AO442">
            <v>0.3296943231441048</v>
          </cell>
          <cell r="AP442">
            <v>0.37772925764192139</v>
          </cell>
          <cell r="AW442">
            <v>0.8733624454148472</v>
          </cell>
          <cell r="AX442">
            <v>0.89956331877729256</v>
          </cell>
          <cell r="AY442">
            <v>0.66812227074235808</v>
          </cell>
          <cell r="AZ442">
            <v>0.8973799126637555</v>
          </cell>
          <cell r="BG442">
            <v>0.24017467248908297</v>
          </cell>
          <cell r="BH442">
            <v>0.77729257641921401</v>
          </cell>
          <cell r="BI442">
            <v>0.5240174672489083</v>
          </cell>
          <cell r="BJ442">
            <v>0.64628820960698685</v>
          </cell>
          <cell r="BQ442">
            <v>0.81441048034934493</v>
          </cell>
          <cell r="BR442">
            <v>0.91703056768558955</v>
          </cell>
          <cell r="BS442">
            <v>0.72052401746724892</v>
          </cell>
          <cell r="BT442">
            <v>0.87991266375545851</v>
          </cell>
          <cell r="BX442">
            <v>0.80567685589519655</v>
          </cell>
          <cell r="CJ442">
            <v>0.32751091703056767</v>
          </cell>
          <cell r="CK442">
            <v>0.64192139737991272</v>
          </cell>
        </row>
        <row r="443">
          <cell r="A443" t="str">
            <v>Wade Allison</v>
          </cell>
          <cell r="B443" t="str">
            <v>PHI</v>
          </cell>
          <cell r="I443">
            <v>0.66812227074235808</v>
          </cell>
          <cell r="J443">
            <v>0.54585152838427953</v>
          </cell>
          <cell r="K443">
            <v>0.17685589519650655</v>
          </cell>
          <cell r="L443">
            <v>0.55458515283842791</v>
          </cell>
          <cell r="S443">
            <v>0.5873362445414847</v>
          </cell>
          <cell r="T443">
            <v>6.5502183406113537E-2</v>
          </cell>
          <cell r="U443">
            <v>2.6200873362445413E-2</v>
          </cell>
          <cell r="V443">
            <v>0.15502183406113537</v>
          </cell>
          <cell r="AC443">
            <v>0.25982532751091703</v>
          </cell>
          <cell r="AD443">
            <v>0.15502183406113537</v>
          </cell>
          <cell r="AE443">
            <v>0.82969432314410485</v>
          </cell>
          <cell r="AF443">
            <v>0.32532751091703055</v>
          </cell>
          <cell r="AM443">
            <v>0.8493449781659389</v>
          </cell>
          <cell r="AN443">
            <v>0.69432314410480345</v>
          </cell>
          <cell r="AO443">
            <v>0.20524017467248909</v>
          </cell>
          <cell r="AP443">
            <v>0.74454148471615722</v>
          </cell>
          <cell r="AW443">
            <v>0.34497816593886466</v>
          </cell>
          <cell r="AX443">
            <v>0.10262008733624454</v>
          </cell>
          <cell r="AY443">
            <v>0.93449781659388642</v>
          </cell>
          <cell r="AZ443">
            <v>0.31441048034934499</v>
          </cell>
          <cell r="BG443">
            <v>0.5633187772925764</v>
          </cell>
          <cell r="BH443">
            <v>0.28384279475982532</v>
          </cell>
          <cell r="BI443">
            <v>6.768558951965066E-2</v>
          </cell>
          <cell r="BJ443">
            <v>0.388646288209607</v>
          </cell>
          <cell r="BQ443">
            <v>0.48689956331877732</v>
          </cell>
          <cell r="BR443">
            <v>0.34716157205240172</v>
          </cell>
          <cell r="BS443">
            <v>0.40611353711790393</v>
          </cell>
          <cell r="BT443">
            <v>0.42139737991266374</v>
          </cell>
          <cell r="BX443">
            <v>0.46288209606986902</v>
          </cell>
          <cell r="CJ443">
            <v>0.37991266375545851</v>
          </cell>
          <cell r="CK443">
            <v>0.21615720524017468</v>
          </cell>
        </row>
        <row r="444">
          <cell r="A444" t="str">
            <v>Walker Duehr</v>
          </cell>
          <cell r="B444" t="str">
            <v>CGY</v>
          </cell>
          <cell r="I444">
            <v>0.86899563318777295</v>
          </cell>
          <cell r="J444">
            <v>0.5240174672489083</v>
          </cell>
          <cell r="K444">
            <v>0.81441048034934493</v>
          </cell>
          <cell r="L444">
            <v>0.73362445414847166</v>
          </cell>
          <cell r="S444">
            <v>0.99344978165938869</v>
          </cell>
          <cell r="T444">
            <v>0.4606986899563319</v>
          </cell>
          <cell r="U444">
            <v>0.86244541484716153</v>
          </cell>
          <cell r="V444">
            <v>0.92576419213973804</v>
          </cell>
          <cell r="AC444">
            <v>0.89956331877729256</v>
          </cell>
          <cell r="AD444">
            <v>0.82751091703056767</v>
          </cell>
          <cell r="AE444">
            <v>0.16812227074235808</v>
          </cell>
          <cell r="AF444">
            <v>0.74454148471615722</v>
          </cell>
          <cell r="AM444">
            <v>0.14192139737991266</v>
          </cell>
          <cell r="AN444">
            <v>0.13100436681222707</v>
          </cell>
          <cell r="AO444">
            <v>0.71615720524017468</v>
          </cell>
          <cell r="AP444">
            <v>0.10698689956331878</v>
          </cell>
          <cell r="AW444">
            <v>0.65502183406113534</v>
          </cell>
          <cell r="AX444">
            <v>0.54366812227074235</v>
          </cell>
          <cell r="AY444">
            <v>0.17467248908296942</v>
          </cell>
          <cell r="AZ444">
            <v>0.61790393013100442</v>
          </cell>
          <cell r="BG444">
            <v>0.14628820960698691</v>
          </cell>
          <cell r="BH444">
            <v>0.96506550218340614</v>
          </cell>
          <cell r="BI444">
            <v>0.61353711790393017</v>
          </cell>
          <cell r="BJ444">
            <v>0.15938864628820962</v>
          </cell>
          <cell r="BQ444">
            <v>0.94323144104803491</v>
          </cell>
          <cell r="BR444">
            <v>0.70960698689956336</v>
          </cell>
          <cell r="BS444">
            <v>0.48471615720524019</v>
          </cell>
          <cell r="BT444">
            <v>0.80786026200873362</v>
          </cell>
          <cell r="BX444">
            <v>0.77729257641921401</v>
          </cell>
          <cell r="CJ444">
            <v>0.78602620087336239</v>
          </cell>
          <cell r="CK444">
            <v>0.12445414847161572</v>
          </cell>
        </row>
        <row r="445">
          <cell r="A445" t="str">
            <v>Warren Foegele</v>
          </cell>
          <cell r="B445" t="str">
            <v>EDM</v>
          </cell>
          <cell r="I445">
            <v>0.81222707423580787</v>
          </cell>
          <cell r="J445">
            <v>0.88427947598253276</v>
          </cell>
          <cell r="K445">
            <v>0.61353711790393017</v>
          </cell>
          <cell r="L445">
            <v>0.88646288209606983</v>
          </cell>
          <cell r="S445">
            <v>0.78384279475982532</v>
          </cell>
          <cell r="T445">
            <v>0.69868995633187769</v>
          </cell>
          <cell r="U445">
            <v>0.76419213973799127</v>
          </cell>
          <cell r="V445">
            <v>0.80349344978165937</v>
          </cell>
          <cell r="AC445">
            <v>0.92576419213973804</v>
          </cell>
          <cell r="AD445">
            <v>0.92358078602620086</v>
          </cell>
          <cell r="AE445">
            <v>0.68777292576419213</v>
          </cell>
          <cell r="AF445">
            <v>0.75109170305676853</v>
          </cell>
          <cell r="AM445">
            <v>0.70524017467248912</v>
          </cell>
          <cell r="AN445">
            <v>0.74017467248908297</v>
          </cell>
          <cell r="AO445">
            <v>0.41048034934497818</v>
          </cell>
          <cell r="AP445">
            <v>0.77729257641921401</v>
          </cell>
          <cell r="AW445">
            <v>0.92576419213973804</v>
          </cell>
          <cell r="AX445">
            <v>0.79694323144104806</v>
          </cell>
          <cell r="AY445">
            <v>0.78384279475982532</v>
          </cell>
          <cell r="AZ445">
            <v>0.72052401746724892</v>
          </cell>
          <cell r="BG445">
            <v>0.39082969432314413</v>
          </cell>
          <cell r="BH445">
            <v>0.56986899563318782</v>
          </cell>
          <cell r="BI445">
            <v>0.53056768558951961</v>
          </cell>
          <cell r="BJ445">
            <v>0.54803493449781659</v>
          </cell>
          <cell r="BQ445">
            <v>0.91484716157205237</v>
          </cell>
          <cell r="BR445">
            <v>0.95414847161572047</v>
          </cell>
          <cell r="BS445">
            <v>0.70524017467248912</v>
          </cell>
          <cell r="BT445">
            <v>0.92358078602620086</v>
          </cell>
          <cell r="BX445">
            <v>0.96506550218340614</v>
          </cell>
          <cell r="CJ445">
            <v>0.29912663755458513</v>
          </cell>
          <cell r="CK445">
            <v>0.74890829694323147</v>
          </cell>
        </row>
        <row r="446">
          <cell r="A446" t="str">
            <v>William Carrier</v>
          </cell>
          <cell r="B446" t="str">
            <v>VGK</v>
          </cell>
          <cell r="I446">
            <v>0.42576419213973798</v>
          </cell>
          <cell r="J446">
            <v>0.83842794759825323</v>
          </cell>
          <cell r="K446">
            <v>0.71615720524017468</v>
          </cell>
          <cell r="L446">
            <v>0.74235807860262004</v>
          </cell>
          <cell r="S446">
            <v>0.98034934497816595</v>
          </cell>
          <cell r="T446">
            <v>0.3930131004366812</v>
          </cell>
          <cell r="U446">
            <v>0.72052401746724892</v>
          </cell>
          <cell r="V446">
            <v>0.86899563318777295</v>
          </cell>
          <cell r="AC446">
            <v>0.73362445414847166</v>
          </cell>
          <cell r="AD446">
            <v>0.96506550218340614</v>
          </cell>
          <cell r="AE446">
            <v>0.92794759825327511</v>
          </cell>
          <cell r="AF446">
            <v>0.93013100436681218</v>
          </cell>
          <cell r="AM446">
            <v>0.4366812227074236</v>
          </cell>
          <cell r="AN446">
            <v>0.888646288209607</v>
          </cell>
          <cell r="AO446">
            <v>0.69868995633187769</v>
          </cell>
          <cell r="AP446">
            <v>0.74454148471615722</v>
          </cell>
          <cell r="AW446">
            <v>0.83406113537117899</v>
          </cell>
          <cell r="AX446">
            <v>0.79694323144104806</v>
          </cell>
          <cell r="AY446">
            <v>0.9126637554585153</v>
          </cell>
          <cell r="AZ446">
            <v>0.82969432314410485</v>
          </cell>
          <cell r="BG446">
            <v>0.4126637554585153</v>
          </cell>
          <cell r="BH446">
            <v>0.11790393013100436</v>
          </cell>
          <cell r="BI446">
            <v>0.84061135371179041</v>
          </cell>
          <cell r="BJ446">
            <v>0.94759825327510916</v>
          </cell>
          <cell r="BQ446">
            <v>0.59606986899563319</v>
          </cell>
          <cell r="BR446">
            <v>0.95196506550218341</v>
          </cell>
          <cell r="BS446">
            <v>0.95196506550218341</v>
          </cell>
          <cell r="BT446">
            <v>0.90393013100436681</v>
          </cell>
          <cell r="BX446">
            <v>0.89082969432314407</v>
          </cell>
          <cell r="CJ446">
            <v>0.16375545851528384</v>
          </cell>
          <cell r="CK446">
            <v>0.70305676855895194</v>
          </cell>
        </row>
        <row r="447">
          <cell r="A447" t="str">
            <v>William Karlsson</v>
          </cell>
          <cell r="B447" t="str">
            <v>VGK</v>
          </cell>
          <cell r="I447">
            <v>0.76637554585152834</v>
          </cell>
          <cell r="J447">
            <v>0.58951965065502188</v>
          </cell>
          <cell r="K447">
            <v>0.55676855895196509</v>
          </cell>
          <cell r="L447">
            <v>0.78384279475982532</v>
          </cell>
          <cell r="S447">
            <v>0.2205240174672489</v>
          </cell>
          <cell r="T447">
            <v>0.86681222707423577</v>
          </cell>
          <cell r="U447">
            <v>0.52183406113537123</v>
          </cell>
          <cell r="V447">
            <v>0.63318777292576423</v>
          </cell>
          <cell r="AC447">
            <v>0.62445414847161573</v>
          </cell>
          <cell r="AD447">
            <v>0.73144104803493448</v>
          </cell>
          <cell r="AE447">
            <v>0.77292576419213976</v>
          </cell>
          <cell r="AF447">
            <v>0.60917030567685593</v>
          </cell>
          <cell r="AM447">
            <v>0.89519650655021832</v>
          </cell>
          <cell r="AN447">
            <v>0.53275109170305679</v>
          </cell>
          <cell r="AO447">
            <v>0.49563318777292575</v>
          </cell>
          <cell r="AP447">
            <v>0.8253275109170306</v>
          </cell>
          <cell r="AW447">
            <v>0.80786026200873362</v>
          </cell>
          <cell r="AX447">
            <v>0.46506550218340609</v>
          </cell>
          <cell r="AY447">
            <v>0.66157205240174677</v>
          </cell>
          <cell r="AZ447">
            <v>0.48034934497816595</v>
          </cell>
          <cell r="BG447">
            <v>0.70087336244541487</v>
          </cell>
          <cell r="BH447">
            <v>0.30786026200873362</v>
          </cell>
          <cell r="BI447">
            <v>0.42139737991266374</v>
          </cell>
          <cell r="BJ447">
            <v>0.60698689956331875</v>
          </cell>
          <cell r="BQ447">
            <v>0.76419213973799127</v>
          </cell>
          <cell r="BR447">
            <v>0.6746724890829694</v>
          </cell>
          <cell r="BS447">
            <v>0.75109170305676853</v>
          </cell>
          <cell r="BT447">
            <v>0.77510917030567683</v>
          </cell>
          <cell r="BX447">
            <v>0.85371179039301315</v>
          </cell>
          <cell r="CJ447">
            <v>0.89519650655021832</v>
          </cell>
          <cell r="CK447">
            <v>0.32096069868995636</v>
          </cell>
        </row>
        <row r="448">
          <cell r="A448" t="str">
            <v>William Nylander</v>
          </cell>
          <cell r="B448" t="str">
            <v>TOR</v>
          </cell>
          <cell r="I448">
            <v>0.92139737991266379</v>
          </cell>
          <cell r="J448">
            <v>0.99344978165938869</v>
          </cell>
          <cell r="K448">
            <v>0.90393013100436681</v>
          </cell>
          <cell r="L448">
            <v>0.96943231441048039</v>
          </cell>
          <cell r="S448">
            <v>0.90611353711790388</v>
          </cell>
          <cell r="T448">
            <v>0.88209606986899558</v>
          </cell>
          <cell r="U448">
            <v>0.68777292576419213</v>
          </cell>
          <cell r="V448">
            <v>0.95196506550218341</v>
          </cell>
          <cell r="AC448">
            <v>0.4366812227074236</v>
          </cell>
          <cell r="AD448">
            <v>0.41484716157205243</v>
          </cell>
          <cell r="AE448">
            <v>0.64410480349344978</v>
          </cell>
          <cell r="AF448">
            <v>0.28384279475982532</v>
          </cell>
          <cell r="AM448">
            <v>0.96724890829694321</v>
          </cell>
          <cell r="AN448">
            <v>0.98689956331877726</v>
          </cell>
          <cell r="AO448">
            <v>0.87117903930131002</v>
          </cell>
          <cell r="AP448">
            <v>0.97816593886462877</v>
          </cell>
          <cell r="AW448">
            <v>0.1703056768558952</v>
          </cell>
          <cell r="AX448">
            <v>0.29475982532751094</v>
          </cell>
          <cell r="AY448">
            <v>0.36244541484716158</v>
          </cell>
          <cell r="AZ448">
            <v>8.9519650655021835E-2</v>
          </cell>
          <cell r="BG448">
            <v>0.82969432314410485</v>
          </cell>
          <cell r="BH448">
            <v>0.92576419213973804</v>
          </cell>
          <cell r="BI448">
            <v>0.78602620087336239</v>
          </cell>
          <cell r="BJ448">
            <v>0.81877729257641918</v>
          </cell>
          <cell r="BQ448">
            <v>0.83406113537117899</v>
          </cell>
          <cell r="BR448">
            <v>0.92358078602620086</v>
          </cell>
          <cell r="BS448">
            <v>0.87991266375545851</v>
          </cell>
          <cell r="BT448">
            <v>0.87772925764192145</v>
          </cell>
          <cell r="BX448">
            <v>0.9126637554585153</v>
          </cell>
          <cell r="CJ448">
            <v>0.61572052401746724</v>
          </cell>
          <cell r="CK448">
            <v>0.53056768558951961</v>
          </cell>
        </row>
        <row r="449">
          <cell r="A449" t="str">
            <v>Wyatt Johnston</v>
          </cell>
          <cell r="B449" t="str">
            <v>DAL</v>
          </cell>
          <cell r="I449">
            <v>0.56113537117903933</v>
          </cell>
          <cell r="J449">
            <v>0.71179039301310043</v>
          </cell>
          <cell r="K449">
            <v>0.78384279475982532</v>
          </cell>
          <cell r="L449">
            <v>0.68777292576419213</v>
          </cell>
          <cell r="S449">
            <v>0.91048034934497812</v>
          </cell>
          <cell r="T449">
            <v>0.24890829694323144</v>
          </cell>
          <cell r="U449">
            <v>0.36244541484716158</v>
          </cell>
          <cell r="V449">
            <v>0.64410480349344978</v>
          </cell>
          <cell r="AC449">
            <v>0.13755458515283842</v>
          </cell>
          <cell r="AD449">
            <v>0.48689956331877732</v>
          </cell>
          <cell r="AE449">
            <v>0.57205240174672489</v>
          </cell>
          <cell r="AF449">
            <v>0.40174672489082969</v>
          </cell>
          <cell r="AM449">
            <v>0.49344978165938863</v>
          </cell>
          <cell r="AN449">
            <v>0.6266375545851528</v>
          </cell>
          <cell r="AO449">
            <v>0.76419213973799127</v>
          </cell>
          <cell r="AP449">
            <v>0.65502183406113534</v>
          </cell>
          <cell r="AW449">
            <v>2.1834061135371178E-2</v>
          </cell>
          <cell r="AX449">
            <v>0.12882096069868995</v>
          </cell>
          <cell r="AY449">
            <v>0.27292576419213976</v>
          </cell>
          <cell r="AZ449">
            <v>9.8253275109170299E-2</v>
          </cell>
          <cell r="BG449">
            <v>0.67030567685589515</v>
          </cell>
          <cell r="BH449">
            <v>0.74017467248908297</v>
          </cell>
          <cell r="BI449">
            <v>0.84497816593886466</v>
          </cell>
          <cell r="BJ449">
            <v>0.87991266375545851</v>
          </cell>
          <cell r="BQ449">
            <v>0.31659388646288211</v>
          </cell>
          <cell r="BR449">
            <v>0.61353711790393017</v>
          </cell>
          <cell r="BS449">
            <v>0.76637554585152834</v>
          </cell>
          <cell r="BT449">
            <v>0.57860262008733621</v>
          </cell>
          <cell r="BX449">
            <v>0.35589519650655022</v>
          </cell>
          <cell r="CJ449">
            <v>0.71834061135371174</v>
          </cell>
          <cell r="CK449">
            <v>1.9650655021834062E-2</v>
          </cell>
        </row>
        <row r="450">
          <cell r="A450" t="str">
            <v>Yakov Trenin</v>
          </cell>
          <cell r="B450" t="str">
            <v>NSH</v>
          </cell>
          <cell r="I450">
            <v>0.32532751091703055</v>
          </cell>
          <cell r="J450">
            <v>0.38646288209606988</v>
          </cell>
          <cell r="K450">
            <v>4.8034934497816595E-2</v>
          </cell>
          <cell r="L450">
            <v>0.42358078602620086</v>
          </cell>
          <cell r="S450">
            <v>0.34934497816593885</v>
          </cell>
          <cell r="T450">
            <v>0.15502183406113537</v>
          </cell>
          <cell r="U450">
            <v>0.26637554585152839</v>
          </cell>
          <cell r="V450">
            <v>0.16375545851528384</v>
          </cell>
          <cell r="AC450">
            <v>0.26855895196506552</v>
          </cell>
          <cell r="AD450">
            <v>0.62008733624454149</v>
          </cell>
          <cell r="AE450">
            <v>0.53493449781659386</v>
          </cell>
          <cell r="AF450">
            <v>0.37554585152838427</v>
          </cell>
          <cell r="AM450">
            <v>0.42139737991266374</v>
          </cell>
          <cell r="AN450">
            <v>0.41921397379912662</v>
          </cell>
          <cell r="AO450">
            <v>9.8253275109170299E-2</v>
          </cell>
          <cell r="AP450">
            <v>0.47379912663755458</v>
          </cell>
          <cell r="AW450">
            <v>0.67685589519650657</v>
          </cell>
          <cell r="AX450">
            <v>0.91048034934497812</v>
          </cell>
          <cell r="AY450">
            <v>0.388646288209607</v>
          </cell>
          <cell r="AZ450">
            <v>0.76200873362445409</v>
          </cell>
          <cell r="BG450">
            <v>0.51746724890829698</v>
          </cell>
          <cell r="BH450">
            <v>0.11135371179039301</v>
          </cell>
          <cell r="BI450">
            <v>4.148471615720524E-2</v>
          </cell>
          <cell r="BJ450">
            <v>0.15938864628820962</v>
          </cell>
          <cell r="BQ450">
            <v>0.26637554585152839</v>
          </cell>
          <cell r="BR450">
            <v>0.45414847161572053</v>
          </cell>
          <cell r="BS450">
            <v>8.5152838427947602E-2</v>
          </cell>
          <cell r="BT450">
            <v>0.37554585152838427</v>
          </cell>
          <cell r="BX450">
            <v>0.28602620087336245</v>
          </cell>
          <cell r="CJ450">
            <v>0.28820960698689957</v>
          </cell>
          <cell r="CK450">
            <v>0.27729257641921395</v>
          </cell>
        </row>
        <row r="451">
          <cell r="A451" t="str">
            <v>Yanni Gourde</v>
          </cell>
          <cell r="B451" t="str">
            <v>SEA</v>
          </cell>
          <cell r="I451">
            <v>0.81441048034934493</v>
          </cell>
          <cell r="J451">
            <v>0.4759825327510917</v>
          </cell>
          <cell r="K451">
            <v>0.81441048034934493</v>
          </cell>
          <cell r="L451">
            <v>0.53493449781659386</v>
          </cell>
          <cell r="S451">
            <v>0.1222707423580786</v>
          </cell>
          <cell r="T451">
            <v>0.93886462882096067</v>
          </cell>
          <cell r="U451">
            <v>0.84497816593886466</v>
          </cell>
          <cell r="V451">
            <v>0.72707423580786024</v>
          </cell>
          <cell r="AC451">
            <v>0.92139737991266379</v>
          </cell>
          <cell r="AD451">
            <v>0.78384279475982532</v>
          </cell>
          <cell r="AE451">
            <v>0.69213973799126638</v>
          </cell>
          <cell r="AF451">
            <v>0.79912663755458513</v>
          </cell>
          <cell r="AM451">
            <v>0.77074235807860259</v>
          </cell>
          <cell r="AN451">
            <v>0.73362445414847166</v>
          </cell>
          <cell r="AO451">
            <v>0.5393013100436681</v>
          </cell>
          <cell r="AP451">
            <v>0.60917030567685593</v>
          </cell>
          <cell r="AW451">
            <v>0.62008733624454149</v>
          </cell>
          <cell r="AX451">
            <v>0.56113537117903933</v>
          </cell>
          <cell r="AY451">
            <v>0.64628820960698685</v>
          </cell>
          <cell r="AZ451">
            <v>0.57205240174672489</v>
          </cell>
          <cell r="BG451">
            <v>0.87991266375545851</v>
          </cell>
          <cell r="BH451">
            <v>0.67030567685589515</v>
          </cell>
          <cell r="BI451">
            <v>0.83406113537117899</v>
          </cell>
          <cell r="BJ451">
            <v>0.67685589519650657</v>
          </cell>
          <cell r="BQ451">
            <v>0.9126637554585153</v>
          </cell>
          <cell r="BR451">
            <v>0.60698689956331875</v>
          </cell>
          <cell r="BS451">
            <v>0.86244541484716153</v>
          </cell>
          <cell r="BT451">
            <v>0.74235807860262004</v>
          </cell>
          <cell r="BX451">
            <v>0.84279475982532748</v>
          </cell>
          <cell r="CJ451">
            <v>0.19868995633187772</v>
          </cell>
          <cell r="CK451">
            <v>0.83624454148471616</v>
          </cell>
        </row>
        <row r="452">
          <cell r="A452" t="str">
            <v>Yegor Chinakhov</v>
          </cell>
          <cell r="B452" t="str">
            <v>CBJ</v>
          </cell>
          <cell r="I452">
            <v>0.34716157205240172</v>
          </cell>
          <cell r="J452">
            <v>8.7336244541484712E-3</v>
          </cell>
          <cell r="K452">
            <v>0.43886462882096072</v>
          </cell>
          <cell r="L452">
            <v>7.6419213973799124E-2</v>
          </cell>
          <cell r="S452">
            <v>0.30786026200873362</v>
          </cell>
          <cell r="T452">
            <v>0.59606986899563319</v>
          </cell>
          <cell r="U452">
            <v>7.2052401746724892E-2</v>
          </cell>
          <cell r="V452">
            <v>0.46943231441048033</v>
          </cell>
          <cell r="AC452">
            <v>0.15502183406113537</v>
          </cell>
          <cell r="AD452">
            <v>0.58951965065502188</v>
          </cell>
          <cell r="AE452">
            <v>3.2751091703056769E-2</v>
          </cell>
          <cell r="AF452">
            <v>0.47816593886462883</v>
          </cell>
          <cell r="AM452">
            <v>0.5633187772925764</v>
          </cell>
          <cell r="AN452">
            <v>6.3318777292576414E-2</v>
          </cell>
          <cell r="AO452">
            <v>0.5633187772925764</v>
          </cell>
          <cell r="AP452">
            <v>0.23580786026200873</v>
          </cell>
          <cell r="AW452">
            <v>0.73580786026200873</v>
          </cell>
          <cell r="AX452">
            <v>0.81441048034934493</v>
          </cell>
          <cell r="AY452">
            <v>0.42794759825327511</v>
          </cell>
          <cell r="AZ452">
            <v>0.86681222707423577</v>
          </cell>
          <cell r="BG452">
            <v>0.39737991266375544</v>
          </cell>
          <cell r="BH452">
            <v>0.6746724890829694</v>
          </cell>
          <cell r="BI452">
            <v>0.6506550218340611</v>
          </cell>
          <cell r="BJ452">
            <v>0.18995633187772926</v>
          </cell>
          <cell r="BQ452">
            <v>0.21615720524017468</v>
          </cell>
          <cell r="BR452">
            <v>3.4934497816593885E-2</v>
          </cell>
          <cell r="BS452">
            <v>0.14410480349344978</v>
          </cell>
          <cell r="BT452">
            <v>0.13755458515283842</v>
          </cell>
          <cell r="BX452">
            <v>0.29039301310043669</v>
          </cell>
          <cell r="CJ452">
            <v>0.70960698689956336</v>
          </cell>
          <cell r="CK452">
            <v>5.2401746724890827E-2</v>
          </cell>
        </row>
        <row r="453">
          <cell r="A453" t="str">
            <v>Yegor Sharangovich</v>
          </cell>
          <cell r="B453" t="str">
            <v>N.J</v>
          </cell>
          <cell r="I453">
            <v>0.66593886462882101</v>
          </cell>
          <cell r="J453">
            <v>0.71834061135371174</v>
          </cell>
          <cell r="K453">
            <v>0.43886462882096072</v>
          </cell>
          <cell r="L453">
            <v>0.76200873362445409</v>
          </cell>
          <cell r="S453">
            <v>0.388646288209607</v>
          </cell>
          <cell r="T453">
            <v>0.51528384279475981</v>
          </cell>
          <cell r="U453">
            <v>0.48034934497816595</v>
          </cell>
          <cell r="V453">
            <v>0.4606986899563319</v>
          </cell>
          <cell r="AC453">
            <v>0.72270742358078599</v>
          </cell>
          <cell r="AD453">
            <v>0.32751091703056767</v>
          </cell>
          <cell r="AE453">
            <v>0.29039301310043669</v>
          </cell>
          <cell r="AF453">
            <v>0.52838427947598254</v>
          </cell>
          <cell r="AM453">
            <v>0.19868995633187772</v>
          </cell>
          <cell r="AN453">
            <v>0.1703056768558952</v>
          </cell>
          <cell r="AO453">
            <v>0.1965065502183406</v>
          </cell>
          <cell r="AP453">
            <v>0.24454148471615719</v>
          </cell>
          <cell r="AW453">
            <v>0.46506550218340609</v>
          </cell>
          <cell r="AX453">
            <v>2.8384279475982533E-2</v>
          </cell>
          <cell r="AY453">
            <v>7.2052401746724892E-2</v>
          </cell>
          <cell r="AZ453">
            <v>0.21179039301310043</v>
          </cell>
          <cell r="BG453">
            <v>0.45196506550218341</v>
          </cell>
          <cell r="BH453">
            <v>0.90829694323144106</v>
          </cell>
          <cell r="BI453">
            <v>0.36244541484716158</v>
          </cell>
          <cell r="BJ453">
            <v>0.11790393013100436</v>
          </cell>
          <cell r="BQ453">
            <v>0.73144104803493448</v>
          </cell>
          <cell r="BR453">
            <v>0.54366812227074235</v>
          </cell>
          <cell r="BS453">
            <v>0.30786026200873362</v>
          </cell>
          <cell r="BT453">
            <v>0.73144104803493448</v>
          </cell>
          <cell r="BX453">
            <v>0.49344978165938863</v>
          </cell>
          <cell r="CJ453">
            <v>0.68995633187772931</v>
          </cell>
          <cell r="CK453">
            <v>8.5152838427947602E-2</v>
          </cell>
        </row>
        <row r="454">
          <cell r="A454" t="str">
            <v>Zach Aston-Reese</v>
          </cell>
          <cell r="B454" t="str">
            <v>TOR</v>
          </cell>
          <cell r="I454">
            <v>0.21397379912663755</v>
          </cell>
          <cell r="J454">
            <v>0.4366812227074236</v>
          </cell>
          <cell r="K454">
            <v>8.9519650655021835E-2</v>
          </cell>
          <cell r="L454">
            <v>0.20087336244541484</v>
          </cell>
          <cell r="S454">
            <v>0.64847161572052403</v>
          </cell>
          <cell r="T454">
            <v>4.5851528384279479E-2</v>
          </cell>
          <cell r="U454">
            <v>6.768558951965066E-2</v>
          </cell>
          <cell r="V454">
            <v>0.14410480349344978</v>
          </cell>
          <cell r="AC454">
            <v>0.79257641921397382</v>
          </cell>
          <cell r="AD454">
            <v>0.70960698689956336</v>
          </cell>
          <cell r="AE454">
            <v>0.77292576419213976</v>
          </cell>
          <cell r="AF454">
            <v>0.79912663755458513</v>
          </cell>
          <cell r="AM454">
            <v>6.9868995633187769E-2</v>
          </cell>
          <cell r="AN454">
            <v>6.768558951965066E-2</v>
          </cell>
          <cell r="AO454">
            <v>2.1834061135371178E-2</v>
          </cell>
          <cell r="AP454">
            <v>3.9301310043668124E-2</v>
          </cell>
          <cell r="AW454">
            <v>0.66157205240174677</v>
          </cell>
          <cell r="AX454">
            <v>0.64847161572052403</v>
          </cell>
          <cell r="AY454">
            <v>0.55021834061135366</v>
          </cell>
          <cell r="AZ454">
            <v>0.67903930131004364</v>
          </cell>
          <cell r="BG454">
            <v>0.14410480349344978</v>
          </cell>
          <cell r="BH454">
            <v>0.12663755458515283</v>
          </cell>
          <cell r="BI454">
            <v>0.1091703056768559</v>
          </cell>
          <cell r="BJ454">
            <v>0.25982532751091703</v>
          </cell>
          <cell r="BQ454">
            <v>0.44541484716157204</v>
          </cell>
          <cell r="BR454">
            <v>0.53056768558951961</v>
          </cell>
          <cell r="BS454">
            <v>0.24454148471615719</v>
          </cell>
          <cell r="BT454">
            <v>0.39082969432314413</v>
          </cell>
          <cell r="BX454">
            <v>0.26200873362445415</v>
          </cell>
          <cell r="CJ454">
            <v>0.4606986899563319</v>
          </cell>
          <cell r="CK454">
            <v>0.26637554585152839</v>
          </cell>
        </row>
        <row r="455">
          <cell r="A455" t="str">
            <v>Zach Hyman</v>
          </cell>
          <cell r="B455" t="str">
            <v>EDM</v>
          </cell>
          <cell r="I455">
            <v>0.87991266375545851</v>
          </cell>
          <cell r="J455">
            <v>0.97161572052401746</v>
          </cell>
          <cell r="K455">
            <v>0.98689956331877726</v>
          </cell>
          <cell r="L455">
            <v>0.98908296943231444</v>
          </cell>
          <cell r="S455">
            <v>0.61572052401746724</v>
          </cell>
          <cell r="T455">
            <v>0.95196506550218341</v>
          </cell>
          <cell r="U455">
            <v>0.92576419213973804</v>
          </cell>
          <cell r="V455">
            <v>0.89082969432314407</v>
          </cell>
          <cell r="AC455">
            <v>0.26200873362445415</v>
          </cell>
          <cell r="AD455">
            <v>0.44978165938864628</v>
          </cell>
          <cell r="AE455">
            <v>0.13973799126637554</v>
          </cell>
          <cell r="AF455">
            <v>0.31441048034934499</v>
          </cell>
          <cell r="AM455">
            <v>0.93013100436681218</v>
          </cell>
          <cell r="AN455">
            <v>0.97379912663755464</v>
          </cell>
          <cell r="AO455">
            <v>0.97161572052401746</v>
          </cell>
          <cell r="AP455">
            <v>0.98908296943231444</v>
          </cell>
          <cell r="AW455">
            <v>5.458515283842795E-2</v>
          </cell>
          <cell r="AX455">
            <v>9.3886462882096067E-2</v>
          </cell>
          <cell r="AY455">
            <v>3.4934497816593885E-2</v>
          </cell>
          <cell r="AZ455">
            <v>0.11572052401746726</v>
          </cell>
          <cell r="BG455">
            <v>0.9759825327510917</v>
          </cell>
          <cell r="BH455">
            <v>0.81659388646288211</v>
          </cell>
          <cell r="BI455">
            <v>0.90611353711790388</v>
          </cell>
          <cell r="BJ455">
            <v>0.61790393013100442</v>
          </cell>
          <cell r="BQ455">
            <v>0.68558951965065507</v>
          </cell>
          <cell r="BR455">
            <v>0.90611353711790388</v>
          </cell>
          <cell r="BS455">
            <v>0.72925764192139741</v>
          </cell>
          <cell r="BT455">
            <v>0.8973799126637555</v>
          </cell>
          <cell r="BX455">
            <v>0.81004366812227069</v>
          </cell>
          <cell r="CJ455">
            <v>0.48689956331877732</v>
          </cell>
          <cell r="CK455">
            <v>0.64192139737991272</v>
          </cell>
        </row>
        <row r="456">
          <cell r="A456" t="str">
            <v>Zach Parise</v>
          </cell>
          <cell r="B456" t="str">
            <v>NYI</v>
          </cell>
          <cell r="I456">
            <v>0.46724890829694321</v>
          </cell>
          <cell r="J456">
            <v>0.78384279475982532</v>
          </cell>
          <cell r="K456">
            <v>0.26637554585152839</v>
          </cell>
          <cell r="L456">
            <v>0.73362445414847166</v>
          </cell>
          <cell r="S456">
            <v>0.56986899563318782</v>
          </cell>
          <cell r="T456">
            <v>0.14410480349344978</v>
          </cell>
          <cell r="U456">
            <v>0.23580786026200873</v>
          </cell>
          <cell r="V456">
            <v>0.23144104803493451</v>
          </cell>
          <cell r="AC456">
            <v>0.15938864628820962</v>
          </cell>
          <cell r="AD456">
            <v>0.32751091703056767</v>
          </cell>
          <cell r="AE456">
            <v>0.92794759825327511</v>
          </cell>
          <cell r="AF456">
            <v>0.32532751091703055</v>
          </cell>
          <cell r="AM456">
            <v>0.37991266375545851</v>
          </cell>
          <cell r="AN456">
            <v>0.77074235807860259</v>
          </cell>
          <cell r="AO456">
            <v>0.20524017467248909</v>
          </cell>
          <cell r="AP456">
            <v>0.72707423580786024</v>
          </cell>
          <cell r="AW456">
            <v>0.13755458515283842</v>
          </cell>
          <cell r="AX456">
            <v>0.50218340611353707</v>
          </cell>
          <cell r="AY456">
            <v>0.82751091703056767</v>
          </cell>
          <cell r="AZ456">
            <v>0.39956331877729256</v>
          </cell>
          <cell r="BG456">
            <v>0.52620087336244536</v>
          </cell>
          <cell r="BH456">
            <v>0.25545851528384278</v>
          </cell>
          <cell r="BI456">
            <v>0.24017467248908297</v>
          </cell>
          <cell r="BJ456">
            <v>0.77947598253275108</v>
          </cell>
          <cell r="BQ456">
            <v>0.29039301310043669</v>
          </cell>
          <cell r="BR456">
            <v>0.64410480349344978</v>
          </cell>
          <cell r="BS456">
            <v>0.70524017467248912</v>
          </cell>
          <cell r="BT456">
            <v>0.58515283842794763</v>
          </cell>
          <cell r="BX456">
            <v>0.31877729257641924</v>
          </cell>
          <cell r="CJ456">
            <v>0.55458515283842791</v>
          </cell>
          <cell r="CK456">
            <v>0.24890829694323144</v>
          </cell>
        </row>
        <row r="457">
          <cell r="A457" t="str">
            <v>Zack Kassian</v>
          </cell>
          <cell r="B457" t="str">
            <v>ARI</v>
          </cell>
          <cell r="I457">
            <v>6.5502183406113534E-3</v>
          </cell>
          <cell r="J457">
            <v>1.3100436681222707E-2</v>
          </cell>
          <cell r="K457">
            <v>4.3668122270742356E-3</v>
          </cell>
          <cell r="L457">
            <v>1.0917030567685589E-2</v>
          </cell>
          <cell r="S457">
            <v>5.8951965065502182E-2</v>
          </cell>
          <cell r="T457">
            <v>2.1834061135371178E-3</v>
          </cell>
          <cell r="U457">
            <v>2.1834061135371178E-3</v>
          </cell>
          <cell r="V457">
            <v>4.3668122270742356E-3</v>
          </cell>
          <cell r="AC457">
            <v>5.0218340611353711E-2</v>
          </cell>
          <cell r="AD457">
            <v>4.8034934497816595E-2</v>
          </cell>
          <cell r="AE457">
            <v>0.23362445414847161</v>
          </cell>
          <cell r="AF457">
            <v>9.606986899563319E-2</v>
          </cell>
          <cell r="AM457">
            <v>2.8384279475982533E-2</v>
          </cell>
          <cell r="AN457">
            <v>4.148471615720524E-2</v>
          </cell>
          <cell r="AO457">
            <v>6.5502183406113534E-3</v>
          </cell>
          <cell r="AP457">
            <v>5.458515283842795E-2</v>
          </cell>
          <cell r="AW457">
            <v>7.6419213973799124E-2</v>
          </cell>
          <cell r="AX457">
            <v>6.3318777292576414E-2</v>
          </cell>
          <cell r="AY457">
            <v>0.29475982532751094</v>
          </cell>
          <cell r="AZ457">
            <v>0.13973799126637554</v>
          </cell>
          <cell r="BG457">
            <v>4.8034934497816595E-2</v>
          </cell>
          <cell r="BH457">
            <v>0.14192139737991266</v>
          </cell>
          <cell r="BI457">
            <v>4.3668122270742356E-3</v>
          </cell>
          <cell r="BJ457">
            <v>1.9650655021834062E-2</v>
          </cell>
          <cell r="BQ457">
            <v>2.1834061135371178E-3</v>
          </cell>
          <cell r="BR457">
            <v>6.5502183406113534E-3</v>
          </cell>
          <cell r="BS457">
            <v>4.3668122270742356E-3</v>
          </cell>
          <cell r="BT457">
            <v>4.3668122270742356E-3</v>
          </cell>
          <cell r="BX457">
            <v>2.1834061135371178E-3</v>
          </cell>
          <cell r="CJ457">
            <v>6.768558951965066E-2</v>
          </cell>
          <cell r="CK457">
            <v>0.29039301310043669</v>
          </cell>
        </row>
        <row r="458">
          <cell r="A458" t="str">
            <v>Zack MacEwen</v>
          </cell>
          <cell r="B458" t="str">
            <v>L.A, PHI</v>
          </cell>
          <cell r="I458">
            <v>0.22270742358078602</v>
          </cell>
          <cell r="J458">
            <v>0.37117903930131002</v>
          </cell>
          <cell r="K458">
            <v>6.768558951965066E-2</v>
          </cell>
          <cell r="L458">
            <v>0.17685589519650655</v>
          </cell>
          <cell r="S458">
            <v>0.15502183406113537</v>
          </cell>
          <cell r="T458">
            <v>0.16375545851528384</v>
          </cell>
          <cell r="U458">
            <v>3.4934497816593885E-2</v>
          </cell>
          <cell r="V458">
            <v>9.1703056768558958E-2</v>
          </cell>
          <cell r="AC458">
            <v>0.5240174672489083</v>
          </cell>
          <cell r="AD458">
            <v>0.32751091703056767</v>
          </cell>
          <cell r="AE458">
            <v>0.65938864628820959</v>
          </cell>
          <cell r="AF458">
            <v>0.51310043668122274</v>
          </cell>
          <cell r="AM458">
            <v>0.16375545851528384</v>
          </cell>
          <cell r="AN458">
            <v>0.51091703056768556</v>
          </cell>
          <cell r="AO458">
            <v>0.12008733624454149</v>
          </cell>
          <cell r="AP458">
            <v>0.29257641921397382</v>
          </cell>
          <cell r="AW458">
            <v>0.55021834061135366</v>
          </cell>
          <cell r="AX458">
            <v>0.38646288209606988</v>
          </cell>
          <cell r="AY458">
            <v>0.53711790393013104</v>
          </cell>
          <cell r="AZ458">
            <v>0.5873362445414847</v>
          </cell>
          <cell r="BG458">
            <v>0.26637554585152839</v>
          </cell>
          <cell r="BH458">
            <v>0.43231441048034935</v>
          </cell>
          <cell r="BI458">
            <v>7.2052401746724892E-2</v>
          </cell>
          <cell r="BJ458">
            <v>0.2183406113537118</v>
          </cell>
          <cell r="BQ458">
            <v>0.32096069868995636</v>
          </cell>
          <cell r="BR458">
            <v>0.31004366812227074</v>
          </cell>
          <cell r="BS458">
            <v>0.17467248908296942</v>
          </cell>
          <cell r="BT458">
            <v>0.25327510917030566</v>
          </cell>
          <cell r="BX458">
            <v>0.15938864628820962</v>
          </cell>
          <cell r="CJ458">
            <v>7.2052401746724892E-2</v>
          </cell>
          <cell r="CK458">
            <v>0.85152838427947597</v>
          </cell>
        </row>
        <row r="459">
          <cell r="A459" t="str">
            <v>Zemgus Girgensons</v>
          </cell>
          <cell r="B459" t="str">
            <v>BUF</v>
          </cell>
          <cell r="I459">
            <v>0.31659388646288211</v>
          </cell>
          <cell r="J459">
            <v>0.16157205240174671</v>
          </cell>
          <cell r="K459">
            <v>4.148471615720524E-2</v>
          </cell>
          <cell r="L459">
            <v>0.23362445414847161</v>
          </cell>
          <cell r="S459">
            <v>0.388646288209607</v>
          </cell>
          <cell r="T459">
            <v>5.0218340611353711E-2</v>
          </cell>
          <cell r="U459">
            <v>2.4017467248908297E-2</v>
          </cell>
          <cell r="V459">
            <v>7.6419213973799124E-2</v>
          </cell>
          <cell r="AC459">
            <v>0.95851528384279472</v>
          </cell>
          <cell r="AD459">
            <v>0.70960698689956336</v>
          </cell>
          <cell r="AE459">
            <v>0.85152838427947597</v>
          </cell>
          <cell r="AF459">
            <v>0.9126637554585153</v>
          </cell>
          <cell r="AM459">
            <v>0.12882096069868995</v>
          </cell>
          <cell r="AN459">
            <v>8.9519650655021835E-2</v>
          </cell>
          <cell r="AO459">
            <v>1.0917030567685589E-2</v>
          </cell>
          <cell r="AP459">
            <v>8.9519650655021835E-2</v>
          </cell>
          <cell r="AW459">
            <v>0.99126637554585151</v>
          </cell>
          <cell r="AX459">
            <v>0.97379912663755464</v>
          </cell>
          <cell r="AY459">
            <v>0.99126637554585151</v>
          </cell>
          <cell r="AZ459">
            <v>0.99344978165938869</v>
          </cell>
          <cell r="BG459">
            <v>0.31004366812227074</v>
          </cell>
          <cell r="BH459">
            <v>0.22270742358078602</v>
          </cell>
          <cell r="BI459">
            <v>3.2751091703056769E-2</v>
          </cell>
          <cell r="BJ459">
            <v>0.12663755458515283</v>
          </cell>
          <cell r="BQ459">
            <v>0.68777292576419213</v>
          </cell>
          <cell r="BR459">
            <v>0.30131004366812225</v>
          </cell>
          <cell r="BS459">
            <v>0.19868995633187772</v>
          </cell>
          <cell r="BT459">
            <v>0.54148471615720528</v>
          </cell>
          <cell r="BX459">
            <v>0.54148471615720528</v>
          </cell>
          <cell r="CJ459">
            <v>0.76855895196506552</v>
          </cell>
          <cell r="CK459">
            <v>0.54803493449781659</v>
          </cell>
        </row>
      </sheetData>
      <sheetData sheetId="8"/>
      <sheetData sheetId="9"/>
      <sheetData sheetId="10"/>
      <sheetData sheetId="11">
        <row r="2">
          <cell r="E2">
            <v>0.32865731462925851</v>
          </cell>
          <cell r="G2">
            <v>336</v>
          </cell>
        </row>
        <row r="3">
          <cell r="E3">
            <v>0.16633266533066132</v>
          </cell>
          <cell r="G3">
            <v>417</v>
          </cell>
        </row>
        <row r="4">
          <cell r="E4">
            <v>0.57715430861723449</v>
          </cell>
          <cell r="G4">
            <v>212</v>
          </cell>
        </row>
        <row r="5">
          <cell r="E5">
            <v>0.6292585170340681</v>
          </cell>
          <cell r="G5">
            <v>186</v>
          </cell>
        </row>
        <row r="6">
          <cell r="E6">
            <v>0.68336673346693388</v>
          </cell>
          <cell r="G6">
            <v>159</v>
          </cell>
        </row>
        <row r="7">
          <cell r="E7">
            <v>0.75350701402805609</v>
          </cell>
          <cell r="G7">
            <v>124</v>
          </cell>
        </row>
        <row r="8">
          <cell r="E8">
            <v>0.91583166332665333</v>
          </cell>
          <cell r="G8">
            <v>43</v>
          </cell>
        </row>
        <row r="9">
          <cell r="E9">
            <v>0.35671342685370744</v>
          </cell>
          <cell r="G9">
            <v>322</v>
          </cell>
        </row>
        <row r="10">
          <cell r="E10">
            <v>0.56312625250501003</v>
          </cell>
          <cell r="G10">
            <v>219</v>
          </cell>
        </row>
        <row r="11">
          <cell r="E11">
            <v>0.8236472945891784</v>
          </cell>
          <cell r="G11">
            <v>89</v>
          </cell>
        </row>
        <row r="12">
          <cell r="E12">
            <v>0.52104208416833664</v>
          </cell>
          <cell r="G12">
            <v>240</v>
          </cell>
        </row>
        <row r="13">
          <cell r="E13">
            <v>0.49899799599198397</v>
          </cell>
          <cell r="G13">
            <v>251</v>
          </cell>
        </row>
        <row r="14">
          <cell r="E14">
            <v>0.68136272545090182</v>
          </cell>
          <cell r="G14">
            <v>160</v>
          </cell>
        </row>
        <row r="15">
          <cell r="E15">
            <v>0.89779559118236474</v>
          </cell>
          <cell r="G15">
            <v>52</v>
          </cell>
        </row>
        <row r="16">
          <cell r="E16">
            <v>0.6172344689378757</v>
          </cell>
          <cell r="G16">
            <v>192</v>
          </cell>
        </row>
        <row r="17">
          <cell r="E17">
            <v>0.76753507014028055</v>
          </cell>
          <cell r="G17">
            <v>117</v>
          </cell>
        </row>
        <row r="18">
          <cell r="E18">
            <v>0.64729458917835669</v>
          </cell>
          <cell r="G18">
            <v>177</v>
          </cell>
        </row>
        <row r="19">
          <cell r="E19">
            <v>0.39278557114228457</v>
          </cell>
          <cell r="G19">
            <v>304</v>
          </cell>
        </row>
        <row r="20">
          <cell r="E20">
            <v>0.65731462925851702</v>
          </cell>
          <cell r="G20">
            <v>172</v>
          </cell>
        </row>
        <row r="21">
          <cell r="E21">
            <v>0.70741482965931868</v>
          </cell>
          <cell r="G21">
            <v>147</v>
          </cell>
        </row>
        <row r="22">
          <cell r="E22">
            <v>0.86372745490981961</v>
          </cell>
          <cell r="G22">
            <v>69</v>
          </cell>
        </row>
        <row r="23">
          <cell r="E23">
            <v>0.4849699398797595</v>
          </cell>
          <cell r="G23">
            <v>258</v>
          </cell>
        </row>
        <row r="24">
          <cell r="E24">
            <v>0.38877755511022044</v>
          </cell>
          <cell r="G24">
            <v>306</v>
          </cell>
        </row>
        <row r="25">
          <cell r="E25">
            <v>0.92785571142284573</v>
          </cell>
          <cell r="G25">
            <v>37</v>
          </cell>
        </row>
        <row r="26">
          <cell r="E26">
            <v>0.96392785571142281</v>
          </cell>
          <cell r="G26">
            <v>19</v>
          </cell>
        </row>
        <row r="27">
          <cell r="E27">
            <v>0.23246492985971945</v>
          </cell>
          <cell r="G27">
            <v>384</v>
          </cell>
        </row>
        <row r="28">
          <cell r="E28">
            <v>0.19839679358717435</v>
          </cell>
          <cell r="G28">
            <v>401</v>
          </cell>
        </row>
        <row r="29">
          <cell r="E29">
            <v>0.91983967935871747</v>
          </cell>
          <cell r="G29">
            <v>41</v>
          </cell>
        </row>
        <row r="30">
          <cell r="E30">
            <v>0.48897795591182364</v>
          </cell>
          <cell r="G30">
            <v>256</v>
          </cell>
        </row>
        <row r="31">
          <cell r="E31">
            <v>0.61523046092184364</v>
          </cell>
          <cell r="G31">
            <v>193</v>
          </cell>
        </row>
        <row r="32">
          <cell r="E32">
            <v>0.41082164328657317</v>
          </cell>
          <cell r="G32">
            <v>295</v>
          </cell>
        </row>
        <row r="33">
          <cell r="E33">
            <v>0.76352705410821642</v>
          </cell>
          <cell r="G33">
            <v>119</v>
          </cell>
        </row>
        <row r="34">
          <cell r="E34">
            <v>0.66132264529058116</v>
          </cell>
          <cell r="G34">
            <v>170</v>
          </cell>
        </row>
        <row r="35">
          <cell r="E35">
            <v>0.8997995991983968</v>
          </cell>
          <cell r="G35">
            <v>51</v>
          </cell>
        </row>
        <row r="36">
          <cell r="E36">
            <v>0.94388777555110226</v>
          </cell>
          <cell r="G36">
            <v>29</v>
          </cell>
        </row>
        <row r="37">
          <cell r="E37">
            <v>0.49298597194388777</v>
          </cell>
          <cell r="G37">
            <v>254</v>
          </cell>
        </row>
        <row r="38">
          <cell r="E38">
            <v>0.90781563126252507</v>
          </cell>
          <cell r="G38">
            <v>47</v>
          </cell>
        </row>
        <row r="39">
          <cell r="E39">
            <v>0.44889779559118237</v>
          </cell>
          <cell r="G39">
            <v>276</v>
          </cell>
        </row>
        <row r="40">
          <cell r="E40">
            <v>0.12825651302605209</v>
          </cell>
          <cell r="G40">
            <v>436</v>
          </cell>
        </row>
        <row r="41">
          <cell r="E41">
            <v>0.9939879759519038</v>
          </cell>
          <cell r="G41">
            <v>4</v>
          </cell>
        </row>
        <row r="42">
          <cell r="E42">
            <v>0.45090180360721444</v>
          </cell>
          <cell r="G42">
            <v>275</v>
          </cell>
        </row>
        <row r="43">
          <cell r="E43">
            <v>0.28256513026052105</v>
          </cell>
          <cell r="G43">
            <v>359</v>
          </cell>
        </row>
        <row r="44">
          <cell r="E44">
            <v>0.71743486973947901</v>
          </cell>
          <cell r="G44">
            <v>142</v>
          </cell>
        </row>
        <row r="45">
          <cell r="E45">
            <v>0.4088176352705411</v>
          </cell>
          <cell r="G45">
            <v>296</v>
          </cell>
        </row>
        <row r="46">
          <cell r="E46">
            <v>0.96993987975951901</v>
          </cell>
          <cell r="G46">
            <v>16</v>
          </cell>
        </row>
        <row r="47">
          <cell r="E47">
            <v>0.73947895791583163</v>
          </cell>
          <cell r="G47">
            <v>131</v>
          </cell>
        </row>
        <row r="48">
          <cell r="E48">
            <v>0.64929859719438876</v>
          </cell>
          <cell r="G48">
            <v>176</v>
          </cell>
        </row>
        <row r="49">
          <cell r="E49">
            <v>0.80961923847695394</v>
          </cell>
          <cell r="G49">
            <v>96</v>
          </cell>
        </row>
        <row r="50">
          <cell r="E50">
            <v>0.75951903807615229</v>
          </cell>
          <cell r="G50">
            <v>121</v>
          </cell>
        </row>
        <row r="51">
          <cell r="E51">
            <v>0.33867735470941884</v>
          </cell>
          <cell r="G51">
            <v>331</v>
          </cell>
        </row>
        <row r="52">
          <cell r="E52">
            <v>0.94589178356713421</v>
          </cell>
          <cell r="G52">
            <v>28</v>
          </cell>
        </row>
        <row r="53">
          <cell r="E53">
            <v>0.95390781563126248</v>
          </cell>
          <cell r="G53">
            <v>24</v>
          </cell>
        </row>
        <row r="54">
          <cell r="E54">
            <v>0.41683366733466931</v>
          </cell>
          <cell r="G54">
            <v>292</v>
          </cell>
        </row>
        <row r="55">
          <cell r="E55">
            <v>0.89378757515030061</v>
          </cell>
          <cell r="G55">
            <v>54</v>
          </cell>
        </row>
        <row r="56">
          <cell r="E56">
            <v>0.55110220440881763</v>
          </cell>
          <cell r="G56">
            <v>225</v>
          </cell>
        </row>
        <row r="57">
          <cell r="E57">
            <v>0.64328657314629256</v>
          </cell>
          <cell r="G57">
            <v>179</v>
          </cell>
        </row>
        <row r="58">
          <cell r="E58">
            <v>0.97194388777555107</v>
          </cell>
          <cell r="G58">
            <v>15</v>
          </cell>
        </row>
        <row r="59">
          <cell r="E59">
            <v>0.33266533066132264</v>
          </cell>
          <cell r="G59">
            <v>334</v>
          </cell>
        </row>
        <row r="60">
          <cell r="E60">
            <v>0.66733466933867736</v>
          </cell>
          <cell r="G60">
            <v>167</v>
          </cell>
        </row>
        <row r="61">
          <cell r="E61">
            <v>0.38476953907815631</v>
          </cell>
          <cell r="G61">
            <v>308</v>
          </cell>
        </row>
        <row r="62">
          <cell r="E62">
            <v>0.16833667334669339</v>
          </cell>
          <cell r="G62">
            <v>416</v>
          </cell>
        </row>
        <row r="63">
          <cell r="E63">
            <v>9.2184368737474945E-2</v>
          </cell>
          <cell r="G63">
            <v>454</v>
          </cell>
        </row>
        <row r="64">
          <cell r="E64">
            <v>0.47494989979959917</v>
          </cell>
          <cell r="G64">
            <v>263</v>
          </cell>
        </row>
        <row r="65">
          <cell r="E65">
            <v>0.45490981963927857</v>
          </cell>
          <cell r="G65">
            <v>273</v>
          </cell>
        </row>
        <row r="66">
          <cell r="E66">
            <v>0.17034068136272545</v>
          </cell>
          <cell r="G66">
            <v>415</v>
          </cell>
        </row>
        <row r="67">
          <cell r="E67">
            <v>0.69539078156312628</v>
          </cell>
          <cell r="G67">
            <v>153</v>
          </cell>
        </row>
        <row r="68">
          <cell r="E68">
            <v>0.78757515030060121</v>
          </cell>
          <cell r="G68">
            <v>107</v>
          </cell>
        </row>
        <row r="69">
          <cell r="E69">
            <v>0.35270541082164331</v>
          </cell>
          <cell r="G69">
            <v>324</v>
          </cell>
        </row>
        <row r="70">
          <cell r="E70">
            <v>0.56713426853707416</v>
          </cell>
          <cell r="G70">
            <v>217</v>
          </cell>
        </row>
        <row r="71">
          <cell r="E71">
            <v>0.58316633266533069</v>
          </cell>
          <cell r="G71">
            <v>209</v>
          </cell>
        </row>
        <row r="72">
          <cell r="E72">
            <v>0.9178356713426854</v>
          </cell>
          <cell r="G72">
            <v>42</v>
          </cell>
        </row>
        <row r="73">
          <cell r="E73">
            <v>0.30060120240480964</v>
          </cell>
          <cell r="G73">
            <v>350</v>
          </cell>
        </row>
        <row r="74">
          <cell r="E74">
            <v>0.57314629258517036</v>
          </cell>
          <cell r="G74">
            <v>214</v>
          </cell>
        </row>
        <row r="75">
          <cell r="E75">
            <v>0.70340681362725455</v>
          </cell>
          <cell r="G75">
            <v>149</v>
          </cell>
        </row>
        <row r="76">
          <cell r="E76">
            <v>0.54509018036072143</v>
          </cell>
          <cell r="G76">
            <v>228</v>
          </cell>
        </row>
        <row r="77">
          <cell r="E77">
            <v>0.79559118236472948</v>
          </cell>
          <cell r="G77">
            <v>103</v>
          </cell>
        </row>
        <row r="78">
          <cell r="E78">
            <v>0.11022044088176353</v>
          </cell>
          <cell r="G78">
            <v>445</v>
          </cell>
        </row>
        <row r="79">
          <cell r="E79">
            <v>0.14829659318637275</v>
          </cell>
          <cell r="G79">
            <v>426</v>
          </cell>
        </row>
        <row r="80">
          <cell r="E80">
            <v>0.18637274549098196</v>
          </cell>
          <cell r="G80">
            <v>407</v>
          </cell>
        </row>
        <row r="81">
          <cell r="E81">
            <v>0.96192384769539074</v>
          </cell>
          <cell r="G81">
            <v>20</v>
          </cell>
        </row>
        <row r="82">
          <cell r="E82">
            <v>0.90981963927855714</v>
          </cell>
          <cell r="G82">
            <v>46</v>
          </cell>
        </row>
        <row r="83">
          <cell r="E83">
            <v>0.56913827655310623</v>
          </cell>
          <cell r="G83">
            <v>216</v>
          </cell>
        </row>
        <row r="84">
          <cell r="E84">
            <v>0.62725450901803603</v>
          </cell>
          <cell r="G84">
            <v>187</v>
          </cell>
        </row>
        <row r="85">
          <cell r="E85">
            <v>0.72144288577154314</v>
          </cell>
          <cell r="G85">
            <v>140</v>
          </cell>
        </row>
        <row r="86">
          <cell r="E86">
            <v>0.18036072144288579</v>
          </cell>
          <cell r="G86">
            <v>410</v>
          </cell>
        </row>
        <row r="87">
          <cell r="E87">
            <v>0.22044088176352705</v>
          </cell>
          <cell r="G87">
            <v>390</v>
          </cell>
        </row>
        <row r="88">
          <cell r="E88">
            <v>0.15230460921843689</v>
          </cell>
          <cell r="G88">
            <v>424</v>
          </cell>
        </row>
        <row r="89">
          <cell r="E89">
            <v>0.21843687374749499</v>
          </cell>
          <cell r="G89">
            <v>391</v>
          </cell>
        </row>
        <row r="90">
          <cell r="E90">
            <v>0.25050100200400799</v>
          </cell>
          <cell r="G90">
            <v>375</v>
          </cell>
        </row>
        <row r="91">
          <cell r="E91">
            <v>0.22444889779559118</v>
          </cell>
          <cell r="G91">
            <v>388</v>
          </cell>
        </row>
        <row r="92">
          <cell r="E92">
            <v>0.99198396793587174</v>
          </cell>
          <cell r="G92">
            <v>5</v>
          </cell>
        </row>
        <row r="93">
          <cell r="E93">
            <v>0.63927855711422843</v>
          </cell>
          <cell r="G93">
            <v>181</v>
          </cell>
        </row>
        <row r="94">
          <cell r="E94">
            <v>0.49498997995991983</v>
          </cell>
          <cell r="G94">
            <v>253</v>
          </cell>
        </row>
        <row r="95">
          <cell r="E95">
            <v>0.45691382765531063</v>
          </cell>
          <cell r="G95">
            <v>272</v>
          </cell>
        </row>
        <row r="96">
          <cell r="E96">
            <v>0.50100200400801598</v>
          </cell>
          <cell r="G96">
            <v>250</v>
          </cell>
        </row>
        <row r="97">
          <cell r="E97">
            <v>0.16232464929859719</v>
          </cell>
          <cell r="G97">
            <v>419</v>
          </cell>
        </row>
        <row r="98">
          <cell r="E98">
            <v>0.26252505010020039</v>
          </cell>
          <cell r="G98">
            <v>369</v>
          </cell>
        </row>
        <row r="99">
          <cell r="E99">
            <v>0.78356713426853708</v>
          </cell>
          <cell r="G99">
            <v>109</v>
          </cell>
        </row>
        <row r="100">
          <cell r="E100">
            <v>0.47695390781563124</v>
          </cell>
          <cell r="G100">
            <v>262</v>
          </cell>
        </row>
        <row r="101">
          <cell r="E101">
            <v>0.19238476953907815</v>
          </cell>
          <cell r="G101">
            <v>404</v>
          </cell>
        </row>
        <row r="102">
          <cell r="E102">
            <v>0.32064128256513025</v>
          </cell>
          <cell r="G102">
            <v>340</v>
          </cell>
        </row>
        <row r="103">
          <cell r="E103">
            <v>0.46693386773547096</v>
          </cell>
          <cell r="G103">
            <v>267</v>
          </cell>
        </row>
        <row r="104">
          <cell r="E104">
            <v>0.9238476953907816</v>
          </cell>
          <cell r="G104">
            <v>39</v>
          </cell>
        </row>
        <row r="105">
          <cell r="E105">
            <v>0.73346693386773543</v>
          </cell>
          <cell r="G105">
            <v>134</v>
          </cell>
        </row>
        <row r="106">
          <cell r="E106">
            <v>0.77354709418837675</v>
          </cell>
          <cell r="G106">
            <v>114</v>
          </cell>
        </row>
        <row r="107">
          <cell r="E107">
            <v>0.12024048096192384</v>
          </cell>
          <cell r="G107">
            <v>440</v>
          </cell>
        </row>
        <row r="108">
          <cell r="E108">
            <v>0.67535070140280562</v>
          </cell>
          <cell r="G108">
            <v>163</v>
          </cell>
        </row>
        <row r="109">
          <cell r="E109">
            <v>0.20440881763527055</v>
          </cell>
          <cell r="G109">
            <v>398</v>
          </cell>
        </row>
        <row r="110">
          <cell r="E110">
            <v>0.56513026052104209</v>
          </cell>
          <cell r="G110">
            <v>218</v>
          </cell>
        </row>
        <row r="111">
          <cell r="E111">
            <v>0.59919839679358722</v>
          </cell>
          <cell r="G111">
            <v>201</v>
          </cell>
        </row>
        <row r="112">
          <cell r="E112">
            <v>0.37675350701402804</v>
          </cell>
          <cell r="G112">
            <v>312</v>
          </cell>
        </row>
        <row r="113">
          <cell r="E113">
            <v>0.21442885771543085</v>
          </cell>
          <cell r="G113">
            <v>393</v>
          </cell>
        </row>
        <row r="114">
          <cell r="E114">
            <v>0.60721442885771548</v>
          </cell>
          <cell r="G114">
            <v>197</v>
          </cell>
        </row>
        <row r="115">
          <cell r="E115">
            <v>0.36472945891783565</v>
          </cell>
          <cell r="G115">
            <v>318</v>
          </cell>
        </row>
        <row r="116">
          <cell r="E116">
            <v>0.66933867735470942</v>
          </cell>
          <cell r="G116">
            <v>166</v>
          </cell>
        </row>
        <row r="117">
          <cell r="E117">
            <v>0.46893787575150303</v>
          </cell>
          <cell r="G117">
            <v>266</v>
          </cell>
        </row>
        <row r="118">
          <cell r="E118">
            <v>0.19438877755511022</v>
          </cell>
          <cell r="G118">
            <v>403</v>
          </cell>
        </row>
        <row r="119">
          <cell r="E119">
            <v>0.58116232464929862</v>
          </cell>
          <cell r="G119">
            <v>210</v>
          </cell>
        </row>
        <row r="120">
          <cell r="E120">
            <v>0.11823647294589178</v>
          </cell>
          <cell r="G120">
            <v>441</v>
          </cell>
        </row>
        <row r="121">
          <cell r="E121">
            <v>0.19038076152304609</v>
          </cell>
          <cell r="G121">
            <v>405</v>
          </cell>
        </row>
        <row r="122">
          <cell r="E122">
            <v>0.34068136272545091</v>
          </cell>
          <cell r="G122">
            <v>330</v>
          </cell>
        </row>
        <row r="123">
          <cell r="E123">
            <v>0.73146292585170336</v>
          </cell>
          <cell r="G123">
            <v>135</v>
          </cell>
        </row>
        <row r="124">
          <cell r="E124">
            <v>0.77555110220440882</v>
          </cell>
          <cell r="G124">
            <v>113</v>
          </cell>
        </row>
        <row r="125">
          <cell r="E125">
            <v>0.69138276553106215</v>
          </cell>
          <cell r="G125">
            <v>155</v>
          </cell>
        </row>
        <row r="126">
          <cell r="E126">
            <v>0.84769539078156309</v>
          </cell>
          <cell r="G126">
            <v>77</v>
          </cell>
        </row>
        <row r="127">
          <cell r="E127">
            <v>0.76953907815631262</v>
          </cell>
          <cell r="G127">
            <v>116</v>
          </cell>
        </row>
        <row r="128">
          <cell r="E128">
            <v>0.95791583166332661</v>
          </cell>
          <cell r="G128">
            <v>22</v>
          </cell>
        </row>
        <row r="129">
          <cell r="E129">
            <v>0.7234468937875751</v>
          </cell>
          <cell r="G129">
            <v>139</v>
          </cell>
        </row>
        <row r="130">
          <cell r="E130">
            <v>0.44488977955911824</v>
          </cell>
          <cell r="G130">
            <v>278</v>
          </cell>
        </row>
        <row r="131">
          <cell r="E131">
            <v>0.17234468937875752</v>
          </cell>
          <cell r="G131">
            <v>414</v>
          </cell>
        </row>
        <row r="132">
          <cell r="E132">
            <v>0.4468937875751503</v>
          </cell>
          <cell r="G132">
            <v>277</v>
          </cell>
        </row>
        <row r="133">
          <cell r="E133">
            <v>0.81162324649298601</v>
          </cell>
          <cell r="G133">
            <v>95</v>
          </cell>
        </row>
        <row r="134">
          <cell r="E134">
            <v>0.9298597194388778</v>
          </cell>
          <cell r="G134">
            <v>36</v>
          </cell>
        </row>
        <row r="135">
          <cell r="E135">
            <v>0.58917835671342689</v>
          </cell>
          <cell r="G135">
            <v>206</v>
          </cell>
        </row>
        <row r="136">
          <cell r="E136">
            <v>0.93787575150300606</v>
          </cell>
          <cell r="G136">
            <v>32</v>
          </cell>
        </row>
        <row r="137">
          <cell r="E137">
            <v>0.51102204408817631</v>
          </cell>
          <cell r="G137">
            <v>245</v>
          </cell>
        </row>
        <row r="138">
          <cell r="E138">
            <v>0.24448897795591182</v>
          </cell>
          <cell r="G138">
            <v>378</v>
          </cell>
        </row>
        <row r="139">
          <cell r="E139">
            <v>0.28056112224448898</v>
          </cell>
          <cell r="G139">
            <v>360</v>
          </cell>
        </row>
        <row r="140">
          <cell r="E140">
            <v>0.4148296593186373</v>
          </cell>
          <cell r="G140">
            <v>293</v>
          </cell>
        </row>
        <row r="141">
          <cell r="E141">
            <v>0.69939879759519041</v>
          </cell>
          <cell r="G141">
            <v>151</v>
          </cell>
        </row>
        <row r="142">
          <cell r="E142">
            <v>0.74348697394789576</v>
          </cell>
          <cell r="G142">
            <v>129</v>
          </cell>
        </row>
        <row r="143">
          <cell r="E143">
            <v>0.72745490981963923</v>
          </cell>
          <cell r="G143">
            <v>137</v>
          </cell>
        </row>
        <row r="144">
          <cell r="E144">
            <v>0.25450901803607212</v>
          </cell>
          <cell r="G144">
            <v>373</v>
          </cell>
        </row>
        <row r="145">
          <cell r="E145">
            <v>0.30661322645290578</v>
          </cell>
          <cell r="G145">
            <v>347</v>
          </cell>
        </row>
        <row r="146">
          <cell r="E146">
            <v>0.56112224448897796</v>
          </cell>
          <cell r="G146">
            <v>220</v>
          </cell>
        </row>
        <row r="147">
          <cell r="E147">
            <v>0.86573146292585168</v>
          </cell>
          <cell r="G147">
            <v>68</v>
          </cell>
        </row>
        <row r="148">
          <cell r="E148">
            <v>0.42484969939879758</v>
          </cell>
          <cell r="G148">
            <v>288</v>
          </cell>
        </row>
        <row r="149">
          <cell r="E149">
            <v>0.12224448897795591</v>
          </cell>
          <cell r="G149">
            <v>439</v>
          </cell>
        </row>
        <row r="150">
          <cell r="E150">
            <v>0.5410821643286573</v>
          </cell>
          <cell r="G150">
            <v>230</v>
          </cell>
        </row>
        <row r="151">
          <cell r="E151">
            <v>0.64529058116232463</v>
          </cell>
          <cell r="G151">
            <v>178</v>
          </cell>
        </row>
        <row r="152">
          <cell r="E152">
            <v>0.63326653306613223</v>
          </cell>
          <cell r="G152">
            <v>184</v>
          </cell>
        </row>
        <row r="153">
          <cell r="E153">
            <v>0.10020040080160321</v>
          </cell>
          <cell r="G153">
            <v>450</v>
          </cell>
        </row>
        <row r="154">
          <cell r="E154">
            <v>0.54308617234468937</v>
          </cell>
          <cell r="G154">
            <v>229</v>
          </cell>
        </row>
        <row r="155">
          <cell r="E155">
            <v>0.76152304609218435</v>
          </cell>
          <cell r="G155">
            <v>120</v>
          </cell>
        </row>
        <row r="156">
          <cell r="E156">
            <v>0.62525050100200397</v>
          </cell>
          <cell r="G156">
            <v>188</v>
          </cell>
        </row>
        <row r="157">
          <cell r="E157">
            <v>0.70140280561122248</v>
          </cell>
          <cell r="G157">
            <v>150</v>
          </cell>
        </row>
        <row r="158">
          <cell r="E158">
            <v>0.9118236472945892</v>
          </cell>
          <cell r="G158">
            <v>45</v>
          </cell>
        </row>
        <row r="159">
          <cell r="E159">
            <v>0.99799599198396793</v>
          </cell>
          <cell r="G159">
            <v>2</v>
          </cell>
        </row>
        <row r="160">
          <cell r="E160">
            <v>0.13226452905811623</v>
          </cell>
          <cell r="G160">
            <v>434</v>
          </cell>
        </row>
        <row r="161">
          <cell r="E161">
            <v>0.57915831663326656</v>
          </cell>
          <cell r="G161">
            <v>211</v>
          </cell>
        </row>
        <row r="162">
          <cell r="E162">
            <v>0.20641282565130262</v>
          </cell>
          <cell r="G162">
            <v>397</v>
          </cell>
        </row>
        <row r="163">
          <cell r="E163">
            <v>9.6192384769539077E-2</v>
          </cell>
          <cell r="G163">
            <v>452</v>
          </cell>
        </row>
        <row r="164">
          <cell r="E164">
            <v>0.80561122244488981</v>
          </cell>
          <cell r="G164">
            <v>98</v>
          </cell>
        </row>
        <row r="165">
          <cell r="E165">
            <v>0.94188376753507019</v>
          </cell>
          <cell r="G165">
            <v>30</v>
          </cell>
        </row>
        <row r="166">
          <cell r="E166">
            <v>0.36072144288577157</v>
          </cell>
          <cell r="G166">
            <v>320</v>
          </cell>
        </row>
        <row r="167">
          <cell r="E167">
            <v>0.84368737474949895</v>
          </cell>
          <cell r="G167">
            <v>79</v>
          </cell>
        </row>
        <row r="168">
          <cell r="E168">
            <v>8.8176352705410826E-2</v>
          </cell>
          <cell r="G168">
            <v>456</v>
          </cell>
        </row>
        <row r="169">
          <cell r="E169">
            <v>0.13627254509018036</v>
          </cell>
          <cell r="G169">
            <v>432</v>
          </cell>
        </row>
        <row r="170">
          <cell r="E170">
            <v>0.67935871743486975</v>
          </cell>
          <cell r="G170">
            <v>161</v>
          </cell>
        </row>
        <row r="171">
          <cell r="E171">
            <v>0.10621242484969939</v>
          </cell>
          <cell r="G171">
            <v>447</v>
          </cell>
        </row>
        <row r="172">
          <cell r="E172">
            <v>0.27655310621242485</v>
          </cell>
          <cell r="G172">
            <v>362</v>
          </cell>
        </row>
        <row r="173">
          <cell r="E173">
            <v>0.81362725450901807</v>
          </cell>
          <cell r="G173">
            <v>94</v>
          </cell>
        </row>
        <row r="174">
          <cell r="E174">
            <v>0.4649298597194389</v>
          </cell>
          <cell r="G174">
            <v>268</v>
          </cell>
        </row>
        <row r="175">
          <cell r="E175">
            <v>0.74148296593186369</v>
          </cell>
          <cell r="G175">
            <v>130</v>
          </cell>
        </row>
        <row r="176">
          <cell r="E176">
            <v>0.88577154308617234</v>
          </cell>
          <cell r="G176">
            <v>58</v>
          </cell>
        </row>
        <row r="177">
          <cell r="E177">
            <v>0.34268537074148298</v>
          </cell>
          <cell r="G177">
            <v>329</v>
          </cell>
        </row>
        <row r="178">
          <cell r="E178">
            <v>0.4408817635270541</v>
          </cell>
          <cell r="G178">
            <v>280</v>
          </cell>
        </row>
        <row r="179">
          <cell r="E179">
            <v>1</v>
          </cell>
          <cell r="G179">
            <v>1</v>
          </cell>
        </row>
        <row r="180">
          <cell r="E180">
            <v>0.92184368737474953</v>
          </cell>
          <cell r="G180">
            <v>40</v>
          </cell>
        </row>
        <row r="181">
          <cell r="E181">
            <v>9.0180360721442893E-2</v>
          </cell>
          <cell r="G181">
            <v>455</v>
          </cell>
        </row>
        <row r="182">
          <cell r="E182">
            <v>0.4709418837675351</v>
          </cell>
          <cell r="G182">
            <v>265</v>
          </cell>
        </row>
        <row r="183">
          <cell r="E183">
            <v>0.21042084168336672</v>
          </cell>
          <cell r="G183">
            <v>395</v>
          </cell>
        </row>
        <row r="184">
          <cell r="E184">
            <v>0.88977955911823647</v>
          </cell>
          <cell r="G184">
            <v>56</v>
          </cell>
        </row>
        <row r="185">
          <cell r="E185">
            <v>0.5290581162324649</v>
          </cell>
          <cell r="G185">
            <v>236</v>
          </cell>
        </row>
        <row r="186">
          <cell r="E186">
            <v>0.9819639278557114</v>
          </cell>
          <cell r="G186">
            <v>10</v>
          </cell>
        </row>
        <row r="187">
          <cell r="E187">
            <v>0.8176352705410822</v>
          </cell>
          <cell r="G187">
            <v>92</v>
          </cell>
        </row>
        <row r="188">
          <cell r="E188">
            <v>0.81563126252505014</v>
          </cell>
          <cell r="G188">
            <v>93</v>
          </cell>
        </row>
        <row r="189">
          <cell r="E189">
            <v>0.68937875751503008</v>
          </cell>
          <cell r="G189">
            <v>156</v>
          </cell>
        </row>
        <row r="190">
          <cell r="E190">
            <v>0.36873747494989978</v>
          </cell>
          <cell r="G190">
            <v>316</v>
          </cell>
        </row>
        <row r="191">
          <cell r="E191">
            <v>0.69739478957915835</v>
          </cell>
          <cell r="G191">
            <v>152</v>
          </cell>
        </row>
        <row r="192">
          <cell r="E192">
            <v>0.42685370741482964</v>
          </cell>
          <cell r="G192">
            <v>287</v>
          </cell>
        </row>
        <row r="193">
          <cell r="E193">
            <v>0.96793587174348694</v>
          </cell>
          <cell r="G193">
            <v>17</v>
          </cell>
        </row>
        <row r="194">
          <cell r="E194">
            <v>0.24649298597194388</v>
          </cell>
          <cell r="G194">
            <v>377</v>
          </cell>
        </row>
        <row r="195">
          <cell r="E195">
            <v>0.23446893787575152</v>
          </cell>
          <cell r="G195">
            <v>383</v>
          </cell>
        </row>
        <row r="196">
          <cell r="E196">
            <v>0.70941883767535074</v>
          </cell>
          <cell r="G196">
            <v>146</v>
          </cell>
        </row>
        <row r="197">
          <cell r="E197">
            <v>0.43887775551102204</v>
          </cell>
          <cell r="G197">
            <v>281</v>
          </cell>
        </row>
        <row r="198">
          <cell r="E198">
            <v>0.23046092184368738</v>
          </cell>
          <cell r="G198">
            <v>385</v>
          </cell>
        </row>
        <row r="199">
          <cell r="E199">
            <v>0.60120240480961928</v>
          </cell>
          <cell r="G199">
            <v>200</v>
          </cell>
        </row>
        <row r="200">
          <cell r="E200">
            <v>0.80761523046092187</v>
          </cell>
          <cell r="G200">
            <v>97</v>
          </cell>
        </row>
        <row r="201">
          <cell r="E201">
            <v>0.78156312625250501</v>
          </cell>
          <cell r="G201">
            <v>110</v>
          </cell>
        </row>
        <row r="202">
          <cell r="E202">
            <v>0.33466933867735471</v>
          </cell>
          <cell r="G202">
            <v>333</v>
          </cell>
        </row>
        <row r="203">
          <cell r="E203">
            <v>0.4909819639278557</v>
          </cell>
          <cell r="G203">
            <v>255</v>
          </cell>
        </row>
        <row r="204">
          <cell r="E204">
            <v>0.39478957915831664</v>
          </cell>
          <cell r="G204">
            <v>303</v>
          </cell>
        </row>
        <row r="205">
          <cell r="E205">
            <v>0.84569138276553102</v>
          </cell>
          <cell r="G205">
            <v>78</v>
          </cell>
        </row>
        <row r="206">
          <cell r="E206">
            <v>0.87575150300601201</v>
          </cell>
          <cell r="G206">
            <v>63</v>
          </cell>
        </row>
        <row r="207">
          <cell r="E207">
            <v>0.14428857715430862</v>
          </cell>
          <cell r="G207">
            <v>428</v>
          </cell>
        </row>
        <row r="208">
          <cell r="E208">
            <v>0.82164328657314634</v>
          </cell>
          <cell r="G208">
            <v>90</v>
          </cell>
        </row>
        <row r="209">
          <cell r="E209">
            <v>0.22845691382765532</v>
          </cell>
          <cell r="G209">
            <v>386</v>
          </cell>
        </row>
        <row r="210">
          <cell r="E210">
            <v>0.52505010020040077</v>
          </cell>
          <cell r="G210">
            <v>238</v>
          </cell>
        </row>
        <row r="211">
          <cell r="E211">
            <v>0.905811623246493</v>
          </cell>
          <cell r="G211">
            <v>48</v>
          </cell>
        </row>
        <row r="212">
          <cell r="E212">
            <v>0.86773547094188375</v>
          </cell>
          <cell r="G212">
            <v>67</v>
          </cell>
        </row>
        <row r="213">
          <cell r="E213">
            <v>0.41282565130260523</v>
          </cell>
          <cell r="G213">
            <v>294</v>
          </cell>
        </row>
        <row r="214">
          <cell r="E214">
            <v>0.44288577154308617</v>
          </cell>
          <cell r="G214">
            <v>279</v>
          </cell>
        </row>
        <row r="215">
          <cell r="E215">
            <v>0.27855711422845691</v>
          </cell>
          <cell r="G215">
            <v>361</v>
          </cell>
        </row>
        <row r="216">
          <cell r="E216">
            <v>0.70541082164328661</v>
          </cell>
          <cell r="G216">
            <v>148</v>
          </cell>
        </row>
        <row r="217">
          <cell r="E217">
            <v>0.48697394789579157</v>
          </cell>
          <cell r="G217">
            <v>257</v>
          </cell>
        </row>
        <row r="218">
          <cell r="E218">
            <v>0.14629258517034069</v>
          </cell>
          <cell r="G218">
            <v>427</v>
          </cell>
        </row>
        <row r="219">
          <cell r="E219">
            <v>0.15430861723446893</v>
          </cell>
          <cell r="G219">
            <v>423</v>
          </cell>
        </row>
        <row r="220">
          <cell r="E220">
            <v>0.51503006012024044</v>
          </cell>
          <cell r="G220">
            <v>243</v>
          </cell>
        </row>
        <row r="221">
          <cell r="E221">
            <v>0.83767535070140275</v>
          </cell>
          <cell r="G221">
            <v>82</v>
          </cell>
        </row>
        <row r="222">
          <cell r="E222">
            <v>0.74949899799599196</v>
          </cell>
          <cell r="G222">
            <v>126</v>
          </cell>
        </row>
        <row r="223">
          <cell r="E223">
            <v>0.39679358717434871</v>
          </cell>
          <cell r="G223">
            <v>302</v>
          </cell>
        </row>
        <row r="224">
          <cell r="E224">
            <v>0.25651302605210419</v>
          </cell>
          <cell r="G224">
            <v>372</v>
          </cell>
        </row>
        <row r="225">
          <cell r="E225">
            <v>0.34869739478957917</v>
          </cell>
          <cell r="G225">
            <v>326</v>
          </cell>
        </row>
        <row r="226">
          <cell r="E226">
            <v>0.20240480961923848</v>
          </cell>
          <cell r="G226">
            <v>399</v>
          </cell>
        </row>
        <row r="227">
          <cell r="E227">
            <v>0.79358717434869741</v>
          </cell>
          <cell r="G227">
            <v>104</v>
          </cell>
        </row>
        <row r="228">
          <cell r="E228">
            <v>0.72545090180360716</v>
          </cell>
          <cell r="G228">
            <v>138</v>
          </cell>
        </row>
        <row r="229">
          <cell r="E229">
            <v>0.88176352705410821</v>
          </cell>
          <cell r="G229">
            <v>60</v>
          </cell>
        </row>
        <row r="230">
          <cell r="E230">
            <v>0.32264529058116231</v>
          </cell>
          <cell r="G230">
            <v>339</v>
          </cell>
        </row>
        <row r="231">
          <cell r="E231">
            <v>0.51302605210420837</v>
          </cell>
          <cell r="G231">
            <v>244</v>
          </cell>
        </row>
        <row r="232">
          <cell r="E232">
            <v>0.26653306613226452</v>
          </cell>
          <cell r="G232">
            <v>367</v>
          </cell>
        </row>
        <row r="233">
          <cell r="E233">
            <v>0.71142284569138281</v>
          </cell>
          <cell r="G233">
            <v>145</v>
          </cell>
        </row>
        <row r="234">
          <cell r="E234">
            <v>0.98597194388777554</v>
          </cell>
          <cell r="G234">
            <v>8</v>
          </cell>
        </row>
        <row r="235">
          <cell r="E235">
            <v>0.48296593186372744</v>
          </cell>
          <cell r="G235">
            <v>259</v>
          </cell>
        </row>
        <row r="236">
          <cell r="E236">
            <v>0.30460921843687377</v>
          </cell>
          <cell r="G236">
            <v>348</v>
          </cell>
        </row>
        <row r="237">
          <cell r="E237">
            <v>0.80360721442885774</v>
          </cell>
          <cell r="G237">
            <v>99</v>
          </cell>
        </row>
        <row r="238">
          <cell r="E238">
            <v>0.63126252505010017</v>
          </cell>
          <cell r="G238">
            <v>185</v>
          </cell>
        </row>
        <row r="239">
          <cell r="E239">
            <v>0.71342685370741488</v>
          </cell>
          <cell r="G239">
            <v>144</v>
          </cell>
        </row>
        <row r="240">
          <cell r="E240">
            <v>0.37875751503006011</v>
          </cell>
          <cell r="G240">
            <v>311</v>
          </cell>
        </row>
        <row r="241">
          <cell r="E241">
            <v>0.5230460921843687</v>
          </cell>
          <cell r="G241">
            <v>239</v>
          </cell>
        </row>
        <row r="242">
          <cell r="E242">
            <v>0.10821643286573146</v>
          </cell>
          <cell r="G242">
            <v>446</v>
          </cell>
        </row>
        <row r="243">
          <cell r="E243">
            <v>0.6352705410821643</v>
          </cell>
          <cell r="G243">
            <v>183</v>
          </cell>
        </row>
        <row r="244">
          <cell r="E244">
            <v>0.88777555110220441</v>
          </cell>
          <cell r="G244">
            <v>57</v>
          </cell>
        </row>
        <row r="245">
          <cell r="E245">
            <v>0.15631262525050099</v>
          </cell>
          <cell r="G245">
            <v>422</v>
          </cell>
        </row>
        <row r="246">
          <cell r="E246">
            <v>0.13426853707414829</v>
          </cell>
          <cell r="G246">
            <v>433</v>
          </cell>
        </row>
        <row r="247">
          <cell r="E247">
            <v>0.17434869739478959</v>
          </cell>
          <cell r="G247">
            <v>413</v>
          </cell>
        </row>
        <row r="248">
          <cell r="E248">
            <v>0.65531062124248496</v>
          </cell>
          <cell r="G248">
            <v>173</v>
          </cell>
        </row>
        <row r="249">
          <cell r="E249">
            <v>0.35470941883767537</v>
          </cell>
          <cell r="G249">
            <v>323</v>
          </cell>
        </row>
        <row r="250">
          <cell r="E250">
            <v>0.21242484969939879</v>
          </cell>
          <cell r="G250">
            <v>394</v>
          </cell>
        </row>
        <row r="251">
          <cell r="E251">
            <v>0.40681362725450904</v>
          </cell>
          <cell r="G251">
            <v>297</v>
          </cell>
        </row>
        <row r="252">
          <cell r="E252">
            <v>0.59118236472945895</v>
          </cell>
          <cell r="G252">
            <v>205</v>
          </cell>
        </row>
        <row r="253">
          <cell r="E253">
            <v>0.59719438877755515</v>
          </cell>
          <cell r="G253">
            <v>202</v>
          </cell>
        </row>
        <row r="254">
          <cell r="E254">
            <v>0.12625250501002003</v>
          </cell>
          <cell r="G254">
            <v>437</v>
          </cell>
        </row>
        <row r="255">
          <cell r="E255">
            <v>0.18436873747494989</v>
          </cell>
          <cell r="G255">
            <v>408</v>
          </cell>
        </row>
        <row r="256">
          <cell r="E256">
            <v>0.15030060120240482</v>
          </cell>
          <cell r="G256">
            <v>425</v>
          </cell>
        </row>
        <row r="257">
          <cell r="E257">
            <v>0.14028056112224449</v>
          </cell>
          <cell r="G257">
            <v>430</v>
          </cell>
        </row>
        <row r="258">
          <cell r="E258">
            <v>0.43486973947895791</v>
          </cell>
          <cell r="G258">
            <v>283</v>
          </cell>
        </row>
        <row r="259">
          <cell r="E259">
            <v>0.59318637274549102</v>
          </cell>
          <cell r="G259">
            <v>204</v>
          </cell>
        </row>
        <row r="260">
          <cell r="E260">
            <v>0.20841683366733466</v>
          </cell>
          <cell r="G260">
            <v>396</v>
          </cell>
        </row>
        <row r="261">
          <cell r="E261">
            <v>0.24849699398797595</v>
          </cell>
          <cell r="G261">
            <v>376</v>
          </cell>
        </row>
        <row r="262">
          <cell r="E262">
            <v>0.60521042084168342</v>
          </cell>
          <cell r="G262">
            <v>198</v>
          </cell>
        </row>
        <row r="263">
          <cell r="E263">
            <v>0.98997995991983967</v>
          </cell>
          <cell r="G263">
            <v>6</v>
          </cell>
        </row>
        <row r="264">
          <cell r="E264">
            <v>0.25851703406813625</v>
          </cell>
          <cell r="G264">
            <v>371</v>
          </cell>
        </row>
        <row r="265">
          <cell r="E265">
            <v>0.77755511022044088</v>
          </cell>
          <cell r="G265">
            <v>112</v>
          </cell>
        </row>
        <row r="266">
          <cell r="E266">
            <v>0.71543086172344694</v>
          </cell>
          <cell r="G266">
            <v>143</v>
          </cell>
        </row>
        <row r="267">
          <cell r="E267">
            <v>0.4529058116232465</v>
          </cell>
          <cell r="G267">
            <v>274</v>
          </cell>
        </row>
        <row r="268">
          <cell r="E268">
            <v>0.31663326653306612</v>
          </cell>
          <cell r="G268">
            <v>342</v>
          </cell>
        </row>
        <row r="269">
          <cell r="E269">
            <v>0.30260521042084171</v>
          </cell>
          <cell r="G269">
            <v>349</v>
          </cell>
        </row>
        <row r="270">
          <cell r="E270">
            <v>0.96593186372745488</v>
          </cell>
          <cell r="G270">
            <v>18</v>
          </cell>
        </row>
        <row r="271">
          <cell r="E271">
            <v>0.29458917835671344</v>
          </cell>
          <cell r="G271">
            <v>353</v>
          </cell>
        </row>
        <row r="272">
          <cell r="E272">
            <v>0.18236472945891782</v>
          </cell>
          <cell r="G272">
            <v>409</v>
          </cell>
        </row>
        <row r="273">
          <cell r="E273">
            <v>0.6232464929859719</v>
          </cell>
          <cell r="G273">
            <v>189</v>
          </cell>
        </row>
        <row r="274">
          <cell r="E274">
            <v>0.78957915831663328</v>
          </cell>
          <cell r="G274">
            <v>106</v>
          </cell>
        </row>
        <row r="275">
          <cell r="E275">
            <v>0.79158316633266534</v>
          </cell>
          <cell r="G275">
            <v>105</v>
          </cell>
        </row>
        <row r="276">
          <cell r="E276">
            <v>0.65931863727454909</v>
          </cell>
          <cell r="G276">
            <v>171</v>
          </cell>
        </row>
        <row r="277">
          <cell r="E277">
            <v>0.29859719438877758</v>
          </cell>
          <cell r="G277">
            <v>351</v>
          </cell>
        </row>
        <row r="278">
          <cell r="E278">
            <v>0.42284569138276551</v>
          </cell>
          <cell r="G278">
            <v>289</v>
          </cell>
        </row>
        <row r="279">
          <cell r="E279">
            <v>0.9879759519038076</v>
          </cell>
          <cell r="G279">
            <v>7</v>
          </cell>
        </row>
        <row r="280">
          <cell r="E280">
            <v>0.35070140280561124</v>
          </cell>
          <cell r="G280">
            <v>325</v>
          </cell>
        </row>
        <row r="281">
          <cell r="E281">
            <v>0.80160320641282568</v>
          </cell>
          <cell r="G281">
            <v>100</v>
          </cell>
        </row>
        <row r="282">
          <cell r="E282">
            <v>0.24048096192384769</v>
          </cell>
          <cell r="G282">
            <v>380</v>
          </cell>
        </row>
        <row r="283">
          <cell r="E283">
            <v>0.38276553106212424</v>
          </cell>
          <cell r="G283">
            <v>309</v>
          </cell>
        </row>
        <row r="284">
          <cell r="E284">
            <v>0.23647294589178355</v>
          </cell>
          <cell r="G284">
            <v>382</v>
          </cell>
        </row>
        <row r="285">
          <cell r="E285">
            <v>0.65130260521042083</v>
          </cell>
          <cell r="G285">
            <v>175</v>
          </cell>
        </row>
        <row r="286">
          <cell r="E286">
            <v>0.83567134268537069</v>
          </cell>
          <cell r="G286">
            <v>83</v>
          </cell>
        </row>
        <row r="287">
          <cell r="E287">
            <v>0.75150300601202402</v>
          </cell>
          <cell r="G287">
            <v>125</v>
          </cell>
        </row>
        <row r="288">
          <cell r="E288">
            <v>0.19639278557114229</v>
          </cell>
          <cell r="G288">
            <v>402</v>
          </cell>
        </row>
        <row r="289">
          <cell r="E289">
            <v>0.33066132264529058</v>
          </cell>
          <cell r="G289">
            <v>335</v>
          </cell>
        </row>
        <row r="290">
          <cell r="E290">
            <v>0.27254509018036072</v>
          </cell>
          <cell r="G290">
            <v>364</v>
          </cell>
        </row>
        <row r="291">
          <cell r="E291">
            <v>0.60320641282565135</v>
          </cell>
          <cell r="G291">
            <v>199</v>
          </cell>
        </row>
        <row r="292">
          <cell r="E292">
            <v>0.75551102204408815</v>
          </cell>
          <cell r="G292">
            <v>123</v>
          </cell>
        </row>
        <row r="293">
          <cell r="E293">
            <v>0.98396793587174347</v>
          </cell>
          <cell r="G293">
            <v>9</v>
          </cell>
        </row>
        <row r="294">
          <cell r="E294">
            <v>0.24248496993987975</v>
          </cell>
          <cell r="G294">
            <v>379</v>
          </cell>
        </row>
        <row r="295">
          <cell r="E295">
            <v>0.3587174348697395</v>
          </cell>
          <cell r="G295">
            <v>321</v>
          </cell>
        </row>
        <row r="296">
          <cell r="E296">
            <v>0.93587174348697399</v>
          </cell>
          <cell r="G296">
            <v>33</v>
          </cell>
        </row>
        <row r="297">
          <cell r="E297">
            <v>0.31462925851703405</v>
          </cell>
          <cell r="G297">
            <v>343</v>
          </cell>
        </row>
        <row r="298">
          <cell r="E298">
            <v>0.38677354709418837</v>
          </cell>
          <cell r="G298">
            <v>307</v>
          </cell>
        </row>
        <row r="299">
          <cell r="E299">
            <v>0.95591182364729455</v>
          </cell>
          <cell r="G299">
            <v>23</v>
          </cell>
        </row>
        <row r="300">
          <cell r="E300">
            <v>0.54909819639278556</v>
          </cell>
          <cell r="G300">
            <v>226</v>
          </cell>
        </row>
        <row r="301">
          <cell r="E301">
            <v>0.6412825651302605</v>
          </cell>
          <cell r="G301">
            <v>180</v>
          </cell>
        </row>
        <row r="302">
          <cell r="E302">
            <v>0.51703406813627251</v>
          </cell>
          <cell r="G302">
            <v>242</v>
          </cell>
        </row>
        <row r="303">
          <cell r="E303">
            <v>0.55511022044088176</v>
          </cell>
          <cell r="G303">
            <v>223</v>
          </cell>
        </row>
        <row r="304">
          <cell r="E304">
            <v>0.99599198396793587</v>
          </cell>
          <cell r="G304">
            <v>3</v>
          </cell>
        </row>
        <row r="305">
          <cell r="E305">
            <v>0.11222444889779559</v>
          </cell>
          <cell r="G305">
            <v>444</v>
          </cell>
        </row>
        <row r="306">
          <cell r="E306">
            <v>0.8296593186372746</v>
          </cell>
          <cell r="G306">
            <v>86</v>
          </cell>
        </row>
        <row r="307">
          <cell r="E307">
            <v>0.67334669338677355</v>
          </cell>
          <cell r="G307">
            <v>164</v>
          </cell>
        </row>
        <row r="308">
          <cell r="E308">
            <v>0.50300601202404804</v>
          </cell>
          <cell r="G308">
            <v>249</v>
          </cell>
        </row>
        <row r="309">
          <cell r="E309">
            <v>0.53106212424849697</v>
          </cell>
          <cell r="G309">
            <v>235</v>
          </cell>
        </row>
        <row r="310">
          <cell r="E310">
            <v>0.42084168336673344</v>
          </cell>
          <cell r="G310">
            <v>290</v>
          </cell>
        </row>
        <row r="311">
          <cell r="E311">
            <v>0.40480961923847697</v>
          </cell>
          <cell r="G311">
            <v>298</v>
          </cell>
        </row>
        <row r="312">
          <cell r="E312">
            <v>0.41883767535070138</v>
          </cell>
          <cell r="G312">
            <v>291</v>
          </cell>
        </row>
        <row r="313">
          <cell r="E313">
            <v>0.22645290581162325</v>
          </cell>
          <cell r="G313">
            <v>387</v>
          </cell>
        </row>
        <row r="314">
          <cell r="E314">
            <v>0.93186372745490986</v>
          </cell>
          <cell r="G314">
            <v>35</v>
          </cell>
        </row>
        <row r="315">
          <cell r="E315">
            <v>0.59519038076152309</v>
          </cell>
          <cell r="G315">
            <v>203</v>
          </cell>
        </row>
        <row r="316">
          <cell r="E316">
            <v>0.46292585170340683</v>
          </cell>
          <cell r="G316">
            <v>269</v>
          </cell>
        </row>
        <row r="317">
          <cell r="E317">
            <v>0.97394789579158314</v>
          </cell>
          <cell r="G317">
            <v>14</v>
          </cell>
        </row>
        <row r="318">
          <cell r="E318">
            <v>0.37474949899799598</v>
          </cell>
          <cell r="G318">
            <v>313</v>
          </cell>
        </row>
        <row r="319">
          <cell r="E319">
            <v>0.58717434869739482</v>
          </cell>
          <cell r="G319">
            <v>207</v>
          </cell>
        </row>
        <row r="320">
          <cell r="E320">
            <v>0.18837675350701402</v>
          </cell>
          <cell r="G320">
            <v>406</v>
          </cell>
        </row>
        <row r="321">
          <cell r="E321">
            <v>0.46092184368737477</v>
          </cell>
          <cell r="G321">
            <v>270</v>
          </cell>
        </row>
        <row r="322">
          <cell r="E322">
            <v>0.50501002004008011</v>
          </cell>
          <cell r="G322">
            <v>248</v>
          </cell>
        </row>
        <row r="323">
          <cell r="E323">
            <v>0.94789579158316628</v>
          </cell>
          <cell r="G323">
            <v>27</v>
          </cell>
        </row>
        <row r="324">
          <cell r="E324">
            <v>0.87975951903807614</v>
          </cell>
          <cell r="G324">
            <v>61</v>
          </cell>
        </row>
        <row r="325">
          <cell r="E325">
            <v>0.14228456913827656</v>
          </cell>
          <cell r="G325">
            <v>429</v>
          </cell>
        </row>
        <row r="326">
          <cell r="E326">
            <v>0.43687374749498997</v>
          </cell>
          <cell r="G326">
            <v>282</v>
          </cell>
        </row>
        <row r="327">
          <cell r="E327">
            <v>0.84168336673346689</v>
          </cell>
          <cell r="G327">
            <v>80</v>
          </cell>
        </row>
        <row r="328">
          <cell r="E328">
            <v>0.50701402805611218</v>
          </cell>
          <cell r="G328">
            <v>247</v>
          </cell>
        </row>
        <row r="329">
          <cell r="E329">
            <v>0.29058116232464931</v>
          </cell>
          <cell r="G329">
            <v>355</v>
          </cell>
        </row>
        <row r="330">
          <cell r="E330">
            <v>0.4969939879759519</v>
          </cell>
          <cell r="G330">
            <v>252</v>
          </cell>
        </row>
        <row r="331">
          <cell r="E331">
            <v>0.74549098196392782</v>
          </cell>
          <cell r="G331">
            <v>128</v>
          </cell>
        </row>
        <row r="332">
          <cell r="E332">
            <v>0.65330661322645289</v>
          </cell>
          <cell r="G332">
            <v>174</v>
          </cell>
        </row>
        <row r="333">
          <cell r="E333">
            <v>0.89579158316633267</v>
          </cell>
          <cell r="G333">
            <v>53</v>
          </cell>
        </row>
        <row r="334">
          <cell r="E334">
            <v>0.12424849699398798</v>
          </cell>
          <cell r="G334">
            <v>438</v>
          </cell>
        </row>
        <row r="335">
          <cell r="E335">
            <v>0.32464929859719438</v>
          </cell>
          <cell r="G335">
            <v>338</v>
          </cell>
        </row>
        <row r="336">
          <cell r="E336">
            <v>0.75751503006012022</v>
          </cell>
          <cell r="G336">
            <v>122</v>
          </cell>
        </row>
        <row r="337">
          <cell r="E337">
            <v>0.13827655310621242</v>
          </cell>
          <cell r="G337">
            <v>431</v>
          </cell>
        </row>
        <row r="338">
          <cell r="E338">
            <v>0.34669338677354711</v>
          </cell>
          <cell r="G338">
            <v>327</v>
          </cell>
        </row>
        <row r="339">
          <cell r="E339">
            <v>0.93386773547094193</v>
          </cell>
          <cell r="G339">
            <v>34</v>
          </cell>
        </row>
        <row r="340">
          <cell r="E340">
            <v>0.29258517034068138</v>
          </cell>
          <cell r="G340">
            <v>354</v>
          </cell>
        </row>
        <row r="341">
          <cell r="E341">
            <v>0.28657314629258518</v>
          </cell>
          <cell r="G341">
            <v>357</v>
          </cell>
        </row>
        <row r="342">
          <cell r="E342">
            <v>0.81963927855711427</v>
          </cell>
          <cell r="G342">
            <v>91</v>
          </cell>
        </row>
        <row r="343">
          <cell r="E343">
            <v>0.17635270541082165</v>
          </cell>
          <cell r="G343">
            <v>412</v>
          </cell>
        </row>
        <row r="344">
          <cell r="E344">
            <v>0.68737474949899802</v>
          </cell>
          <cell r="G344">
            <v>157</v>
          </cell>
        </row>
        <row r="345">
          <cell r="E345">
            <v>0.71943887775551107</v>
          </cell>
          <cell r="G345">
            <v>141</v>
          </cell>
        </row>
        <row r="346">
          <cell r="E346">
            <v>0.63727454909819636</v>
          </cell>
          <cell r="G346">
            <v>182</v>
          </cell>
        </row>
        <row r="347">
          <cell r="E347">
            <v>0.61322645290581157</v>
          </cell>
          <cell r="G347">
            <v>194</v>
          </cell>
        </row>
        <row r="348">
          <cell r="E348">
            <v>0.47294589178356711</v>
          </cell>
          <cell r="G348">
            <v>264</v>
          </cell>
        </row>
        <row r="349">
          <cell r="E349">
            <v>0.28456913827655311</v>
          </cell>
          <cell r="G349">
            <v>358</v>
          </cell>
        </row>
        <row r="350">
          <cell r="E350">
            <v>0.34468937875751504</v>
          </cell>
          <cell r="G350">
            <v>328</v>
          </cell>
        </row>
        <row r="351">
          <cell r="E351">
            <v>0.21643286573146292</v>
          </cell>
          <cell r="G351">
            <v>392</v>
          </cell>
        </row>
        <row r="352">
          <cell r="E352">
            <v>0.85971943887775548</v>
          </cell>
          <cell r="G352">
            <v>71</v>
          </cell>
        </row>
        <row r="353">
          <cell r="E353">
            <v>0.85771543086172342</v>
          </cell>
          <cell r="G353">
            <v>72</v>
          </cell>
        </row>
        <row r="354">
          <cell r="E354">
            <v>0.77154308617234468</v>
          </cell>
          <cell r="G354">
            <v>115</v>
          </cell>
        </row>
        <row r="355">
          <cell r="E355">
            <v>0.15831663326653306</v>
          </cell>
          <cell r="G355">
            <v>421</v>
          </cell>
        </row>
        <row r="356">
          <cell r="E356">
            <v>0.82565130260521047</v>
          </cell>
          <cell r="G356">
            <v>88</v>
          </cell>
        </row>
        <row r="357">
          <cell r="E357">
            <v>0.50901803607214424</v>
          </cell>
          <cell r="G357">
            <v>246</v>
          </cell>
        </row>
        <row r="358">
          <cell r="E358">
            <v>0.37074148296593185</v>
          </cell>
          <cell r="G358">
            <v>315</v>
          </cell>
        </row>
        <row r="359">
          <cell r="E359">
            <v>0.66332665330661322</v>
          </cell>
          <cell r="G359">
            <v>169</v>
          </cell>
        </row>
        <row r="360">
          <cell r="E360">
            <v>0.51903807615230457</v>
          </cell>
          <cell r="G360">
            <v>241</v>
          </cell>
        </row>
        <row r="361">
          <cell r="E361">
            <v>0.57515030060120242</v>
          </cell>
          <cell r="G361">
            <v>213</v>
          </cell>
        </row>
        <row r="362">
          <cell r="E362">
            <v>0.11422845691382766</v>
          </cell>
          <cell r="G362">
            <v>443</v>
          </cell>
        </row>
        <row r="363">
          <cell r="E363">
            <v>0.31863727454909818</v>
          </cell>
          <cell r="G363">
            <v>341</v>
          </cell>
        </row>
        <row r="364">
          <cell r="E364">
            <v>0.10420841683366733</v>
          </cell>
          <cell r="G364">
            <v>448</v>
          </cell>
        </row>
        <row r="365">
          <cell r="E365">
            <v>0.77955911823647295</v>
          </cell>
          <cell r="G365">
            <v>111</v>
          </cell>
        </row>
        <row r="366">
          <cell r="E366">
            <v>9.8196392785571143E-2</v>
          </cell>
          <cell r="G366">
            <v>451</v>
          </cell>
        </row>
        <row r="367">
          <cell r="E367">
            <v>0.85170340681362722</v>
          </cell>
          <cell r="G367">
            <v>75</v>
          </cell>
        </row>
        <row r="368">
          <cell r="E368">
            <v>0.79759519038076154</v>
          </cell>
          <cell r="G368">
            <v>102</v>
          </cell>
        </row>
        <row r="369">
          <cell r="E369">
            <v>9.4188376753507011E-2</v>
          </cell>
          <cell r="G369">
            <v>453</v>
          </cell>
        </row>
        <row r="370">
          <cell r="E370">
            <v>0.53707414829659317</v>
          </cell>
          <cell r="G370">
            <v>232</v>
          </cell>
        </row>
        <row r="371">
          <cell r="E371">
            <v>0.95991983967935868</v>
          </cell>
          <cell r="G371">
            <v>21</v>
          </cell>
        </row>
        <row r="372">
          <cell r="E372">
            <v>0.55711422845691383</v>
          </cell>
          <cell r="G372">
            <v>222</v>
          </cell>
        </row>
        <row r="373">
          <cell r="E373">
            <v>0.57114228456913829</v>
          </cell>
          <cell r="G373">
            <v>215</v>
          </cell>
        </row>
        <row r="374">
          <cell r="E374">
            <v>0.88376753507014028</v>
          </cell>
          <cell r="G374">
            <v>59</v>
          </cell>
        </row>
        <row r="375">
          <cell r="E375">
            <v>0.53306613226452904</v>
          </cell>
          <cell r="G375">
            <v>234</v>
          </cell>
        </row>
        <row r="376">
          <cell r="E376">
            <v>0.42885771543086171</v>
          </cell>
          <cell r="G376">
            <v>286</v>
          </cell>
        </row>
        <row r="377">
          <cell r="E377">
            <v>0.76553106212424848</v>
          </cell>
          <cell r="G377">
            <v>118</v>
          </cell>
        </row>
        <row r="378">
          <cell r="E378">
            <v>0.73547094188376749</v>
          </cell>
          <cell r="G378">
            <v>133</v>
          </cell>
        </row>
        <row r="379">
          <cell r="E379">
            <v>0.82765531062124253</v>
          </cell>
          <cell r="G379">
            <v>87</v>
          </cell>
        </row>
        <row r="380">
          <cell r="E380">
            <v>0.29659318637274551</v>
          </cell>
          <cell r="G380">
            <v>352</v>
          </cell>
        </row>
        <row r="381">
          <cell r="E381">
            <v>0.17835671342685372</v>
          </cell>
          <cell r="G381">
            <v>411</v>
          </cell>
        </row>
        <row r="382">
          <cell r="E382">
            <v>0.38076152304609218</v>
          </cell>
          <cell r="G382">
            <v>310</v>
          </cell>
        </row>
        <row r="383">
          <cell r="E383">
            <v>0.10220440881763528</v>
          </cell>
          <cell r="G383">
            <v>449</v>
          </cell>
        </row>
        <row r="384">
          <cell r="E384">
            <v>0.87174348697394788</v>
          </cell>
          <cell r="G384">
            <v>65</v>
          </cell>
        </row>
        <row r="385">
          <cell r="E385">
            <v>8.617234468937876E-2</v>
          </cell>
          <cell r="G385">
            <v>457</v>
          </cell>
        </row>
        <row r="386">
          <cell r="E386">
            <v>0.5470941883767535</v>
          </cell>
          <cell r="G386">
            <v>227</v>
          </cell>
        </row>
        <row r="387">
          <cell r="E387">
            <v>0.25250501002004005</v>
          </cell>
          <cell r="G387">
            <v>374</v>
          </cell>
        </row>
        <row r="388">
          <cell r="E388">
            <v>0.85571142284569135</v>
          </cell>
          <cell r="G388">
            <v>73</v>
          </cell>
        </row>
        <row r="389">
          <cell r="E389">
            <v>0.72945891783567129</v>
          </cell>
          <cell r="G389">
            <v>136</v>
          </cell>
        </row>
        <row r="390">
          <cell r="E390">
            <v>0.26853707414829658</v>
          </cell>
          <cell r="G390">
            <v>366</v>
          </cell>
        </row>
        <row r="391">
          <cell r="E391">
            <v>0.58517034068136276</v>
          </cell>
          <cell r="G391">
            <v>208</v>
          </cell>
        </row>
        <row r="392">
          <cell r="E392">
            <v>0.11623246492985972</v>
          </cell>
          <cell r="G392">
            <v>442</v>
          </cell>
        </row>
        <row r="393">
          <cell r="E393">
            <v>0.61923847695390777</v>
          </cell>
          <cell r="G393">
            <v>191</v>
          </cell>
        </row>
        <row r="394">
          <cell r="E394">
            <v>0.90180360721442887</v>
          </cell>
          <cell r="G394">
            <v>50</v>
          </cell>
        </row>
        <row r="395">
          <cell r="E395">
            <v>0.84969939879759515</v>
          </cell>
          <cell r="G395">
            <v>76</v>
          </cell>
        </row>
        <row r="396">
          <cell r="E396">
            <v>0.62124248496993983</v>
          </cell>
          <cell r="G396">
            <v>190</v>
          </cell>
        </row>
        <row r="397">
          <cell r="E397">
            <v>0.13026052104208416</v>
          </cell>
          <cell r="G397">
            <v>435</v>
          </cell>
        </row>
        <row r="398">
          <cell r="E398">
            <v>0.95190380761523041</v>
          </cell>
          <cell r="G398">
            <v>25</v>
          </cell>
        </row>
        <row r="399">
          <cell r="E399">
            <v>0.39879759519038077</v>
          </cell>
          <cell r="G399">
            <v>301</v>
          </cell>
        </row>
        <row r="400">
          <cell r="E400">
            <v>0.5591182364729459</v>
          </cell>
          <cell r="G400">
            <v>221</v>
          </cell>
        </row>
        <row r="401">
          <cell r="E401">
            <v>0.73747494989979956</v>
          </cell>
          <cell r="G401">
            <v>132</v>
          </cell>
        </row>
        <row r="402">
          <cell r="E402">
            <v>0.26452905811623245</v>
          </cell>
          <cell r="G402">
            <v>368</v>
          </cell>
        </row>
        <row r="403">
          <cell r="E403">
            <v>0.66533066132264529</v>
          </cell>
          <cell r="G403">
            <v>168</v>
          </cell>
        </row>
        <row r="404">
          <cell r="E404">
            <v>0.30861723446893785</v>
          </cell>
          <cell r="G404">
            <v>346</v>
          </cell>
        </row>
        <row r="405">
          <cell r="E405">
            <v>0.87374749498997994</v>
          </cell>
          <cell r="G405">
            <v>64</v>
          </cell>
        </row>
        <row r="406">
          <cell r="E406">
            <v>0.37274549098196391</v>
          </cell>
          <cell r="G406">
            <v>314</v>
          </cell>
        </row>
        <row r="407">
          <cell r="E407">
            <v>0.16432865731462926</v>
          </cell>
          <cell r="G407">
            <v>418</v>
          </cell>
        </row>
        <row r="408">
          <cell r="E408">
            <v>0.69338677354709422</v>
          </cell>
          <cell r="G408">
            <v>154</v>
          </cell>
        </row>
        <row r="409">
          <cell r="E409">
            <v>0.48096192384769537</v>
          </cell>
          <cell r="G409">
            <v>260</v>
          </cell>
        </row>
        <row r="410">
          <cell r="E410">
            <v>0.27454909819639278</v>
          </cell>
          <cell r="G410">
            <v>363</v>
          </cell>
        </row>
        <row r="411">
          <cell r="E411">
            <v>0.60921843687374755</v>
          </cell>
          <cell r="G411">
            <v>196</v>
          </cell>
        </row>
        <row r="412">
          <cell r="E412">
            <v>0.97595190380761521</v>
          </cell>
          <cell r="G412">
            <v>13</v>
          </cell>
        </row>
        <row r="413">
          <cell r="E413">
            <v>0.97795591182364727</v>
          </cell>
          <cell r="G413">
            <v>12</v>
          </cell>
        </row>
        <row r="414">
          <cell r="E414">
            <v>0.32665330661322645</v>
          </cell>
          <cell r="G414">
            <v>337</v>
          </cell>
        </row>
        <row r="415">
          <cell r="E415">
            <v>0.85370741482965928</v>
          </cell>
          <cell r="G415">
            <v>74</v>
          </cell>
        </row>
        <row r="416">
          <cell r="E416">
            <v>0.20040080160320642</v>
          </cell>
          <cell r="G416">
            <v>400</v>
          </cell>
        </row>
        <row r="417">
          <cell r="E417">
            <v>0.97995991983967934</v>
          </cell>
          <cell r="G417">
            <v>11</v>
          </cell>
        </row>
        <row r="418">
          <cell r="E418">
            <v>0.5531062124248497</v>
          </cell>
          <cell r="G418">
            <v>224</v>
          </cell>
        </row>
        <row r="419">
          <cell r="E419">
            <v>0.16032064128256512</v>
          </cell>
          <cell r="G419">
            <v>420</v>
          </cell>
        </row>
        <row r="420">
          <cell r="E420">
            <v>0.68537074148296595</v>
          </cell>
          <cell r="G420">
            <v>158</v>
          </cell>
        </row>
        <row r="421">
          <cell r="E421">
            <v>0.67134268537074149</v>
          </cell>
          <cell r="G421">
            <v>165</v>
          </cell>
        </row>
        <row r="422">
          <cell r="E422">
            <v>0.43286573146292584</v>
          </cell>
          <cell r="G422">
            <v>284</v>
          </cell>
        </row>
        <row r="423">
          <cell r="E423">
            <v>0.83366733466933862</v>
          </cell>
          <cell r="G423">
            <v>84</v>
          </cell>
        </row>
        <row r="424">
          <cell r="E424">
            <v>0.74749498997995989</v>
          </cell>
          <cell r="G424">
            <v>127</v>
          </cell>
        </row>
        <row r="425">
          <cell r="E425">
            <v>0.86172344689378755</v>
          </cell>
          <cell r="G425">
            <v>70</v>
          </cell>
        </row>
        <row r="426">
          <cell r="E426">
            <v>0.4589178356713427</v>
          </cell>
          <cell r="G426">
            <v>271</v>
          </cell>
        </row>
        <row r="427">
          <cell r="E427">
            <v>0.78557114228456915</v>
          </cell>
          <cell r="G427">
            <v>108</v>
          </cell>
        </row>
        <row r="428">
          <cell r="E428">
            <v>0.33667334669338678</v>
          </cell>
          <cell r="G428">
            <v>332</v>
          </cell>
        </row>
        <row r="429">
          <cell r="E429">
            <v>0.23847695390781562</v>
          </cell>
          <cell r="G429">
            <v>381</v>
          </cell>
        </row>
        <row r="430">
          <cell r="E430">
            <v>0.31262525050100198</v>
          </cell>
          <cell r="G430">
            <v>344</v>
          </cell>
        </row>
        <row r="431">
          <cell r="E431">
            <v>0.83967935871743482</v>
          </cell>
          <cell r="G431">
            <v>81</v>
          </cell>
        </row>
        <row r="432">
          <cell r="E432">
            <v>0.94989979959919835</v>
          </cell>
          <cell r="G432">
            <v>26</v>
          </cell>
        </row>
        <row r="433">
          <cell r="E433">
            <v>0.40080160320641284</v>
          </cell>
          <cell r="G433">
            <v>300</v>
          </cell>
        </row>
        <row r="434">
          <cell r="E434">
            <v>0.83166332665330667</v>
          </cell>
          <cell r="G434">
            <v>85</v>
          </cell>
        </row>
        <row r="435">
          <cell r="E435">
            <v>0.31062124248496992</v>
          </cell>
          <cell r="G435">
            <v>345</v>
          </cell>
        </row>
        <row r="436">
          <cell r="E436">
            <v>0.28857715430861725</v>
          </cell>
          <cell r="G436">
            <v>356</v>
          </cell>
        </row>
        <row r="437">
          <cell r="E437">
            <v>0.87775551102204408</v>
          </cell>
          <cell r="G437">
            <v>62</v>
          </cell>
        </row>
        <row r="438">
          <cell r="E438">
            <v>0.91382765531062127</v>
          </cell>
          <cell r="G438">
            <v>44</v>
          </cell>
        </row>
        <row r="439">
          <cell r="E439">
            <v>0.39078156312625251</v>
          </cell>
          <cell r="G439">
            <v>305</v>
          </cell>
        </row>
        <row r="440">
          <cell r="E440">
            <v>0.26052104208416832</v>
          </cell>
          <cell r="G440">
            <v>370</v>
          </cell>
        </row>
        <row r="441">
          <cell r="E441">
            <v>0.36673346693386771</v>
          </cell>
          <cell r="G441">
            <v>317</v>
          </cell>
        </row>
        <row r="442">
          <cell r="E442">
            <v>0.67735470941883769</v>
          </cell>
          <cell r="G442">
            <v>162</v>
          </cell>
        </row>
        <row r="443">
          <cell r="E443">
            <v>0.53907815631262523</v>
          </cell>
          <cell r="G443">
            <v>231</v>
          </cell>
        </row>
        <row r="444">
          <cell r="E444">
            <v>0.6112224448897795</v>
          </cell>
          <cell r="G444">
            <v>195</v>
          </cell>
        </row>
        <row r="445">
          <cell r="E445">
            <v>0.89178356713426854</v>
          </cell>
          <cell r="G445">
            <v>55</v>
          </cell>
        </row>
        <row r="446">
          <cell r="E446">
            <v>0.79959919839679361</v>
          </cell>
          <cell r="G446">
            <v>101</v>
          </cell>
        </row>
        <row r="447">
          <cell r="E447">
            <v>0.86973947895791581</v>
          </cell>
          <cell r="G447">
            <v>66</v>
          </cell>
        </row>
        <row r="448">
          <cell r="E448">
            <v>0.92585170340681366</v>
          </cell>
          <cell r="G448">
            <v>38</v>
          </cell>
        </row>
        <row r="449">
          <cell r="E449">
            <v>0.47895791583166331</v>
          </cell>
          <cell r="G449">
            <v>261</v>
          </cell>
        </row>
        <row r="450">
          <cell r="E450">
            <v>0.4028056112224449</v>
          </cell>
          <cell r="G450">
            <v>299</v>
          </cell>
        </row>
        <row r="451">
          <cell r="E451">
            <v>0.90380761523046094</v>
          </cell>
          <cell r="G451">
            <v>49</v>
          </cell>
        </row>
        <row r="452">
          <cell r="E452">
            <v>0.36272545090180358</v>
          </cell>
          <cell r="G452">
            <v>319</v>
          </cell>
        </row>
        <row r="453">
          <cell r="E453">
            <v>0.5350701402805611</v>
          </cell>
          <cell r="G453">
            <v>233</v>
          </cell>
        </row>
        <row r="454">
          <cell r="E454">
            <v>0.27054108216432865</v>
          </cell>
          <cell r="G454">
            <v>365</v>
          </cell>
        </row>
        <row r="455">
          <cell r="E455">
            <v>0.93987975951903813</v>
          </cell>
          <cell r="G455">
            <v>31</v>
          </cell>
        </row>
        <row r="456">
          <cell r="E456">
            <v>0.43086172344689377</v>
          </cell>
          <cell r="G456">
            <v>285</v>
          </cell>
        </row>
        <row r="457">
          <cell r="E457">
            <v>8.4168336673346694E-2</v>
          </cell>
          <cell r="G457">
            <v>458</v>
          </cell>
        </row>
        <row r="458">
          <cell r="E458">
            <v>0.22244488977955912</v>
          </cell>
          <cell r="G458">
            <v>389</v>
          </cell>
        </row>
        <row r="459">
          <cell r="E459">
            <v>0.52705410821643284</v>
          </cell>
          <cell r="G459">
            <v>237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 on ice"/>
      <sheetName val="F Production"/>
      <sheetName val="F Rel"/>
      <sheetName val="D on Ice"/>
      <sheetName val="D Production"/>
      <sheetName val="D Rel"/>
      <sheetName val="G On Ice"/>
      <sheetName val="Forward Ranks"/>
      <sheetName val="Defense Ranks"/>
      <sheetName val="G Ranks"/>
      <sheetName val="O and D Ranks"/>
      <sheetName val="Impact Score Math"/>
      <sheetName val="Graph"/>
      <sheetName val="Ranks for Cards and Graph"/>
      <sheetName val="O D Score"/>
      <sheetName val="Impact Score"/>
      <sheetName val="Impact Per Minute"/>
      <sheetName val="Player Cards"/>
      <sheetName val="Goalie Card"/>
      <sheetName val="Formulas and Math"/>
    </sheetNames>
    <sheetDataSet>
      <sheetData sheetId="0">
        <row r="1">
          <cell r="E1" t="str">
            <v>GP</v>
          </cell>
        </row>
      </sheetData>
      <sheetData sheetId="1"/>
      <sheetData sheetId="2"/>
      <sheetData sheetId="3"/>
      <sheetData sheetId="4"/>
      <sheetData sheetId="5"/>
      <sheetData sheetId="6">
        <row r="1">
          <cell r="B1" t="str">
            <v>Player</v>
          </cell>
          <cell r="C1" t="str">
            <v>Team</v>
          </cell>
          <cell r="E1" t="str">
            <v>GP</v>
          </cell>
          <cell r="R1" t="str">
            <v>GA/60</v>
          </cell>
          <cell r="U1" t="str">
            <v>xGA/60</v>
          </cell>
          <cell r="AG1" t="str">
            <v>On-Ice SV%</v>
          </cell>
        </row>
      </sheetData>
      <sheetData sheetId="7">
        <row r="1">
          <cell r="A1" t="str">
            <v>Player</v>
          </cell>
        </row>
      </sheetData>
      <sheetData sheetId="8"/>
      <sheetData sheetId="9"/>
      <sheetData sheetId="10"/>
      <sheetData sheetId="11">
        <row r="1">
          <cell r="E1" t="str">
            <v>% Rank Impact Score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1" id="{6A18BFAE-011C-4EFB-AA35-3D36C3EA3BEB}" userId="1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1-03-29T18:00:20.07" personId="{6A18BFAE-011C-4EFB-AA35-3D36C3EA3BEB}" id="{DD45C66D-BC0D-4022-9E54-9DC3DE212C9A}">
    <text>Forwards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78FDD-38EB-4BAE-A488-CB6FF5438E88}">
  <sheetPr codeName="Sheet11"/>
  <dimension ref="A1:BG154"/>
  <sheetViews>
    <sheetView tabSelected="1" zoomScaleNormal="100" workbookViewId="0">
      <selection activeCell="A2" sqref="A2"/>
    </sheetView>
  </sheetViews>
  <sheetFormatPr defaultRowHeight="14.4" x14ac:dyDescent="0.3"/>
  <cols>
    <col min="1" max="1" width="21.88671875" customWidth="1"/>
    <col min="3" max="7" width="10.5546875" customWidth="1"/>
    <col min="8" max="8" width="9.88671875" customWidth="1"/>
    <col min="11" max="11" width="8.88671875" customWidth="1"/>
    <col min="13" max="13" width="10.88671875" customWidth="1"/>
    <col min="14" max="17" width="10.5546875" customWidth="1"/>
    <col min="19" max="19" width="4.33203125" customWidth="1"/>
    <col min="31" max="31" width="8.88671875" customWidth="1"/>
    <col min="44" max="44" width="10.88671875" customWidth="1"/>
    <col min="45" max="45" width="10.5546875" style="37" customWidth="1"/>
    <col min="46" max="46" width="11.44140625" customWidth="1"/>
    <col min="47" max="48" width="10.44140625" customWidth="1"/>
    <col min="49" max="49" width="9.88671875" bestFit="1" customWidth="1"/>
  </cols>
  <sheetData>
    <row r="1" spans="1:59" x14ac:dyDescent="0.3">
      <c r="A1" s="35" t="str">
        <f>'Ranks for Cards and Graph'!A1</f>
        <v>Player</v>
      </c>
      <c r="B1" s="35"/>
      <c r="C1" s="35" t="str">
        <f>'Ranks for Cards and Graph'!B1</f>
        <v>Generation</v>
      </c>
      <c r="D1" s="35" t="str">
        <f>'Ranks for Cards and Graph'!C1</f>
        <v>% Rank FF/60</v>
      </c>
      <c r="E1" s="35" t="str">
        <f>'Ranks for Cards and Graph'!D1</f>
        <v>% Rank HDCF/60</v>
      </c>
      <c r="F1" s="35" t="str">
        <f>'Ranks for Cards and Graph'!E1</f>
        <v>% Rank GF/60</v>
      </c>
      <c r="G1" s="35" t="str">
        <f>'Ranks for Cards and Graph'!F1</f>
        <v>% Rank xGF/60</v>
      </c>
      <c r="H1" s="35" t="str">
        <f>'Ranks for Cards and Graph'!G1</f>
        <v>Production</v>
      </c>
      <c r="I1" s="35" t="str">
        <f>'Ranks for Cards and Graph'!H1</f>
        <v>% Rank Goals/60</v>
      </c>
      <c r="J1" s="35" t="str">
        <f>'Ranks for Cards and Graph'!I1</f>
        <v>% Rank Assists/60</v>
      </c>
      <c r="K1" s="35" t="str">
        <f>'Ranks for Cards and Graph'!J1</f>
        <v>% Rank First Assists/60</v>
      </c>
      <c r="L1" s="35" t="str">
        <f>'Ranks for Cards and Graph'!K1</f>
        <v>% Rank Points/60</v>
      </c>
      <c r="M1" s="35" t="str">
        <f>'Ranks for Cards and Graph'!L1</f>
        <v>Defense</v>
      </c>
      <c r="N1" s="35" t="str">
        <f>'Ranks for Cards and Graph'!M1</f>
        <v>% Rank FA/60</v>
      </c>
      <c r="O1" s="35" t="str">
        <f>'Ranks for Cards and Graph'!N1</f>
        <v>% Rank HDCA/60</v>
      </c>
      <c r="P1" s="35" t="str">
        <f>'Ranks for Cards and Graph'!O1</f>
        <v>% Rank GA/60</v>
      </c>
      <c r="Q1" s="35" t="str">
        <f>'Ranks for Cards and Graph'!P1</f>
        <v>% Rank xGA/60</v>
      </c>
      <c r="R1" s="35" t="str">
        <f>'Ranks for Cards and Graph'!Q1</f>
        <v>Rel Offense</v>
      </c>
      <c r="S1" s="35" t="str">
        <f>'Ranks for Cards and Graph'!R1</f>
        <v>% Rank FF/60 Rel</v>
      </c>
      <c r="T1" s="35" t="str">
        <f>'Ranks for Cards and Graph'!S1</f>
        <v>% Rank HDCF/60 Rel</v>
      </c>
      <c r="U1" s="35" t="str">
        <f>'Ranks for Cards and Graph'!T1</f>
        <v>% Rank GF/60 Rel</v>
      </c>
      <c r="V1" s="35" t="str">
        <f>'Ranks for Cards and Graph'!U1</f>
        <v>% Rank xGF/60 Rel</v>
      </c>
      <c r="W1" s="35" t="str">
        <f>'Ranks for Cards and Graph'!V1</f>
        <v>Rel Defense</v>
      </c>
      <c r="X1" s="35" t="str">
        <f>'Ranks for Cards and Graph'!W1</f>
        <v>% Rank FA/60 Rel</v>
      </c>
      <c r="Y1" s="35" t="str">
        <f>'Ranks for Cards and Graph'!X1</f>
        <v>% Rank HDCA/60 Rel</v>
      </c>
      <c r="Z1" s="35" t="str">
        <f>'Ranks for Cards and Graph'!Y1</f>
        <v>% Rank GA/60 Rel</v>
      </c>
      <c r="AA1" s="35" t="str">
        <f>'Ranks for Cards and Graph'!Z1</f>
        <v>% Rank xGA/60 Rel</v>
      </c>
      <c r="AB1" s="35" t="str">
        <f>'Ranks for Cards and Graph'!AA1</f>
        <v>Context</v>
      </c>
      <c r="AC1" s="35" t="str">
        <f>'Ranks for Cards and Graph'!AB1</f>
        <v>% Rank TOI/GP</v>
      </c>
      <c r="AD1" s="35" t="str">
        <f>'Ranks for Cards and Graph'!AC1</f>
        <v>% Rank Zone Start %</v>
      </c>
      <c r="AE1" s="35" t="str">
        <f>'Ranks for Cards and Graph'!AD1</f>
        <v>% Rank Shooting Luck</v>
      </c>
      <c r="AF1" s="35" t="str">
        <f>'Ranks for Cards and Graph'!AE1</f>
        <v>% Rank PDO</v>
      </c>
      <c r="AG1" s="35" t="str">
        <f>'Ranks for Cards and Graph'!AF1</f>
        <v>Percentages</v>
      </c>
      <c r="AH1" s="35" t="str">
        <f>'Ranks for Cards and Graph'!AG1</f>
        <v>% Rank FF%</v>
      </c>
      <c r="AI1" s="35" t="str">
        <f>'Ranks for Cards and Graph'!AH1</f>
        <v>% Rank HDCF%</v>
      </c>
      <c r="AJ1" s="35" t="str">
        <f>'Ranks for Cards and Graph'!AI1</f>
        <v>% Rank GF%</v>
      </c>
      <c r="AK1" s="35" t="str">
        <f>'Ranks for Cards and Graph'!AJ1</f>
        <v>% Rank xGF%</v>
      </c>
      <c r="AL1" s="35">
        <f>'Ranks for Cards and Graph'!AK1</f>
        <v>0</v>
      </c>
      <c r="AM1" s="35" t="str">
        <f>'Ranks for Cards and Graph'!AL1</f>
        <v>% Rank Impact/Minute</v>
      </c>
      <c r="AN1" s="35">
        <f>'Ranks for Cards and Graph'!AM1</f>
        <v>0</v>
      </c>
      <c r="AO1" s="35" t="str">
        <f>'Ranks for Cards and Graph'!AN1</f>
        <v>Team</v>
      </c>
      <c r="AP1" s="35" t="str">
        <f>'Ranks for Cards and Graph'!AO1</f>
        <v>GP</v>
      </c>
      <c r="AQ1" s="35" t="str">
        <f>'Ranks for Cards and Graph'!AP1</f>
        <v>% Rank Impact Score</v>
      </c>
      <c r="AR1" s="35" t="str">
        <f>'Ranks for Cards and Graph'!AQ1</f>
        <v>Rank Impact Score</v>
      </c>
      <c r="AS1" s="35">
        <f>'Ranks for Cards and Graph'!AR1</f>
        <v>0</v>
      </c>
      <c r="AT1" s="33" t="str">
        <f>'Ranks for Cards and Graph'!AS1</f>
        <v>Penalties</v>
      </c>
      <c r="AU1" s="33" t="str">
        <f>'Ranks for Cards and Graph'!AT1</f>
        <v>% Rank Clean Play/60 (Lower means more penalties)</v>
      </c>
      <c r="AV1" s="33" t="str">
        <f>'Ranks for Cards and Graph'!AU1</f>
        <v>% Rank Penalties Drawn/60</v>
      </c>
      <c r="AW1" s="33"/>
      <c r="AX1" s="33"/>
    </row>
    <row r="2" spans="1:59" x14ac:dyDescent="0.3">
      <c r="A2" s="59" t="s">
        <v>484</v>
      </c>
      <c r="B2" s="35" t="str">
        <f>INDEX('Ranks for Cards and Graph'!A:A,MATCH('Player Cards'!$A2,'Ranks for Cards and Graph'!$A:$A,0))</f>
        <v>Sean Monahan</v>
      </c>
      <c r="C2" s="35">
        <f>INDEX('Ranks for Cards and Graph'!B:B,MATCH('Player Cards'!$A2,'Ranks for Cards and Graph'!$A:$A,0))</f>
        <v>0</v>
      </c>
      <c r="D2" s="35">
        <f>INDEX('Ranks for Cards and Graph'!C:C,MATCH('Player Cards'!$A2,'Ranks for Cards and Graph'!$A:$A,0))</f>
        <v>0.66375545851528384</v>
      </c>
      <c r="E2" s="35">
        <f>INDEX('Ranks for Cards and Graph'!D:D,MATCH('Player Cards'!$A2,'Ranks for Cards and Graph'!$A:$A,0))</f>
        <v>0.24890829694323144</v>
      </c>
      <c r="F2" s="35">
        <f>INDEX('Ranks for Cards and Graph'!E:E,MATCH('Player Cards'!$A2,'Ranks for Cards and Graph'!$A:$A,0))</f>
        <v>0.48034934497816595</v>
      </c>
      <c r="G2" s="35">
        <f>INDEX('Ranks for Cards and Graph'!F:F,MATCH('Player Cards'!$A2,'Ranks for Cards and Graph'!$A:$A,0))</f>
        <v>0.61353711790393017</v>
      </c>
      <c r="H2" s="35">
        <f>INDEX('Ranks for Cards and Graph'!G:G,MATCH('Player Cards'!$A2,'Ranks for Cards and Graph'!$A:$A,0))</f>
        <v>0</v>
      </c>
      <c r="I2" s="35">
        <f>INDEX('Ranks for Cards and Graph'!H:H,MATCH('Player Cards'!$A2,'Ranks for Cards and Graph'!$A:$A,0))</f>
        <v>0.42358078602620086</v>
      </c>
      <c r="J2" s="35">
        <f>INDEX('Ranks for Cards and Graph'!I:I,MATCH('Player Cards'!$A2,'Ranks for Cards and Graph'!$A:$A,0))</f>
        <v>0.77074235807860259</v>
      </c>
      <c r="K2" s="35">
        <f>INDEX('Ranks for Cards and Graph'!J:J,MATCH('Player Cards'!$A2,'Ranks for Cards and Graph'!$A:$A,0))</f>
        <v>0.94541484716157209</v>
      </c>
      <c r="L2" s="35">
        <f>INDEX('Ranks for Cards and Graph'!K:K,MATCH('Player Cards'!$A2,'Ranks for Cards and Graph'!$A:$A,0))</f>
        <v>0.65938864628820959</v>
      </c>
      <c r="M2" s="35">
        <f>INDEX('Ranks for Cards and Graph'!L:L,MATCH('Player Cards'!$A2,'Ranks for Cards and Graph'!$A:$A,0))</f>
        <v>0</v>
      </c>
      <c r="N2" s="35">
        <f>INDEX('Ranks for Cards and Graph'!M:M,MATCH('Player Cards'!$A2,'Ranks for Cards and Graph'!$A:$A,0))</f>
        <v>0.55676855895196509</v>
      </c>
      <c r="O2" s="35">
        <f>INDEX('Ranks for Cards and Graph'!N:N,MATCH('Player Cards'!$A2,'Ranks for Cards and Graph'!$A:$A,0))</f>
        <v>0.12008733624454149</v>
      </c>
      <c r="P2" s="35">
        <f>INDEX('Ranks for Cards and Graph'!O:O,MATCH('Player Cards'!$A2,'Ranks for Cards and Graph'!$A:$A,0))</f>
        <v>0.17467248908296942</v>
      </c>
      <c r="Q2" s="35">
        <f>INDEX('Ranks for Cards and Graph'!P:P,MATCH('Player Cards'!$A2,'Ranks for Cards and Graph'!$A:$A,0))</f>
        <v>0.14847161572052403</v>
      </c>
      <c r="R2" s="35">
        <f>INDEX('Ranks for Cards and Graph'!Q:Q,MATCH('Player Cards'!$A2,'Ranks for Cards and Graph'!$A:$A,0))</f>
        <v>0</v>
      </c>
      <c r="S2" s="35">
        <f>INDEX('Ranks for Cards and Graph'!R:R,MATCH('Player Cards'!$A2,'Ranks for Cards and Graph'!$A:$A,0))</f>
        <v>0.82969432314410485</v>
      </c>
      <c r="T2" s="35">
        <f>INDEX('Ranks for Cards and Graph'!S:S,MATCH('Player Cards'!$A2,'Ranks for Cards and Graph'!$A:$A,0))</f>
        <v>0.58515283842794763</v>
      </c>
      <c r="U2" s="35">
        <f>INDEX('Ranks for Cards and Graph'!T:T,MATCH('Player Cards'!$A2,'Ranks for Cards and Graph'!$A:$A,0))</f>
        <v>0.43449781659388648</v>
      </c>
      <c r="V2" s="35">
        <f>INDEX('Ranks for Cards and Graph'!U:U,MATCH('Player Cards'!$A2,'Ranks for Cards and Graph'!$A:$A,0))</f>
        <v>0.81659388646288211</v>
      </c>
      <c r="W2" s="35">
        <f>INDEX('Ranks for Cards and Graph'!V:V,MATCH('Player Cards'!$A2,'Ranks for Cards and Graph'!$A:$A,0))</f>
        <v>0</v>
      </c>
      <c r="X2" s="35">
        <f>INDEX('Ranks for Cards and Graph'!W:W,MATCH('Player Cards'!$A2,'Ranks for Cards and Graph'!$A:$A,0))</f>
        <v>0.35371179039301309</v>
      </c>
      <c r="Y2" s="35">
        <f>INDEX('Ranks for Cards and Graph'!X:X,MATCH('Player Cards'!$A2,'Ranks for Cards and Graph'!$A:$A,0))</f>
        <v>0.12445414847161572</v>
      </c>
      <c r="Z2" s="35">
        <f>INDEX('Ranks for Cards and Graph'!Y:Y,MATCH('Player Cards'!$A2,'Ranks for Cards and Graph'!$A:$A,0))</f>
        <v>0.40611353711790393</v>
      </c>
      <c r="AA2" s="35">
        <f>INDEX('Ranks for Cards and Graph'!Z:Z,MATCH('Player Cards'!$A2,'Ranks for Cards and Graph'!$A:$A,0))</f>
        <v>0.20305676855895197</v>
      </c>
      <c r="AB2" s="35">
        <f>INDEX('Ranks for Cards and Graph'!AA:AA,MATCH('Player Cards'!$A2,'Ranks for Cards and Graph'!$A:$A,0))</f>
        <v>0</v>
      </c>
      <c r="AC2" s="35">
        <f>INDEX('Ranks for Cards and Graph'!AB:AB,MATCH('Player Cards'!$A2,'Ranks for Cards and Graph'!$A:$A,0))</f>
        <v>0.37554585152838427</v>
      </c>
      <c r="AD2" s="35">
        <f>INDEX('Ranks for Cards and Graph'!AC:AC,MATCH('Player Cards'!$A2,'Ranks for Cards and Graph'!$A:$A,0))</f>
        <v>0.60480349344978168</v>
      </c>
      <c r="AE2" s="35">
        <f>INDEX('Ranks for Cards and Graph'!AD:AD,MATCH('Player Cards'!$A2,'Ranks for Cards and Graph'!$A:$A,0))</f>
        <v>0.31441048034934499</v>
      </c>
      <c r="AF2" s="35">
        <f>INDEX('Ranks for Cards and Graph'!AE:AE,MATCH('Player Cards'!$A2,'Ranks for Cards and Graph'!$A:$A,0))</f>
        <v>0.14628820960698691</v>
      </c>
      <c r="AG2" s="35">
        <f>INDEX('Ranks for Cards and Graph'!AF:AF,MATCH('Player Cards'!$A2,'Ranks for Cards and Graph'!$A:$A,0))</f>
        <v>0</v>
      </c>
      <c r="AH2" s="35">
        <f>INDEX('Ranks for Cards and Graph'!AG:AG,MATCH('Player Cards'!$A2,'Ranks for Cards and Graph'!$A:$A,0))</f>
        <v>0.63100436681222705</v>
      </c>
      <c r="AI2" s="35">
        <f>INDEX('Ranks for Cards and Graph'!AH:AH,MATCH('Player Cards'!$A2,'Ranks for Cards and Graph'!$A:$A,0))</f>
        <v>0.15720524017467249</v>
      </c>
      <c r="AJ2" s="35">
        <f>INDEX('Ranks for Cards and Graph'!AI:AI,MATCH('Player Cards'!$A2,'Ranks for Cards and Graph'!$A:$A,0))</f>
        <v>0.27292576419213976</v>
      </c>
      <c r="AK2" s="35">
        <f>INDEX('Ranks for Cards and Graph'!AJ:AJ,MATCH('Player Cards'!$A2,'Ranks for Cards and Graph'!$A:$A,0))</f>
        <v>0.35371179039301309</v>
      </c>
      <c r="AL2" s="35">
        <f>INDEX('Ranks for Cards and Graph'!AK:AK,MATCH('Player Cards'!$A2,'Ranks for Cards and Graph'!$A:$A,0))</f>
        <v>0</v>
      </c>
      <c r="AM2" s="35">
        <f>INDEX('Ranks for Cards and Graph'!AL:AL,MATCH('Player Cards'!$A2,'Ranks for Cards and Graph'!$A:$A,0))</f>
        <v>0.62882096069868998</v>
      </c>
      <c r="AN2" s="35">
        <f>INDEX('Ranks for Cards and Graph'!AM:AM,MATCH('Player Cards'!$A2,'Ranks for Cards and Graph'!$A:$A,0))</f>
        <v>0</v>
      </c>
      <c r="AO2" s="35" t="str">
        <f>INDEX('Ranks for Cards and Graph'!AN:AN,MATCH('Player Cards'!$A2,'Ranks for Cards and Graph'!$A:$A,0))</f>
        <v>MTL</v>
      </c>
      <c r="AP2" s="35">
        <f>INDEX('Ranks for Cards and Graph'!AO:AO,MATCH('Player Cards'!$A2,'Ranks for Cards and Graph'!$A:$A,0))</f>
        <v>25</v>
      </c>
      <c r="AQ2" s="36">
        <f>INDEX('Ranks for Cards and Graph'!AP:AP,MATCH('Player Cards'!$A2,'Ranks for Cards and Graph'!$A:$A,0))</f>
        <v>0.61923847695390777</v>
      </c>
      <c r="AR2" s="35">
        <f>INDEX('Ranks for Cards and Graph'!AQ:AQ,MATCH('Player Cards'!$A2,'Ranks for Cards and Graph'!$A:$A,0))</f>
        <v>191</v>
      </c>
      <c r="AS2" s="35">
        <f>INDEX('Ranks for Cards and Graph'!AR:AR,MATCH('Player Cards'!$A2,'Ranks for Cards and Graph'!$A:$A,0))</f>
        <v>0</v>
      </c>
      <c r="AT2" s="33">
        <f>INDEX('Ranks for Cards and Graph'!AS:AS,MATCH('Player Cards'!$A2,'Ranks for Cards and Graph'!$A:$A,0))</f>
        <v>0</v>
      </c>
      <c r="AU2" s="34">
        <f>INDEX('Ranks for Cards and Graph'!AT:AT,MATCH('Player Cards'!$A2,'Ranks for Cards and Graph'!$A:$A,0))</f>
        <v>0.82096069868995636</v>
      </c>
      <c r="AV2" s="34">
        <f>INDEX('Ranks for Cards and Graph'!AU:AU,MATCH('Player Cards'!$A2,'Ranks for Cards and Graph'!$A:$A,0))</f>
        <v>1.3100436681222707E-2</v>
      </c>
      <c r="AW2" s="33">
        <f>INDEX('Ranks for Cards and Graph'!AV:AV,MATCH('Player Cards'!$A2,'Ranks for Cards and Graph'!$A:$A,0))</f>
        <v>0</v>
      </c>
      <c r="AX2" s="33"/>
      <c r="AY2" s="33" t="str">
        <f>IF(AQ2&gt;=0.9,"Elite",IF(AQ2&gt;=0.79,"Great",IF(AQ2&gt;=0.58,"Good",IF(AQ2&gt;=0.42,"Average",IF(AQ2&gt;=0.3,"Below Average","Replacement Level")))))</f>
        <v>Good</v>
      </c>
    </row>
    <row r="3" spans="1:59" x14ac:dyDescent="0.3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X3" s="3"/>
      <c r="AY3" s="3"/>
      <c r="AZ3" s="3"/>
      <c r="BA3" s="3"/>
      <c r="BB3" s="3"/>
      <c r="BC3" s="3"/>
      <c r="BD3" s="3"/>
      <c r="BE3" s="3"/>
      <c r="BF3" s="3"/>
      <c r="BG3" s="3"/>
    </row>
    <row r="4" spans="1:59" x14ac:dyDescent="0.3">
      <c r="A4" s="37"/>
      <c r="B4" s="5"/>
      <c r="C4" s="7"/>
      <c r="D4" s="7"/>
      <c r="E4" s="32" t="s">
        <v>34</v>
      </c>
      <c r="F4" s="7"/>
      <c r="G4" s="7"/>
      <c r="H4" s="7"/>
      <c r="I4" s="37"/>
      <c r="J4" s="37"/>
      <c r="K4" s="37"/>
      <c r="L4" s="42"/>
      <c r="M4" s="37"/>
      <c r="N4" s="37"/>
      <c r="O4" s="37"/>
      <c r="P4" s="43"/>
      <c r="Q4" s="37"/>
      <c r="R4" s="44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X4" s="3"/>
      <c r="AY4" s="3"/>
      <c r="AZ4" s="3"/>
      <c r="BA4" s="3"/>
      <c r="BB4" s="3"/>
      <c r="BC4" s="3"/>
      <c r="BD4" s="3"/>
      <c r="BE4" s="3"/>
      <c r="BF4" s="3"/>
      <c r="BG4" s="3"/>
    </row>
    <row r="5" spans="1:59" x14ac:dyDescent="0.3">
      <c r="A5" s="37"/>
      <c r="B5" s="9" t="s">
        <v>35</v>
      </c>
      <c r="C5" s="6"/>
      <c r="D5" s="7"/>
      <c r="E5" s="6"/>
      <c r="F5" s="6"/>
      <c r="G5" s="6"/>
      <c r="H5" s="9" t="s">
        <v>36</v>
      </c>
      <c r="I5" s="37"/>
      <c r="J5" s="37"/>
      <c r="K5" s="37"/>
      <c r="L5" s="30" t="s">
        <v>34</v>
      </c>
      <c r="M5" s="20"/>
      <c r="N5" s="20"/>
      <c r="O5" s="7"/>
      <c r="P5" s="20"/>
      <c r="Q5" s="20"/>
      <c r="R5" s="15"/>
      <c r="S5" s="7"/>
      <c r="T5" s="37"/>
      <c r="U5" s="45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X5" s="4"/>
      <c r="AY5" s="4"/>
      <c r="AZ5" s="4"/>
      <c r="BA5" s="4"/>
      <c r="BB5" s="4"/>
      <c r="BC5" s="4"/>
      <c r="BD5" s="4"/>
      <c r="BE5" s="4"/>
      <c r="BF5" s="4"/>
      <c r="BG5" s="3"/>
    </row>
    <row r="6" spans="1:59" ht="49.95" customHeight="1" x14ac:dyDescent="0.3">
      <c r="A6" s="37"/>
      <c r="B6" s="16">
        <f>AP2</f>
        <v>25</v>
      </c>
      <c r="C6" s="14">
        <f>AQ2</f>
        <v>0.61923847695390777</v>
      </c>
      <c r="D6" s="7"/>
      <c r="E6" s="18" t="str">
        <f>A2</f>
        <v>Sean Monahan</v>
      </c>
      <c r="F6" s="7"/>
      <c r="G6" s="8">
        <f>AM2</f>
        <v>0.62882096069868998</v>
      </c>
      <c r="H6" s="16">
        <f>AR2</f>
        <v>191</v>
      </c>
      <c r="I6" s="37"/>
      <c r="J6" s="37"/>
      <c r="K6" s="37"/>
      <c r="L6" s="15" t="s">
        <v>35</v>
      </c>
      <c r="M6" s="25" t="str">
        <f>A2</f>
        <v>Sean Monahan</v>
      </c>
      <c r="N6" s="20"/>
      <c r="O6" s="7"/>
      <c r="P6" s="21">
        <f>AQ2</f>
        <v>0.61923847695390777</v>
      </c>
      <c r="Q6" s="7"/>
      <c r="R6" s="15" t="s">
        <v>483</v>
      </c>
      <c r="S6" s="7"/>
      <c r="T6" s="37"/>
      <c r="U6" s="46"/>
      <c r="V6" s="37"/>
      <c r="W6" s="37"/>
      <c r="X6" s="56"/>
      <c r="Y6" s="37"/>
      <c r="Z6" s="56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X6" s="4"/>
      <c r="AY6" s="4"/>
      <c r="AZ6" s="4"/>
      <c r="BA6" s="4"/>
      <c r="BB6" s="4"/>
      <c r="BC6" s="4"/>
      <c r="BD6" s="4"/>
      <c r="BE6" s="4"/>
      <c r="BF6" s="4"/>
      <c r="BG6" s="3"/>
    </row>
    <row r="7" spans="1:59" ht="15.6" x14ac:dyDescent="0.3">
      <c r="A7" s="37"/>
      <c r="B7" s="7"/>
      <c r="C7" s="9" t="s">
        <v>32</v>
      </c>
      <c r="D7" s="7"/>
      <c r="E7" s="17" t="str">
        <f>AO2</f>
        <v>MTL</v>
      </c>
      <c r="F7" s="7"/>
      <c r="G7" s="9" t="s">
        <v>39</v>
      </c>
      <c r="H7" s="7"/>
      <c r="I7" s="37"/>
      <c r="J7" s="37"/>
      <c r="K7" s="37"/>
      <c r="L7" s="19">
        <f>AP2</f>
        <v>25</v>
      </c>
      <c r="M7" s="22" t="str">
        <f>AO2</f>
        <v>MTL</v>
      </c>
      <c r="N7" s="7"/>
      <c r="O7" s="7"/>
      <c r="P7" s="15" t="s">
        <v>32</v>
      </c>
      <c r="Q7" s="7"/>
      <c r="R7" s="19" t="str">
        <f>AY2</f>
        <v>Good</v>
      </c>
      <c r="S7" s="7"/>
      <c r="T7" s="37"/>
      <c r="U7" s="47"/>
      <c r="V7" s="48"/>
      <c r="W7" s="37"/>
      <c r="X7" s="44"/>
      <c r="Y7" s="37"/>
      <c r="Z7" s="44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  <c r="AX7" s="4"/>
      <c r="AY7" s="4"/>
      <c r="AZ7" s="4"/>
      <c r="BA7" s="4"/>
      <c r="BB7" s="4"/>
      <c r="BC7" s="4"/>
      <c r="BD7" s="4"/>
      <c r="BE7" s="4"/>
      <c r="BF7" s="4"/>
      <c r="BG7" s="3"/>
    </row>
    <row r="8" spans="1:59" x14ac:dyDescent="0.3">
      <c r="A8" s="37"/>
      <c r="B8" s="7"/>
      <c r="C8" s="6"/>
      <c r="D8" s="6"/>
      <c r="E8" s="6"/>
      <c r="F8" s="6"/>
      <c r="G8" s="6"/>
      <c r="H8" s="7"/>
      <c r="I8" s="37"/>
      <c r="J8" s="37"/>
      <c r="K8" s="37"/>
      <c r="L8" s="7"/>
      <c r="M8" s="7"/>
      <c r="N8" s="20"/>
      <c r="O8" s="20"/>
      <c r="P8" s="20"/>
      <c r="Q8" s="20"/>
      <c r="R8" s="7"/>
      <c r="S8" s="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X8" s="4"/>
      <c r="AY8" s="4"/>
      <c r="AZ8" s="4"/>
      <c r="BA8" s="4"/>
      <c r="BB8" s="4"/>
      <c r="BC8" s="4"/>
      <c r="BD8" s="4"/>
      <c r="BE8" s="4"/>
      <c r="BF8" s="4"/>
      <c r="BG8" s="3"/>
    </row>
    <row r="9" spans="1:59" x14ac:dyDescent="0.3">
      <c r="A9" s="37"/>
      <c r="B9" s="6"/>
      <c r="C9" s="83" t="s">
        <v>6</v>
      </c>
      <c r="D9" s="10">
        <f>D2</f>
        <v>0.66375545851528384</v>
      </c>
      <c r="E9" s="10">
        <f>E2</f>
        <v>0.24890829694323144</v>
      </c>
      <c r="F9" s="10">
        <f>F2</f>
        <v>0.48034934497816595</v>
      </c>
      <c r="G9" s="10">
        <f>G2</f>
        <v>0.61353711790393017</v>
      </c>
      <c r="H9" s="6"/>
      <c r="I9" s="37"/>
      <c r="J9" s="37"/>
      <c r="K9" s="37"/>
      <c r="L9" s="7"/>
      <c r="M9" s="7" t="s">
        <v>7</v>
      </c>
      <c r="N9" s="23">
        <f>I2</f>
        <v>0.42358078602620086</v>
      </c>
      <c r="O9" s="23">
        <f t="shared" ref="O9:Q9" si="0">J2</f>
        <v>0.77074235807860259</v>
      </c>
      <c r="P9" s="23">
        <f t="shared" si="0"/>
        <v>0.94541484716157209</v>
      </c>
      <c r="Q9" s="23">
        <f t="shared" si="0"/>
        <v>0.65938864628820959</v>
      </c>
      <c r="R9" s="20"/>
      <c r="S9" s="7"/>
      <c r="T9" s="37"/>
      <c r="U9" s="49"/>
      <c r="V9" s="37"/>
      <c r="W9" s="37"/>
      <c r="X9" s="54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X9" s="4"/>
      <c r="AY9" s="4"/>
      <c r="AZ9" s="4"/>
      <c r="BA9" s="4"/>
      <c r="BB9" s="4"/>
      <c r="BC9" s="4"/>
      <c r="BD9" s="4"/>
      <c r="BE9" s="4"/>
      <c r="BF9" s="4"/>
      <c r="BG9" s="3"/>
    </row>
    <row r="10" spans="1:59" x14ac:dyDescent="0.3">
      <c r="A10" s="37"/>
      <c r="B10" s="6"/>
      <c r="C10" s="83"/>
      <c r="D10" s="9" t="s">
        <v>440</v>
      </c>
      <c r="E10" s="9" t="s">
        <v>19</v>
      </c>
      <c r="F10" s="9" t="s">
        <v>24</v>
      </c>
      <c r="G10" s="9" t="s">
        <v>9</v>
      </c>
      <c r="H10" s="6"/>
      <c r="I10" s="37"/>
      <c r="J10" s="37"/>
      <c r="K10" s="37"/>
      <c r="L10" s="7"/>
      <c r="M10" s="7"/>
      <c r="N10" s="15" t="s">
        <v>10</v>
      </c>
      <c r="O10" s="15" t="s">
        <v>11</v>
      </c>
      <c r="P10" s="15" t="s">
        <v>12</v>
      </c>
      <c r="Q10" s="15" t="s">
        <v>13</v>
      </c>
      <c r="R10" s="20"/>
      <c r="S10" s="7"/>
      <c r="T10" s="37"/>
      <c r="U10" s="50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X10" s="4"/>
      <c r="AY10" s="4"/>
      <c r="AZ10" s="4"/>
      <c r="BA10" s="4"/>
      <c r="BB10" s="4"/>
      <c r="BC10" s="4"/>
      <c r="BD10" s="4"/>
      <c r="BE10" s="4"/>
      <c r="BF10" s="4"/>
      <c r="BG10" s="3"/>
    </row>
    <row r="11" spans="1:59" x14ac:dyDescent="0.3">
      <c r="A11" s="37"/>
      <c r="B11" s="6"/>
      <c r="C11" s="83"/>
      <c r="D11" s="6"/>
      <c r="E11" s="6"/>
      <c r="F11" s="6"/>
      <c r="G11" s="6"/>
      <c r="H11" s="6"/>
      <c r="I11" s="37"/>
      <c r="J11" s="37"/>
      <c r="K11" s="37"/>
      <c r="L11" s="20"/>
      <c r="M11" s="20"/>
      <c r="N11" s="15"/>
      <c r="O11" s="15"/>
      <c r="P11" s="15"/>
      <c r="Q11" s="15"/>
      <c r="R11" s="20"/>
      <c r="S11" s="7"/>
      <c r="T11" s="37"/>
      <c r="U11" s="39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X11" s="4"/>
      <c r="AY11" s="4"/>
      <c r="AZ11" s="4"/>
      <c r="BA11" s="4"/>
      <c r="BB11" s="4"/>
      <c r="BC11" s="4"/>
      <c r="BD11" s="4"/>
      <c r="BE11" s="4"/>
      <c r="BF11" s="4"/>
      <c r="BG11" s="3"/>
    </row>
    <row r="12" spans="1:59" x14ac:dyDescent="0.3">
      <c r="A12" s="37"/>
      <c r="B12" s="6"/>
      <c r="C12" s="83" t="s">
        <v>7</v>
      </c>
      <c r="D12" s="10">
        <f>I2</f>
        <v>0.42358078602620086</v>
      </c>
      <c r="E12" s="10">
        <f>J2</f>
        <v>0.77074235807860259</v>
      </c>
      <c r="F12" s="10">
        <f>K2</f>
        <v>0.94541484716157209</v>
      </c>
      <c r="G12" s="10">
        <f>L2</f>
        <v>0.65938864628820959</v>
      </c>
      <c r="H12" s="6"/>
      <c r="I12" s="37"/>
      <c r="J12" s="37"/>
      <c r="K12" s="37"/>
      <c r="L12" s="20"/>
      <c r="M12" s="7" t="s">
        <v>38</v>
      </c>
      <c r="N12" s="23">
        <f>D2</f>
        <v>0.66375545851528384</v>
      </c>
      <c r="O12" s="23">
        <f>G2</f>
        <v>0.61353711790393017</v>
      </c>
      <c r="P12" s="23">
        <f>S2</f>
        <v>0.82969432314410485</v>
      </c>
      <c r="Q12" s="23">
        <f>V2</f>
        <v>0.81659388646288211</v>
      </c>
      <c r="R12" s="20"/>
      <c r="S12" s="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X12" s="4"/>
      <c r="AY12" s="4"/>
      <c r="AZ12" s="4"/>
      <c r="BA12" s="4"/>
      <c r="BB12" s="4"/>
      <c r="BC12" s="4"/>
      <c r="BD12" s="4"/>
      <c r="BE12" s="4"/>
      <c r="BF12" s="4"/>
      <c r="BG12" s="3"/>
    </row>
    <row r="13" spans="1:59" x14ac:dyDescent="0.3">
      <c r="A13" s="37"/>
      <c r="B13" s="6"/>
      <c r="C13" s="83"/>
      <c r="D13" s="11" t="s">
        <v>10</v>
      </c>
      <c r="E13" s="11" t="s">
        <v>11</v>
      </c>
      <c r="F13" s="11" t="s">
        <v>12</v>
      </c>
      <c r="G13" s="11" t="s">
        <v>13</v>
      </c>
      <c r="H13" s="6"/>
      <c r="I13" s="37"/>
      <c r="J13" s="37"/>
      <c r="K13" s="37"/>
      <c r="L13" s="20"/>
      <c r="M13" s="20"/>
      <c r="N13" s="15" t="s">
        <v>440</v>
      </c>
      <c r="O13" s="15" t="s">
        <v>9</v>
      </c>
      <c r="P13" s="15" t="s">
        <v>442</v>
      </c>
      <c r="Q13" s="15" t="s">
        <v>15</v>
      </c>
      <c r="R13" s="20"/>
      <c r="S13" s="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X13" s="4"/>
      <c r="AY13" s="4"/>
      <c r="AZ13" s="4"/>
      <c r="BA13" s="4"/>
      <c r="BB13" s="4"/>
      <c r="BC13" s="4"/>
      <c r="BD13" s="4"/>
      <c r="BE13" s="4"/>
      <c r="BF13" s="4"/>
      <c r="BG13" s="3"/>
    </row>
    <row r="14" spans="1:59" x14ac:dyDescent="0.3">
      <c r="A14" s="37"/>
      <c r="B14" s="6"/>
      <c r="C14" s="83"/>
      <c r="D14" s="10"/>
      <c r="E14" s="10"/>
      <c r="F14" s="10"/>
      <c r="G14" s="10"/>
      <c r="H14" s="6"/>
      <c r="I14" s="37"/>
      <c r="J14" s="37"/>
      <c r="K14" s="37"/>
      <c r="L14" s="20"/>
      <c r="M14" s="20"/>
      <c r="N14" s="15"/>
      <c r="O14" s="15"/>
      <c r="P14" s="15"/>
      <c r="Q14" s="15"/>
      <c r="R14" s="20"/>
      <c r="S14" s="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X14" s="4"/>
      <c r="AY14" s="4"/>
      <c r="AZ14" s="4"/>
      <c r="BA14" s="4"/>
      <c r="BB14" s="4"/>
      <c r="BC14" s="4"/>
      <c r="BD14" s="4"/>
      <c r="BE14" s="4"/>
      <c r="BF14" s="4"/>
      <c r="BG14" s="3"/>
    </row>
    <row r="15" spans="1:59" x14ac:dyDescent="0.3">
      <c r="A15" s="37"/>
      <c r="B15" s="6"/>
      <c r="C15" s="83" t="s">
        <v>5</v>
      </c>
      <c r="D15" s="10">
        <f>N2</f>
        <v>0.55676855895196509</v>
      </c>
      <c r="E15" s="10">
        <f>O2</f>
        <v>0.12008733624454149</v>
      </c>
      <c r="F15" s="10">
        <f>P2</f>
        <v>0.17467248908296942</v>
      </c>
      <c r="G15" s="10">
        <f>Q2</f>
        <v>0.14847161572052403</v>
      </c>
      <c r="H15" s="6"/>
      <c r="I15" s="37"/>
      <c r="J15" s="37"/>
      <c r="K15" s="37"/>
      <c r="L15" s="20"/>
      <c r="M15" s="20" t="s">
        <v>5</v>
      </c>
      <c r="N15" s="23">
        <f>N2</f>
        <v>0.55676855895196509</v>
      </c>
      <c r="O15" s="23">
        <f>Q2</f>
        <v>0.14847161572052403</v>
      </c>
      <c r="P15" s="23">
        <f>X2</f>
        <v>0.35371179039301309</v>
      </c>
      <c r="Q15" s="23">
        <f>AA2</f>
        <v>0.20305676855895197</v>
      </c>
      <c r="R15" s="20"/>
      <c r="S15" s="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X15" s="4"/>
      <c r="AY15" s="4"/>
      <c r="AZ15" s="4"/>
      <c r="BA15" s="4"/>
      <c r="BB15" s="4"/>
      <c r="BC15" s="4"/>
      <c r="BD15" s="4"/>
      <c r="BE15" s="4"/>
      <c r="BF15" s="4"/>
      <c r="BG15" s="3"/>
    </row>
    <row r="16" spans="1:59" x14ac:dyDescent="0.3">
      <c r="A16" s="37"/>
      <c r="B16" s="6"/>
      <c r="C16" s="83"/>
      <c r="D16" s="11" t="s">
        <v>441</v>
      </c>
      <c r="E16" s="11" t="s">
        <v>20</v>
      </c>
      <c r="F16" s="11" t="s">
        <v>25</v>
      </c>
      <c r="G16" s="11" t="s">
        <v>14</v>
      </c>
      <c r="H16" s="6"/>
      <c r="I16" s="37"/>
      <c r="J16" s="37"/>
      <c r="K16" s="37"/>
      <c r="L16" s="20"/>
      <c r="M16" s="20"/>
      <c r="N16" s="15" t="s">
        <v>441</v>
      </c>
      <c r="O16" s="15" t="s">
        <v>14</v>
      </c>
      <c r="P16" s="15" t="s">
        <v>443</v>
      </c>
      <c r="Q16" s="15" t="s">
        <v>16</v>
      </c>
      <c r="R16" s="20"/>
      <c r="S16" s="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X16" s="4"/>
      <c r="AY16" s="4"/>
      <c r="AZ16" s="4"/>
      <c r="BA16" s="4"/>
      <c r="BB16" s="4"/>
      <c r="BC16" s="4"/>
      <c r="BD16" s="4"/>
      <c r="BE16" s="4"/>
      <c r="BF16" s="4"/>
      <c r="BG16" s="3"/>
    </row>
    <row r="17" spans="1:59" x14ac:dyDescent="0.3">
      <c r="A17" s="37"/>
      <c r="B17" s="6"/>
      <c r="C17" s="83"/>
      <c r="D17" s="10"/>
      <c r="E17" s="10"/>
      <c r="F17" s="10"/>
      <c r="G17" s="10"/>
      <c r="H17" s="6"/>
      <c r="I17" s="37"/>
      <c r="J17" s="37"/>
      <c r="K17" s="37"/>
      <c r="L17" s="7"/>
      <c r="M17" s="7"/>
      <c r="N17" s="15"/>
      <c r="O17" s="15"/>
      <c r="P17" s="15"/>
      <c r="Q17" s="15"/>
      <c r="R17" s="7"/>
      <c r="S17" s="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X17" s="4"/>
      <c r="AY17" s="4"/>
      <c r="AZ17" s="4"/>
      <c r="BA17" s="4"/>
      <c r="BB17" s="4"/>
      <c r="BC17" s="4"/>
      <c r="BD17" s="4"/>
      <c r="BE17" s="4"/>
      <c r="BF17" s="4"/>
      <c r="BG17" s="3"/>
    </row>
    <row r="18" spans="1:59" x14ac:dyDescent="0.3">
      <c r="A18" s="37"/>
      <c r="B18" s="6"/>
      <c r="C18" s="83" t="s">
        <v>48</v>
      </c>
      <c r="D18" s="10">
        <f>S2</f>
        <v>0.82969432314410485</v>
      </c>
      <c r="E18" s="10">
        <f>T2</f>
        <v>0.58515283842794763</v>
      </c>
      <c r="F18" s="10">
        <f>U2</f>
        <v>0.43449781659388648</v>
      </c>
      <c r="G18" s="10">
        <f>V2</f>
        <v>0.81659388646288211</v>
      </c>
      <c r="H18" s="6"/>
      <c r="I18" s="37"/>
      <c r="J18" s="37"/>
      <c r="K18" s="37"/>
      <c r="L18" s="7"/>
      <c r="M18" s="7" t="s">
        <v>22</v>
      </c>
      <c r="N18" s="23">
        <f>AH2</f>
        <v>0.63100436681222705</v>
      </c>
      <c r="O18" s="23">
        <f>AK2</f>
        <v>0.35371179039301309</v>
      </c>
      <c r="P18" s="26">
        <f>AU2</f>
        <v>0.82096069868995636</v>
      </c>
      <c r="Q18" s="26">
        <f>AV2</f>
        <v>1.3100436681222707E-2</v>
      </c>
      <c r="R18" s="7"/>
      <c r="S18" s="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X18" s="4"/>
      <c r="AY18" s="4"/>
      <c r="AZ18" s="4"/>
      <c r="BA18" s="4"/>
      <c r="BB18" s="4"/>
      <c r="BC18" s="4"/>
      <c r="BD18" s="4"/>
      <c r="BE18" s="4"/>
      <c r="BF18" s="4"/>
      <c r="BG18" s="3"/>
    </row>
    <row r="19" spans="1:59" x14ac:dyDescent="0.3">
      <c r="A19" s="37"/>
      <c r="B19" s="6"/>
      <c r="C19" s="83"/>
      <c r="D19" s="11" t="s">
        <v>442</v>
      </c>
      <c r="E19" s="11" t="s">
        <v>23</v>
      </c>
      <c r="F19" s="11" t="s">
        <v>26</v>
      </c>
      <c r="G19" s="11" t="s">
        <v>15</v>
      </c>
      <c r="H19" s="6"/>
      <c r="I19" s="37"/>
      <c r="J19" s="37"/>
      <c r="K19" s="37"/>
      <c r="L19" s="7"/>
      <c r="M19" s="7"/>
      <c r="N19" s="15" t="s">
        <v>444</v>
      </c>
      <c r="O19" s="15" t="s">
        <v>2</v>
      </c>
      <c r="P19" s="15" t="s">
        <v>41</v>
      </c>
      <c r="Q19" s="15" t="s">
        <v>40</v>
      </c>
      <c r="R19" s="7"/>
      <c r="S19" s="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X19" s="4"/>
      <c r="AY19" s="4"/>
      <c r="AZ19" s="4"/>
      <c r="BA19" s="4"/>
      <c r="BB19" s="4"/>
      <c r="BC19" s="4"/>
      <c r="BD19" s="4"/>
      <c r="BE19" s="4"/>
      <c r="BF19" s="4"/>
      <c r="BG19" s="3"/>
    </row>
    <row r="20" spans="1:59" x14ac:dyDescent="0.3">
      <c r="A20" s="37"/>
      <c r="B20" s="6"/>
      <c r="C20" s="83"/>
      <c r="D20" s="10"/>
      <c r="E20" s="10"/>
      <c r="F20" s="10"/>
      <c r="G20" s="10"/>
      <c r="H20" s="6"/>
      <c r="I20" s="37"/>
      <c r="J20" s="37"/>
      <c r="K20" s="37"/>
      <c r="L20" s="7"/>
      <c r="M20" s="7"/>
      <c r="N20" s="15"/>
      <c r="O20" s="15"/>
      <c r="P20" s="15"/>
      <c r="Q20" s="15"/>
      <c r="R20" s="7"/>
      <c r="S20" s="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X20" s="4"/>
      <c r="AY20" s="4"/>
      <c r="AZ20" s="4"/>
      <c r="BA20" s="4"/>
      <c r="BB20" s="4"/>
      <c r="BC20" s="4"/>
      <c r="BD20" s="4"/>
      <c r="BE20" s="4"/>
      <c r="BF20" s="4"/>
      <c r="BG20" s="3"/>
    </row>
    <row r="21" spans="1:59" x14ac:dyDescent="0.3">
      <c r="A21" s="37"/>
      <c r="B21" s="6"/>
      <c r="C21" s="83" t="s">
        <v>49</v>
      </c>
      <c r="D21" s="10">
        <f>X2</f>
        <v>0.35371179039301309</v>
      </c>
      <c r="E21" s="10">
        <f>Y2</f>
        <v>0.12445414847161572</v>
      </c>
      <c r="F21" s="10">
        <f>Z2</f>
        <v>0.40611353711790393</v>
      </c>
      <c r="G21" s="10">
        <f>AA2</f>
        <v>0.20305676855895197</v>
      </c>
      <c r="H21" s="6"/>
      <c r="I21" s="37"/>
      <c r="J21" s="37"/>
      <c r="K21" s="37"/>
      <c r="L21" s="7"/>
      <c r="M21" s="7" t="s">
        <v>8</v>
      </c>
      <c r="N21" s="23">
        <f>AC2</f>
        <v>0.37554585152838427</v>
      </c>
      <c r="O21" s="23">
        <f>AD2</f>
        <v>0.60480349344978168</v>
      </c>
      <c r="P21" s="23">
        <f>AE2</f>
        <v>0.31441048034934499</v>
      </c>
      <c r="Q21" s="23">
        <f>AF2</f>
        <v>0.14628820960698691</v>
      </c>
      <c r="R21" s="7"/>
      <c r="S21" s="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X21" s="4"/>
      <c r="AY21" s="4"/>
      <c r="AZ21" s="4"/>
      <c r="BA21" s="4"/>
      <c r="BB21" s="4"/>
      <c r="BC21" s="4"/>
      <c r="BD21" s="4"/>
      <c r="BE21" s="4"/>
      <c r="BF21" s="4"/>
      <c r="BG21" s="3"/>
    </row>
    <row r="22" spans="1:59" x14ac:dyDescent="0.3">
      <c r="A22" s="37"/>
      <c r="B22" s="6"/>
      <c r="C22" s="83"/>
      <c r="D22" s="11" t="s">
        <v>443</v>
      </c>
      <c r="E22" s="11" t="s">
        <v>21</v>
      </c>
      <c r="F22" s="11" t="s">
        <v>27</v>
      </c>
      <c r="G22" s="11" t="s">
        <v>16</v>
      </c>
      <c r="H22" s="6"/>
      <c r="I22" s="37"/>
      <c r="J22" s="37"/>
      <c r="K22" s="37"/>
      <c r="L22" s="7"/>
      <c r="M22" s="7"/>
      <c r="N22" s="15" t="s">
        <v>0</v>
      </c>
      <c r="O22" s="24" t="s">
        <v>17</v>
      </c>
      <c r="P22" s="15" t="s">
        <v>18</v>
      </c>
      <c r="Q22" s="15" t="s">
        <v>4</v>
      </c>
      <c r="R22" s="7"/>
      <c r="S22" s="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X22" s="4"/>
      <c r="AY22" s="4"/>
      <c r="AZ22" s="4"/>
      <c r="BA22" s="4"/>
      <c r="BB22" s="4"/>
      <c r="BC22" s="4"/>
      <c r="BD22" s="4"/>
      <c r="BE22" s="4"/>
      <c r="BF22" s="4"/>
      <c r="BG22" s="3"/>
    </row>
    <row r="23" spans="1:59" x14ac:dyDescent="0.3">
      <c r="A23" s="37"/>
      <c r="B23" s="6"/>
      <c r="C23" s="83"/>
      <c r="D23" s="10"/>
      <c r="E23" s="10"/>
      <c r="F23" s="10"/>
      <c r="G23" s="10"/>
      <c r="H23" s="6"/>
      <c r="I23" s="37"/>
      <c r="J23" s="37"/>
      <c r="K23" s="37"/>
      <c r="L23" s="30"/>
      <c r="M23" s="7"/>
      <c r="N23" s="7"/>
      <c r="O23" s="7"/>
      <c r="P23" s="7"/>
      <c r="Q23" s="7"/>
      <c r="R23" s="7"/>
      <c r="S23" s="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X23" s="4"/>
      <c r="AY23" s="4"/>
      <c r="AZ23" s="4"/>
      <c r="BA23" s="4"/>
      <c r="BB23" s="4"/>
      <c r="BC23" s="4"/>
      <c r="BD23" s="4"/>
      <c r="BE23" s="4"/>
      <c r="BF23" s="4"/>
      <c r="BG23" s="3"/>
    </row>
    <row r="24" spans="1:59" x14ac:dyDescent="0.3">
      <c r="A24" s="37"/>
      <c r="B24" s="6"/>
      <c r="C24" s="83" t="s">
        <v>8</v>
      </c>
      <c r="D24" s="10">
        <f>AC2</f>
        <v>0.37554585152838427</v>
      </c>
      <c r="E24" s="10">
        <f>AD2</f>
        <v>0.60480349344978168</v>
      </c>
      <c r="F24" s="10">
        <f>AE2</f>
        <v>0.31441048034934499</v>
      </c>
      <c r="G24" s="10">
        <f>AF2</f>
        <v>0.14628820960698691</v>
      </c>
      <c r="H24" s="6"/>
      <c r="I24" s="37"/>
      <c r="J24" s="37"/>
      <c r="K24" s="37"/>
      <c r="L24" s="29" t="s">
        <v>46</v>
      </c>
      <c r="M24" s="7"/>
      <c r="N24" s="7"/>
      <c r="O24" s="28" t="s">
        <v>42</v>
      </c>
      <c r="P24" s="7"/>
      <c r="Q24" s="27" t="s">
        <v>43</v>
      </c>
      <c r="R24" s="7"/>
      <c r="S24" s="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X24" s="4"/>
      <c r="AY24" s="4"/>
      <c r="AZ24" s="4"/>
      <c r="BA24" s="4"/>
      <c r="BB24" s="4"/>
      <c r="BC24" s="4"/>
      <c r="BD24" s="4"/>
      <c r="BE24" s="4"/>
      <c r="BF24" s="4"/>
      <c r="BG24" s="3"/>
    </row>
    <row r="25" spans="1:59" x14ac:dyDescent="0.3">
      <c r="A25" s="37"/>
      <c r="B25" s="6"/>
      <c r="C25" s="83"/>
      <c r="D25" s="11" t="s">
        <v>0</v>
      </c>
      <c r="E25" s="12" t="s">
        <v>17</v>
      </c>
      <c r="F25" s="11" t="s">
        <v>18</v>
      </c>
      <c r="G25" s="11" t="s">
        <v>4</v>
      </c>
      <c r="H25" s="6"/>
      <c r="I25" s="37"/>
      <c r="J25" s="37"/>
      <c r="K25" s="37"/>
      <c r="L25" s="47"/>
      <c r="M25" s="51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X25" s="4"/>
      <c r="AY25" s="4"/>
      <c r="AZ25" s="4"/>
      <c r="BA25" s="4"/>
      <c r="BB25" s="4"/>
      <c r="BC25" s="4"/>
      <c r="BD25" s="4"/>
      <c r="BE25" s="4"/>
      <c r="BF25" s="4"/>
      <c r="BG25" s="3"/>
    </row>
    <row r="26" spans="1:59" x14ac:dyDescent="0.3">
      <c r="A26" s="37"/>
      <c r="B26" s="6"/>
      <c r="C26" s="83"/>
      <c r="D26" s="10"/>
      <c r="E26" s="10"/>
      <c r="F26" s="10"/>
      <c r="G26" s="10"/>
      <c r="H26" s="6"/>
      <c r="I26" s="37"/>
      <c r="J26" s="37"/>
      <c r="K26" s="37"/>
      <c r="L26" s="52"/>
      <c r="M26" s="52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X26" s="4"/>
      <c r="AY26" s="4"/>
      <c r="AZ26" s="4"/>
      <c r="BA26" s="4"/>
      <c r="BB26" s="4"/>
      <c r="BC26" s="4"/>
      <c r="BD26" s="4"/>
      <c r="BE26" s="4"/>
      <c r="BF26" s="4"/>
      <c r="BG26" s="3"/>
    </row>
    <row r="27" spans="1:59" x14ac:dyDescent="0.3">
      <c r="A27" s="37"/>
      <c r="B27" s="6"/>
      <c r="C27" s="84" t="s">
        <v>22</v>
      </c>
      <c r="D27" s="10">
        <f>AH2</f>
        <v>0.63100436681222705</v>
      </c>
      <c r="E27" s="10">
        <f>AI2</f>
        <v>0.15720524017467249</v>
      </c>
      <c r="F27" s="10">
        <f>AJ2</f>
        <v>0.27292576419213976</v>
      </c>
      <c r="G27" s="10">
        <f>AK2</f>
        <v>0.35371179039301309</v>
      </c>
      <c r="H27" s="6"/>
      <c r="I27" s="37"/>
      <c r="J27" s="37"/>
      <c r="K27" s="37"/>
      <c r="L27" s="53"/>
      <c r="M27" s="54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X27" s="4"/>
      <c r="AY27" s="4"/>
      <c r="AZ27" s="4"/>
      <c r="BA27" s="4"/>
      <c r="BB27" s="4"/>
      <c r="BC27" s="4"/>
      <c r="BD27" s="4"/>
      <c r="BE27" s="4"/>
      <c r="BF27" s="4"/>
      <c r="BG27" s="3"/>
    </row>
    <row r="28" spans="1:59" x14ac:dyDescent="0.3">
      <c r="A28" s="37"/>
      <c r="B28" s="30"/>
      <c r="C28" s="6"/>
      <c r="D28" s="13" t="s">
        <v>444</v>
      </c>
      <c r="E28" s="13" t="s">
        <v>3</v>
      </c>
      <c r="F28" s="13" t="s">
        <v>1</v>
      </c>
      <c r="G28" s="13" t="s">
        <v>2</v>
      </c>
      <c r="H28" s="6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X28" s="4"/>
      <c r="AY28" s="4"/>
      <c r="AZ28" s="4"/>
      <c r="BA28" s="4"/>
      <c r="BB28" s="4"/>
      <c r="BC28" s="4"/>
      <c r="BD28" s="4"/>
      <c r="BE28" s="4"/>
      <c r="BF28" s="4"/>
      <c r="BG28" s="3"/>
    </row>
    <row r="29" spans="1:59" x14ac:dyDescent="0.3">
      <c r="A29" s="37"/>
      <c r="B29" s="29" t="s">
        <v>45</v>
      </c>
      <c r="C29" s="29"/>
      <c r="D29" s="29"/>
      <c r="E29" s="28" t="s">
        <v>42</v>
      </c>
      <c r="F29" s="29"/>
      <c r="G29" s="29" t="s">
        <v>44</v>
      </c>
      <c r="H29" s="31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9"/>
      <c r="AQ29" s="37"/>
      <c r="AR29" s="37"/>
      <c r="AX29" s="4"/>
      <c r="AY29" s="4"/>
      <c r="AZ29" s="4"/>
      <c r="BA29" s="4"/>
      <c r="BB29" s="4"/>
      <c r="BC29" s="4"/>
      <c r="BD29" s="4"/>
      <c r="BE29" s="4"/>
      <c r="BF29" s="4"/>
      <c r="BG29" s="3"/>
    </row>
    <row r="30" spans="1:59" x14ac:dyDescent="0.3">
      <c r="A30" s="37"/>
      <c r="B30" s="37"/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9"/>
      <c r="AQ30" s="39"/>
      <c r="AR30" s="39"/>
      <c r="AS30" s="39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3"/>
    </row>
    <row r="31" spans="1:59" x14ac:dyDescent="0.3">
      <c r="A31" s="37"/>
      <c r="B31" s="37"/>
      <c r="C31" s="37"/>
      <c r="D31" s="37" t="s">
        <v>33</v>
      </c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9"/>
      <c r="AQ31" s="39"/>
      <c r="AR31" s="39"/>
      <c r="AS31" s="39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3"/>
    </row>
    <row r="32" spans="1:59" x14ac:dyDescent="0.3">
      <c r="A32" s="37"/>
      <c r="B32" s="37"/>
      <c r="C32" s="37"/>
      <c r="D32" s="55">
        <v>44727</v>
      </c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9"/>
      <c r="AQ32" s="39"/>
      <c r="AR32" s="39"/>
      <c r="AS32" s="39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3"/>
    </row>
    <row r="33" spans="1:59" x14ac:dyDescent="0.3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9"/>
      <c r="AQ33" s="39"/>
      <c r="AR33" s="39"/>
      <c r="AS33" s="39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3"/>
    </row>
    <row r="34" spans="1:59" x14ac:dyDescent="0.3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9"/>
      <c r="AQ34" s="39"/>
      <c r="AR34" s="39"/>
      <c r="AS34" s="39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3"/>
    </row>
    <row r="35" spans="1:59" x14ac:dyDescent="0.3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9"/>
      <c r="AQ35" s="39"/>
      <c r="AR35" s="39"/>
      <c r="AS35" s="39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3"/>
    </row>
    <row r="36" spans="1:59" x14ac:dyDescent="0.3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9"/>
      <c r="AQ36" s="39"/>
      <c r="AR36" s="39"/>
      <c r="AS36" s="39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3"/>
    </row>
    <row r="37" spans="1:59" x14ac:dyDescent="0.3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9"/>
      <c r="AR37" s="39"/>
      <c r="AS37" s="39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</row>
    <row r="38" spans="1:59" x14ac:dyDescent="0.3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spans="1:59" x14ac:dyDescent="0.3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spans="1:59" x14ac:dyDescent="0.3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spans="1:59" x14ac:dyDescent="0.3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spans="1:59" x14ac:dyDescent="0.3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spans="1:59" x14ac:dyDescent="0.3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spans="1:59" x14ac:dyDescent="0.3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spans="1:59" x14ac:dyDescent="0.3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spans="1:59" x14ac:dyDescent="0.3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spans="1:59" x14ac:dyDescent="0.3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spans="1:59" x14ac:dyDescent="0.3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spans="1:44" x14ac:dyDescent="0.3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spans="1:44" x14ac:dyDescent="0.3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spans="1:44" x14ac:dyDescent="0.3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spans="1:44" x14ac:dyDescent="0.3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spans="1:44" x14ac:dyDescent="0.3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spans="1:44" x14ac:dyDescent="0.3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spans="1:44" x14ac:dyDescent="0.3">
      <c r="A55" s="37"/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spans="1:44" x14ac:dyDescent="0.3">
      <c r="A56" s="37"/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spans="1:44" x14ac:dyDescent="0.3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spans="1:44" x14ac:dyDescent="0.3">
      <c r="A58" s="37"/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spans="1:44" x14ac:dyDescent="0.3">
      <c r="A59" s="37"/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spans="1:44" x14ac:dyDescent="0.3">
      <c r="A60" s="37"/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spans="1:44" x14ac:dyDescent="0.3">
      <c r="A61" s="37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spans="1:44" x14ac:dyDescent="0.3">
      <c r="A62" s="37"/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spans="1:44" x14ac:dyDescent="0.3">
      <c r="A63" s="37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spans="1:44" x14ac:dyDescent="0.3">
      <c r="A64" s="37"/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spans="1:44" x14ac:dyDescent="0.3">
      <c r="A65" s="37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spans="1:44" x14ac:dyDescent="0.3">
      <c r="A66" s="37"/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spans="1:44" x14ac:dyDescent="0.3">
      <c r="A67" s="37"/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spans="1:44" x14ac:dyDescent="0.3">
      <c r="A68" s="37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spans="1:44" x14ac:dyDescent="0.3">
      <c r="A69" s="37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spans="1:44" x14ac:dyDescent="0.3">
      <c r="A70" s="37"/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spans="1:44" x14ac:dyDescent="0.3">
      <c r="A71" s="37"/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spans="1:44" x14ac:dyDescent="0.3">
      <c r="A72" s="37"/>
      <c r="B72" s="37"/>
      <c r="C72" s="37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spans="1:44" x14ac:dyDescent="0.3">
      <c r="A73" s="37"/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spans="1:44" x14ac:dyDescent="0.3">
      <c r="A74" s="37"/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spans="1:44" x14ac:dyDescent="0.3">
      <c r="A75" s="37"/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spans="1:44" x14ac:dyDescent="0.3">
      <c r="A76" s="37"/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spans="1:44" x14ac:dyDescent="0.3">
      <c r="A77" s="37"/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spans="1:44" x14ac:dyDescent="0.3">
      <c r="A78" s="37"/>
      <c r="B78" s="37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spans="1:44" x14ac:dyDescent="0.3">
      <c r="A79" s="37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spans="1:44" x14ac:dyDescent="0.3">
      <c r="A80" s="37"/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spans="1:44" x14ac:dyDescent="0.3">
      <c r="A81" s="37"/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spans="1:44" x14ac:dyDescent="0.3">
      <c r="A82" s="37"/>
      <c r="B82" s="37"/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spans="1:44" x14ac:dyDescent="0.3">
      <c r="A83" s="37"/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spans="1:44" x14ac:dyDescent="0.3">
      <c r="A84" s="37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spans="1:44" x14ac:dyDescent="0.3">
      <c r="A85" s="37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spans="1:44" x14ac:dyDescent="0.3">
      <c r="A86" s="37"/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spans="1:44" x14ac:dyDescent="0.3">
      <c r="A87" s="37"/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spans="1:44" x14ac:dyDescent="0.3">
      <c r="A88" s="37"/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spans="1:44" x14ac:dyDescent="0.3">
      <c r="A89" s="37"/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spans="1:44" x14ac:dyDescent="0.3">
      <c r="A90" s="37"/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spans="1:44" x14ac:dyDescent="0.3">
      <c r="A91" s="37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spans="1:44" x14ac:dyDescent="0.3">
      <c r="A92" s="37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spans="1:44" x14ac:dyDescent="0.3">
      <c r="A93" s="37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spans="1:44" x14ac:dyDescent="0.3">
      <c r="A94" s="37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spans="1:44" x14ac:dyDescent="0.3">
      <c r="A95" s="37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spans="1:44" x14ac:dyDescent="0.3">
      <c r="A96" s="37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spans="1:44" x14ac:dyDescent="0.3">
      <c r="A97" s="37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spans="1:44" x14ac:dyDescent="0.3">
      <c r="A98" s="37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spans="1:44" x14ac:dyDescent="0.3">
      <c r="A99" s="37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spans="1:44" x14ac:dyDescent="0.3">
      <c r="A100" s="37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spans="1:44" x14ac:dyDescent="0.3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spans="1:44" x14ac:dyDescent="0.3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spans="1:44" x14ac:dyDescent="0.3">
      <c r="A103" s="37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spans="1:44" x14ac:dyDescent="0.3">
      <c r="A104" s="37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spans="1:44" x14ac:dyDescent="0.3">
      <c r="A105" s="37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spans="1:44" x14ac:dyDescent="0.3">
      <c r="A106" s="37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spans="1:44" x14ac:dyDescent="0.3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spans="1:44" x14ac:dyDescent="0.3">
      <c r="A108" s="37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spans="1:44" x14ac:dyDescent="0.3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spans="1:44" x14ac:dyDescent="0.3">
      <c r="A110" s="37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spans="1:44" x14ac:dyDescent="0.3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spans="1:44" x14ac:dyDescent="0.3">
      <c r="A112" s="37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spans="1:44" x14ac:dyDescent="0.3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spans="1:44" x14ac:dyDescent="0.3">
      <c r="A114" s="37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spans="1:44" x14ac:dyDescent="0.3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spans="1:44" x14ac:dyDescent="0.3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spans="1:44" x14ac:dyDescent="0.3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spans="1:44" x14ac:dyDescent="0.3">
      <c r="A118" s="37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spans="1:44" x14ac:dyDescent="0.3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spans="1:44" x14ac:dyDescent="0.3">
      <c r="A120" s="37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spans="1:44" x14ac:dyDescent="0.3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spans="1:44" x14ac:dyDescent="0.3">
      <c r="A122" s="37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spans="1:44" x14ac:dyDescent="0.3">
      <c r="A123" s="37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spans="1:44" x14ac:dyDescent="0.3">
      <c r="A124" s="37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spans="1:44" x14ac:dyDescent="0.3">
      <c r="A125" s="37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spans="1:44" x14ac:dyDescent="0.3">
      <c r="A126" s="37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spans="1:44" x14ac:dyDescent="0.3">
      <c r="A127" s="37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spans="1:44" x14ac:dyDescent="0.3">
      <c r="A128" s="37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spans="1:44" x14ac:dyDescent="0.3">
      <c r="A129" s="37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spans="1:44" x14ac:dyDescent="0.3">
      <c r="A130" s="37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spans="1:44" x14ac:dyDescent="0.3">
      <c r="A131" s="37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spans="1:44" x14ac:dyDescent="0.3">
      <c r="A132" s="37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spans="1:44" x14ac:dyDescent="0.3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spans="1:44" x14ac:dyDescent="0.3">
      <c r="A134" s="37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spans="1:44" x14ac:dyDescent="0.3">
      <c r="A135" s="37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spans="1:44" x14ac:dyDescent="0.3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spans="1:44" x14ac:dyDescent="0.3">
      <c r="A137" s="37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spans="1:44" x14ac:dyDescent="0.3">
      <c r="A138" s="37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spans="1:44" x14ac:dyDescent="0.3">
      <c r="A139" s="37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spans="1:44" x14ac:dyDescent="0.3">
      <c r="A140" s="37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spans="1:44" x14ac:dyDescent="0.3">
      <c r="A141" s="37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spans="1:44" x14ac:dyDescent="0.3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spans="1:44" x14ac:dyDescent="0.3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spans="1:44" x14ac:dyDescent="0.3">
      <c r="A144" s="37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spans="1:44" x14ac:dyDescent="0.3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spans="1:44" x14ac:dyDescent="0.3">
      <c r="A146" s="37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spans="1:44" x14ac:dyDescent="0.3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spans="1:44" x14ac:dyDescent="0.3">
      <c r="A148" s="37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spans="1:44" x14ac:dyDescent="0.3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spans="1:44" x14ac:dyDescent="0.3">
      <c r="A150" s="37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spans="1:44" x14ac:dyDescent="0.3">
      <c r="A151" s="37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spans="1:44" x14ac:dyDescent="0.3">
      <c r="A152" s="37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spans="1:44" x14ac:dyDescent="0.3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spans="1:44" x14ac:dyDescent="0.3">
      <c r="A154" s="37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</sheetData>
  <sheetProtection algorithmName="SHA-512" hashValue="u69BQ16lJRbMxNgDdEqDh7NEMq3hKiP8k6EWQOshe5hm0/RxV1WDe8mbCm/wZ5hBavMNNAuuACFUFCB8Wopiug==" saltValue="MmL4dwpXekjQKJ37rWTYEQ==" spinCount="100000" sheet="1" objects="1" scenarios="1" selectLockedCells="1"/>
  <conditionalFormatting sqref="C6 G6 D9:G9 D12:G12 D15:G15 D18:G18 D21:G21 D24:G24 D27:G27 P6 N9:Q9 N12:Q12 N15:Q15 N18:Q18 N21:Q21">
    <cfRule type="colorScale" priority="1">
      <colorScale>
        <cfvo type="num" val="0"/>
        <cfvo type="num" val="0.5"/>
        <cfvo type="num" val="1"/>
        <color rgb="FFFF0000"/>
        <color theme="0" tint="-0.14999847407452621"/>
        <color rgb="FF0070C0"/>
      </colorScale>
    </cfRule>
  </conditionalFormatting>
  <pageMargins left="0.7" right="0.7" top="0.75" bottom="0.75" header="0.3" footer="0.3"/>
  <pageSetup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49BB6A-DB56-4967-B394-BF7BA6EC7CF8}">
          <x14:formula1>
            <xm:f>'Ranks for Cards and Graph'!$A:$A</xm:f>
          </x14:formula1>
          <xm:sqref>A2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81649-BBC8-4241-AE07-B247EE7EF23E}">
  <sheetPr codeName="Sheet16">
    <pageSetUpPr autoPageBreaks="0"/>
  </sheetPr>
  <dimension ref="A1:BG49"/>
  <sheetViews>
    <sheetView zoomScaleNormal="100" workbookViewId="0">
      <selection activeCell="A2" sqref="A2"/>
    </sheetView>
  </sheetViews>
  <sheetFormatPr defaultRowHeight="14.4" x14ac:dyDescent="0.3"/>
  <cols>
    <col min="1" max="1" width="21.88671875" customWidth="1"/>
    <col min="3" max="3" width="10.88671875" customWidth="1"/>
    <col min="4" max="7" width="10.5546875" customWidth="1"/>
    <col min="8" max="8" width="9.88671875" customWidth="1"/>
    <col min="9" max="9" width="8.88671875" style="1"/>
    <col min="11" max="11" width="10.5546875" customWidth="1"/>
    <col min="12" max="12" width="10.5546875" style="1" customWidth="1"/>
    <col min="13" max="14" width="10.5546875" customWidth="1"/>
    <col min="15" max="15" width="10.5546875" style="1" customWidth="1"/>
    <col min="18" max="18" width="8.88671875" style="1"/>
    <col min="31" max="31" width="8.88671875" customWidth="1"/>
    <col min="44" max="44" width="10.88671875" customWidth="1"/>
    <col min="45" max="45" width="10.5546875" customWidth="1"/>
    <col min="46" max="46" width="11.44140625" customWidth="1"/>
    <col min="47" max="48" width="10.44140625" customWidth="1"/>
    <col min="49" max="49" width="9.88671875" bestFit="1" customWidth="1"/>
  </cols>
  <sheetData>
    <row r="1" spans="1:59" x14ac:dyDescent="0.3">
      <c r="A1" s="35" t="str">
        <f>'G Ranks'!A1</f>
        <v>Player</v>
      </c>
      <c r="B1" s="35"/>
      <c r="C1" s="35" t="str">
        <f>'G Ranks'!B1</f>
        <v>Team</v>
      </c>
      <c r="D1" s="35" t="str">
        <f>'G Ranks'!C1</f>
        <v>GP</v>
      </c>
      <c r="E1" s="35" t="str">
        <f>'G Ranks'!D1</f>
        <v>xGA/60</v>
      </c>
      <c r="F1" s="35" t="str">
        <f>'G Ranks'!E1</f>
        <v>GA/60</v>
      </c>
      <c r="G1" s="35">
        <f>'G Ranks'!F1</f>
        <v>0</v>
      </c>
      <c r="H1" s="35" t="e">
        <f>'G Ranks'!G1</f>
        <v>#VALUE!</v>
      </c>
      <c r="I1" s="36" t="e">
        <f>'G Ranks'!H1</f>
        <v>#VALUE!</v>
      </c>
      <c r="J1" s="35" t="e">
        <f>'G Ranks'!I1</f>
        <v>#VALUE!</v>
      </c>
      <c r="K1" s="35">
        <f>'G Ranks'!J1</f>
        <v>0</v>
      </c>
      <c r="L1" s="36" t="e">
        <f>'G Ranks'!K1</f>
        <v>#VALUE!</v>
      </c>
      <c r="M1" s="35" t="e">
        <f>'G Ranks'!L1</f>
        <v>#VALUE!</v>
      </c>
      <c r="N1" s="35">
        <f>'G Ranks'!M1</f>
        <v>0</v>
      </c>
      <c r="O1" s="36" t="e">
        <f>'G Ranks'!N1</f>
        <v>#VALUE!</v>
      </c>
      <c r="P1" s="35" t="e">
        <f>'G Ranks'!O1</f>
        <v>#VALUE!</v>
      </c>
      <c r="Q1" s="35">
        <f>'G Ranks'!P1</f>
        <v>0</v>
      </c>
      <c r="R1" s="36" t="e">
        <f>'G Ranks'!Q1</f>
        <v>#VALUE!</v>
      </c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</row>
    <row r="2" spans="1:59" x14ac:dyDescent="0.3">
      <c r="A2" s="59" t="s">
        <v>388</v>
      </c>
      <c r="B2" s="35" t="str">
        <f>INDEX('G Ranks'!A:A,MATCH('Goalie Card'!$A2,'G Ranks'!$A:$A,0))</f>
        <v>Jack Campbell</v>
      </c>
      <c r="C2" s="35" t="str">
        <f>INDEX('G Ranks'!B:B,MATCH('Goalie Card'!$A2,'G Ranks'!$A:$A,0))</f>
        <v>EDM</v>
      </c>
      <c r="D2" s="35">
        <f>INDEX('G Ranks'!C:C,MATCH('Goalie Card'!$A2,'G Ranks'!$A:$A,0))</f>
        <v>36</v>
      </c>
      <c r="E2" s="35">
        <f>INDEX('G Ranks'!D:D,MATCH('Goalie Card'!$A2,'G Ranks'!$A:$A,0))</f>
        <v>2.77</v>
      </c>
      <c r="F2" s="35">
        <f>INDEX('G Ranks'!E:E,MATCH('Goalie Card'!$A2,'G Ranks'!$A:$A,0))</f>
        <v>3.41</v>
      </c>
      <c r="G2" s="35">
        <f>INDEX('G Ranks'!F:F,MATCH('Goalie Card'!$A2,'G Ranks'!$A:$A,0))</f>
        <v>0</v>
      </c>
      <c r="H2" s="35">
        <f>INDEX('G Ranks'!G:G,MATCH('Goalie Card'!$A2,'G Ranks'!$A:$A,0))</f>
        <v>-0.64000000000000012</v>
      </c>
      <c r="I2" s="36">
        <f>INDEX('G Ranks'!H:H,MATCH('Goalie Card'!$A2,'G Ranks'!$A:$A,0))</f>
        <v>0.10843373493975904</v>
      </c>
      <c r="J2" s="35">
        <f>INDEX('G Ranks'!I:I,MATCH('Goalie Card'!$A2,'G Ranks'!$A:$A,0))</f>
        <v>75</v>
      </c>
      <c r="K2" s="35">
        <f>INDEX('G Ranks'!J:J,MATCH('Goalie Card'!$A2,'G Ranks'!$A:$A,0))</f>
        <v>0</v>
      </c>
      <c r="L2" s="36">
        <f>INDEX('G Ranks'!K:K,MATCH('Goalie Card'!$A2,'G Ranks'!$A:$A,0))</f>
        <v>0.24096385542168675</v>
      </c>
      <c r="M2" s="35">
        <f>INDEX('G Ranks'!L:L,MATCH('Goalie Card'!$A2,'G Ranks'!$A:$A,0))</f>
        <v>62</v>
      </c>
      <c r="N2" s="35">
        <f>INDEX('G Ranks'!M:M,MATCH('Goalie Card'!$A2,'G Ranks'!$A:$A,0))</f>
        <v>0</v>
      </c>
      <c r="O2" s="35">
        <f>INDEX('G Ranks'!N:N,MATCH('Goalie Card'!$A2,'G Ranks'!$A:$A,0))</f>
        <v>0.26506024096385544</v>
      </c>
      <c r="P2" s="35">
        <f>INDEX('G Ranks'!O:O,MATCH('Goalie Card'!$A2,'G Ranks'!$A:$A,0))</f>
        <v>61</v>
      </c>
      <c r="Q2" s="35">
        <f>INDEX('G Ranks'!P:P,MATCH('Goalie Card'!$A2,'G Ranks'!$A:$A,0))</f>
        <v>0</v>
      </c>
      <c r="R2" s="36">
        <f>INDEX('G Ranks'!Q:Q,MATCH('Goalie Card'!$A2,'G Ranks'!$A:$A,0))</f>
        <v>0.5662650602409639</v>
      </c>
      <c r="S2" s="35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</row>
    <row r="3" spans="1:59" x14ac:dyDescent="0.3">
      <c r="A3" s="37"/>
      <c r="B3" s="37"/>
      <c r="C3" s="37"/>
      <c r="D3" s="37"/>
      <c r="E3" s="37"/>
      <c r="F3" s="37"/>
      <c r="G3" s="37"/>
      <c r="H3" s="37"/>
      <c r="I3" s="38"/>
      <c r="J3" s="37"/>
      <c r="K3" s="37"/>
      <c r="L3" s="38"/>
      <c r="M3" s="37"/>
      <c r="N3" s="37"/>
      <c r="O3" s="38"/>
      <c r="P3" s="37"/>
      <c r="Q3" s="37"/>
      <c r="R3" s="38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X3" s="3"/>
      <c r="AY3" s="3"/>
      <c r="AZ3" s="3"/>
      <c r="BA3" s="3"/>
      <c r="BB3" s="3"/>
      <c r="BC3" s="3"/>
      <c r="BD3" s="3"/>
      <c r="BE3" s="3"/>
      <c r="BF3" s="3"/>
      <c r="BG3" s="3"/>
    </row>
    <row r="4" spans="1:59" x14ac:dyDescent="0.3">
      <c r="A4" s="37"/>
      <c r="B4" s="37"/>
      <c r="C4" s="37"/>
      <c r="D4" s="37"/>
      <c r="E4" s="37"/>
      <c r="F4" s="37"/>
      <c r="G4" s="37"/>
      <c r="H4" s="37"/>
      <c r="I4" s="38"/>
      <c r="J4" s="37"/>
      <c r="K4" s="37"/>
      <c r="L4" s="38"/>
      <c r="M4" s="37"/>
      <c r="N4" s="37"/>
      <c r="O4" s="38"/>
      <c r="P4" s="37"/>
      <c r="Q4" s="37"/>
      <c r="R4" s="38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X4" s="3"/>
      <c r="AY4" s="3"/>
      <c r="AZ4" s="3"/>
      <c r="BA4" s="3"/>
      <c r="BB4" s="3"/>
      <c r="BC4" s="3"/>
      <c r="BD4" s="3"/>
      <c r="BE4" s="3"/>
      <c r="BF4" s="3"/>
      <c r="BG4" s="3"/>
    </row>
    <row r="5" spans="1:59" x14ac:dyDescent="0.3">
      <c r="A5" s="37"/>
      <c r="B5" s="70" t="s">
        <v>34</v>
      </c>
      <c r="C5" s="71"/>
      <c r="D5" s="35"/>
      <c r="E5" s="71"/>
      <c r="F5" s="71"/>
      <c r="G5" s="71"/>
      <c r="H5" s="71"/>
      <c r="I5" s="38"/>
      <c r="J5" s="60"/>
      <c r="K5" s="7"/>
      <c r="L5" s="61"/>
      <c r="M5" s="7"/>
      <c r="N5" s="7"/>
      <c r="O5" s="60"/>
      <c r="P5" s="7"/>
      <c r="Q5" s="37"/>
      <c r="R5" s="38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X5" s="4"/>
      <c r="AY5" s="4"/>
      <c r="AZ5" s="4"/>
      <c r="BA5" s="4"/>
      <c r="BB5" s="4"/>
      <c r="BC5" s="4"/>
      <c r="BD5" s="4"/>
      <c r="BE5" s="4"/>
      <c r="BF5" s="4"/>
      <c r="BG5" s="3"/>
    </row>
    <row r="6" spans="1:59" ht="49.95" customHeight="1" x14ac:dyDescent="0.6">
      <c r="A6" s="37"/>
      <c r="B6" s="72" t="str">
        <f>B2</f>
        <v>Jack Campbell</v>
      </c>
      <c r="C6" s="71"/>
      <c r="D6" s="71"/>
      <c r="E6" s="73">
        <f>I2</f>
        <v>0.10843373493975904</v>
      </c>
      <c r="F6" s="71"/>
      <c r="G6" s="74" t="str">
        <f>C2</f>
        <v>EDM</v>
      </c>
      <c r="H6" s="71"/>
      <c r="I6" s="38"/>
      <c r="J6" s="62" t="str">
        <f>B2</f>
        <v>Jack Campbell</v>
      </c>
      <c r="K6" s="7"/>
      <c r="L6" s="61"/>
      <c r="M6" s="63">
        <f>I2</f>
        <v>0.10843373493975904</v>
      </c>
      <c r="N6" s="64"/>
      <c r="O6" s="15" t="s">
        <v>35</v>
      </c>
      <c r="P6" s="65"/>
      <c r="Q6" s="37"/>
      <c r="R6" s="38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X6" s="4"/>
      <c r="AY6" s="4"/>
      <c r="AZ6" s="4"/>
      <c r="BA6" s="4"/>
      <c r="BB6" s="4"/>
      <c r="BC6" s="4"/>
      <c r="BD6" s="4"/>
      <c r="BE6" s="4"/>
      <c r="BF6" s="4"/>
      <c r="BG6" s="3"/>
    </row>
    <row r="7" spans="1:59" ht="15.6" x14ac:dyDescent="0.3">
      <c r="A7" s="37"/>
      <c r="B7" s="75" t="s">
        <v>31</v>
      </c>
      <c r="C7" s="76">
        <f>D2</f>
        <v>36</v>
      </c>
      <c r="D7" s="71"/>
      <c r="E7" s="77" t="s">
        <v>39</v>
      </c>
      <c r="F7" s="71"/>
      <c r="G7" s="71"/>
      <c r="H7" s="71"/>
      <c r="I7" s="38"/>
      <c r="J7" s="64"/>
      <c r="K7" s="66" t="str">
        <f>C2</f>
        <v>EDM</v>
      </c>
      <c r="L7" s="67"/>
      <c r="M7" s="15" t="s">
        <v>32</v>
      </c>
      <c r="N7" s="7"/>
      <c r="O7" s="68">
        <f>D2</f>
        <v>36</v>
      </c>
      <c r="P7" s="7"/>
      <c r="Q7" s="37"/>
      <c r="R7" s="38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X7" s="4"/>
      <c r="AY7" s="4"/>
      <c r="AZ7" s="4"/>
      <c r="BA7" s="4"/>
      <c r="BB7" s="4"/>
      <c r="BC7" s="4"/>
      <c r="BD7" s="4"/>
      <c r="BE7" s="4"/>
      <c r="BF7" s="4"/>
      <c r="BG7" s="3"/>
    </row>
    <row r="8" spans="1:59" x14ac:dyDescent="0.3">
      <c r="A8" s="37"/>
      <c r="B8" s="78"/>
      <c r="C8" s="71"/>
      <c r="D8" s="71"/>
      <c r="E8" s="71"/>
      <c r="F8" s="71"/>
      <c r="G8" s="71"/>
      <c r="H8" s="71"/>
      <c r="I8" s="38"/>
      <c r="J8" s="7"/>
      <c r="K8" s="7"/>
      <c r="L8" s="61"/>
      <c r="M8" s="7"/>
      <c r="N8" s="7"/>
      <c r="O8" s="61"/>
      <c r="P8" s="7"/>
      <c r="Q8" s="37"/>
      <c r="R8" s="38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X8" s="4"/>
      <c r="AY8" s="4"/>
      <c r="AZ8" s="4"/>
      <c r="BA8" s="4"/>
      <c r="BB8" s="4"/>
      <c r="BC8" s="4"/>
      <c r="BD8" s="4"/>
      <c r="BE8" s="4"/>
      <c r="BF8" s="4"/>
      <c r="BG8" s="3"/>
    </row>
    <row r="9" spans="1:59" x14ac:dyDescent="0.3">
      <c r="A9" s="37"/>
      <c r="B9" s="71"/>
      <c r="C9" s="71" t="s">
        <v>28</v>
      </c>
      <c r="D9" s="71"/>
      <c r="E9" s="79">
        <f>L2</f>
        <v>0.24096385542168675</v>
      </c>
      <c r="F9" s="80"/>
      <c r="G9" s="80"/>
      <c r="H9" s="71"/>
      <c r="I9" s="38"/>
      <c r="J9" s="7"/>
      <c r="K9" s="23">
        <f>L2</f>
        <v>0.24096385542168675</v>
      </c>
      <c r="L9" s="23"/>
      <c r="M9" s="23">
        <f>O2</f>
        <v>0.26506024096385544</v>
      </c>
      <c r="N9" s="23"/>
      <c r="O9" s="23">
        <f>R2</f>
        <v>0.5662650602409639</v>
      </c>
      <c r="P9" s="7"/>
      <c r="Q9" s="37"/>
      <c r="R9" s="38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X9" s="4"/>
      <c r="AY9" s="4"/>
      <c r="AZ9" s="4"/>
      <c r="BA9" s="4"/>
      <c r="BB9" s="4"/>
      <c r="BC9" s="4"/>
      <c r="BD9" s="4"/>
      <c r="BE9" s="4"/>
      <c r="BF9" s="4"/>
      <c r="BG9" s="3"/>
    </row>
    <row r="10" spans="1:59" x14ac:dyDescent="0.3">
      <c r="A10" s="37"/>
      <c r="B10" s="71"/>
      <c r="C10" s="71"/>
      <c r="D10" s="77"/>
      <c r="E10" s="77"/>
      <c r="F10" s="77"/>
      <c r="G10" s="77"/>
      <c r="H10" s="71"/>
      <c r="I10" s="38"/>
      <c r="J10" s="7"/>
      <c r="K10" s="15" t="s">
        <v>438</v>
      </c>
      <c r="L10" s="61"/>
      <c r="M10" s="15" t="s">
        <v>439</v>
      </c>
      <c r="N10" s="7"/>
      <c r="O10" s="15" t="s">
        <v>29</v>
      </c>
      <c r="P10" s="7"/>
      <c r="Q10" s="37"/>
      <c r="R10" s="38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X10" s="4"/>
      <c r="AY10" s="4"/>
      <c r="AZ10" s="4"/>
      <c r="BA10" s="4"/>
      <c r="BB10" s="4"/>
      <c r="BC10" s="4"/>
      <c r="BD10" s="4"/>
      <c r="BE10" s="4"/>
      <c r="BF10" s="4"/>
      <c r="BG10" s="3"/>
    </row>
    <row r="11" spans="1:59" x14ac:dyDescent="0.3">
      <c r="A11" s="37"/>
      <c r="B11" s="71"/>
      <c r="C11" s="71" t="s">
        <v>30</v>
      </c>
      <c r="D11" s="81"/>
      <c r="E11" s="80">
        <f>O2</f>
        <v>0.26506024096385544</v>
      </c>
      <c r="F11" s="71"/>
      <c r="G11" s="71"/>
      <c r="H11" s="71"/>
      <c r="I11" s="38"/>
      <c r="J11" s="7"/>
      <c r="K11" s="7"/>
      <c r="L11" s="61"/>
      <c r="M11" s="7"/>
      <c r="N11" s="7"/>
      <c r="O11" s="61"/>
      <c r="P11" s="7"/>
      <c r="Q11" s="37"/>
      <c r="R11" s="38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X11" s="4"/>
      <c r="AY11" s="4"/>
      <c r="AZ11" s="4"/>
      <c r="BA11" s="4"/>
      <c r="BB11" s="4"/>
      <c r="BC11" s="4"/>
      <c r="BD11" s="4"/>
      <c r="BE11" s="4"/>
      <c r="BF11" s="4"/>
      <c r="BG11" s="3"/>
    </row>
    <row r="12" spans="1:59" x14ac:dyDescent="0.3">
      <c r="A12" s="37"/>
      <c r="B12" s="71"/>
      <c r="C12" s="71"/>
      <c r="D12" s="80"/>
      <c r="E12" s="80"/>
      <c r="F12" s="80"/>
      <c r="G12" s="80"/>
      <c r="H12" s="71"/>
      <c r="I12" s="38"/>
      <c r="J12" s="7"/>
      <c r="K12" s="7"/>
      <c r="L12" s="61"/>
      <c r="M12" s="28" t="s">
        <v>437</v>
      </c>
      <c r="N12" s="7"/>
      <c r="O12" s="61"/>
      <c r="P12" s="7"/>
      <c r="Q12" s="37"/>
      <c r="R12" s="38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X12" s="4"/>
      <c r="AY12" s="4"/>
      <c r="AZ12" s="4"/>
      <c r="BA12" s="4"/>
      <c r="BB12" s="4"/>
      <c r="BC12" s="4"/>
      <c r="BD12" s="4"/>
      <c r="BE12" s="4"/>
      <c r="BF12" s="4"/>
      <c r="BG12" s="3"/>
    </row>
    <row r="13" spans="1:59" x14ac:dyDescent="0.3">
      <c r="A13" s="37"/>
      <c r="B13" s="71"/>
      <c r="C13" s="82" t="s">
        <v>29</v>
      </c>
      <c r="D13" s="80"/>
      <c r="E13" s="80">
        <f>R2</f>
        <v>0.5662650602409639</v>
      </c>
      <c r="F13" s="81"/>
      <c r="G13" s="81"/>
      <c r="H13" s="71"/>
      <c r="I13" s="38"/>
      <c r="J13" s="7"/>
      <c r="K13" s="7"/>
      <c r="L13" s="61"/>
      <c r="M13" s="69" t="s">
        <v>34</v>
      </c>
      <c r="N13" s="7"/>
      <c r="O13" s="61"/>
      <c r="P13" s="7"/>
      <c r="Q13" s="37"/>
      <c r="R13" s="38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X13" s="4"/>
      <c r="AY13" s="4"/>
      <c r="AZ13" s="4"/>
      <c r="BA13" s="4"/>
      <c r="BB13" s="4"/>
      <c r="BC13" s="4"/>
      <c r="BD13" s="4"/>
      <c r="BE13" s="4"/>
      <c r="BF13" s="4"/>
      <c r="BG13" s="3"/>
    </row>
    <row r="14" spans="1:59" x14ac:dyDescent="0.3">
      <c r="A14" s="37"/>
      <c r="B14" s="71"/>
      <c r="C14" s="71"/>
      <c r="D14" s="80"/>
      <c r="E14" s="80"/>
      <c r="F14" s="80"/>
      <c r="G14" s="80"/>
      <c r="H14" s="71"/>
      <c r="I14" s="38"/>
      <c r="J14" s="37"/>
      <c r="K14" s="37"/>
      <c r="L14" s="38"/>
      <c r="M14" s="37"/>
      <c r="N14" s="37"/>
      <c r="O14" s="38"/>
      <c r="P14" s="37"/>
      <c r="Q14" s="37"/>
      <c r="R14" s="38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X14" s="4"/>
      <c r="AY14" s="4"/>
      <c r="AZ14" s="4"/>
      <c r="BA14" s="4"/>
      <c r="BB14" s="4"/>
      <c r="BC14" s="4"/>
      <c r="BD14" s="4"/>
      <c r="BE14" s="4"/>
      <c r="BF14" s="4"/>
      <c r="BG14" s="3"/>
    </row>
    <row r="15" spans="1:59" x14ac:dyDescent="0.3">
      <c r="A15" s="37"/>
      <c r="B15" s="71" t="s">
        <v>45</v>
      </c>
      <c r="C15" s="35"/>
      <c r="D15" s="35"/>
      <c r="E15" s="35"/>
      <c r="F15" s="71" t="s">
        <v>37</v>
      </c>
      <c r="G15" s="80"/>
      <c r="H15" s="71"/>
      <c r="I15" s="38"/>
      <c r="J15" s="37"/>
      <c r="K15" s="37"/>
      <c r="L15" s="38"/>
      <c r="M15" s="37"/>
      <c r="N15" s="37"/>
      <c r="O15" s="38"/>
      <c r="P15" s="37"/>
      <c r="Q15" s="37"/>
      <c r="R15" s="38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X15" s="4"/>
      <c r="AY15" s="4"/>
      <c r="AZ15" s="4"/>
      <c r="BA15" s="4"/>
      <c r="BB15" s="4"/>
      <c r="BC15" s="4"/>
      <c r="BD15" s="4"/>
      <c r="BE15" s="4"/>
      <c r="BF15" s="4"/>
      <c r="BG15" s="3"/>
    </row>
    <row r="16" spans="1:59" x14ac:dyDescent="0.3">
      <c r="A16" s="37"/>
      <c r="B16" s="39"/>
      <c r="C16" s="39"/>
      <c r="D16" s="40"/>
      <c r="E16" s="40"/>
      <c r="F16" s="40"/>
      <c r="G16" s="40"/>
      <c r="H16" s="39"/>
      <c r="I16" s="38"/>
      <c r="J16" s="37"/>
      <c r="K16" s="37"/>
      <c r="L16" s="38"/>
      <c r="M16" s="37"/>
      <c r="N16" s="37"/>
      <c r="O16" s="38"/>
      <c r="P16" s="37"/>
      <c r="Q16" s="37"/>
      <c r="R16" s="38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X16" s="4"/>
      <c r="AY16" s="4"/>
      <c r="AZ16" s="4"/>
      <c r="BA16" s="4"/>
      <c r="BB16" s="4"/>
      <c r="BC16" s="4"/>
      <c r="BD16" s="4"/>
      <c r="BE16" s="4"/>
      <c r="BF16" s="4"/>
      <c r="BG16" s="3"/>
    </row>
    <row r="17" spans="1:59" x14ac:dyDescent="0.3">
      <c r="A17" s="37"/>
      <c r="B17" s="39"/>
      <c r="C17" s="39"/>
      <c r="D17" s="41"/>
      <c r="E17" s="41"/>
      <c r="F17" s="41"/>
      <c r="G17" s="41"/>
      <c r="H17" s="39"/>
      <c r="I17" s="38"/>
      <c r="J17" s="37"/>
      <c r="K17" s="37"/>
      <c r="L17" s="38"/>
      <c r="M17" s="37"/>
      <c r="N17" s="37"/>
      <c r="O17" s="38"/>
      <c r="P17" s="37"/>
      <c r="Q17" s="37"/>
      <c r="R17" s="38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X17" s="4"/>
      <c r="AY17" s="4"/>
      <c r="AZ17" s="4"/>
      <c r="BA17" s="4"/>
      <c r="BB17" s="4"/>
      <c r="BC17" s="4"/>
      <c r="BD17" s="4"/>
      <c r="BE17" s="4"/>
      <c r="BF17" s="4"/>
      <c r="BG17" s="3"/>
    </row>
    <row r="18" spans="1:59" x14ac:dyDescent="0.3">
      <c r="A18" s="37"/>
      <c r="B18" s="39"/>
      <c r="C18" s="39"/>
      <c r="D18" s="41"/>
      <c r="E18" s="41"/>
      <c r="F18" s="41"/>
      <c r="G18" s="41"/>
      <c r="H18" s="39"/>
      <c r="I18" s="38"/>
      <c r="J18" s="37"/>
      <c r="K18" s="37"/>
      <c r="L18" s="38"/>
      <c r="M18" s="37"/>
      <c r="N18" s="37"/>
      <c r="O18" s="38"/>
      <c r="P18" s="37"/>
      <c r="Q18" s="37"/>
      <c r="R18" s="38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X18" s="4"/>
      <c r="AY18" s="4"/>
      <c r="AZ18" s="4"/>
      <c r="BA18" s="4"/>
      <c r="BB18" s="4"/>
      <c r="BC18" s="4"/>
      <c r="BD18" s="4"/>
      <c r="BE18" s="4"/>
      <c r="BF18" s="4"/>
      <c r="BG18" s="3"/>
    </row>
    <row r="19" spans="1:59" x14ac:dyDescent="0.3">
      <c r="A19" s="37"/>
      <c r="B19" s="39"/>
      <c r="C19" s="39"/>
      <c r="D19" s="40"/>
      <c r="E19" s="40"/>
      <c r="F19" s="40"/>
      <c r="G19" s="40"/>
      <c r="H19" s="39"/>
      <c r="I19" s="38"/>
      <c r="J19" s="37"/>
      <c r="K19" s="37"/>
      <c r="L19" s="38"/>
      <c r="M19" s="37"/>
      <c r="N19" s="37"/>
      <c r="O19" s="38"/>
      <c r="P19" s="37"/>
      <c r="Q19" s="37"/>
      <c r="R19" s="38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X19" s="4"/>
      <c r="AY19" s="4"/>
      <c r="AZ19" s="4"/>
      <c r="BA19" s="4"/>
      <c r="BB19" s="4"/>
      <c r="BC19" s="4"/>
      <c r="BD19" s="4"/>
      <c r="BE19" s="4"/>
      <c r="BF19" s="4"/>
      <c r="BG19" s="3"/>
    </row>
    <row r="20" spans="1:59" x14ac:dyDescent="0.3">
      <c r="A20" s="37"/>
      <c r="B20" s="39"/>
      <c r="C20" s="39"/>
      <c r="D20" s="41"/>
      <c r="E20" s="41"/>
      <c r="F20" s="41"/>
      <c r="G20" s="41"/>
      <c r="H20" s="39"/>
      <c r="I20" s="38"/>
      <c r="J20" s="37"/>
      <c r="K20" s="37"/>
      <c r="L20" s="38"/>
      <c r="M20" s="37"/>
      <c r="N20" s="37"/>
      <c r="O20" s="38"/>
      <c r="P20" s="37"/>
      <c r="Q20" s="37"/>
      <c r="R20" s="38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X20" s="4"/>
      <c r="AY20" s="4"/>
      <c r="AZ20" s="4"/>
      <c r="BA20" s="4"/>
      <c r="BB20" s="4"/>
      <c r="BC20" s="4"/>
      <c r="BD20" s="4"/>
      <c r="BE20" s="4"/>
      <c r="BF20" s="4"/>
      <c r="BG20" s="3"/>
    </row>
    <row r="21" spans="1:59" x14ac:dyDescent="0.3">
      <c r="A21" s="37"/>
      <c r="B21" s="39"/>
      <c r="C21" s="39"/>
      <c r="D21" s="41"/>
      <c r="E21" s="41"/>
      <c r="F21" s="41"/>
      <c r="G21" s="41"/>
      <c r="H21" s="39"/>
      <c r="I21" s="38"/>
      <c r="J21" s="37"/>
      <c r="K21" s="37"/>
      <c r="L21" s="38"/>
      <c r="M21" s="37"/>
      <c r="N21" s="37"/>
      <c r="O21" s="38"/>
      <c r="P21" s="37"/>
      <c r="Q21" s="37"/>
      <c r="R21" s="38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X21" s="4"/>
      <c r="AY21" s="4"/>
      <c r="AZ21" s="4"/>
      <c r="BA21" s="4"/>
      <c r="BB21" s="4"/>
      <c r="BC21" s="4"/>
      <c r="BD21" s="4"/>
      <c r="BE21" s="4"/>
      <c r="BF21" s="4"/>
      <c r="BG21" s="3"/>
    </row>
    <row r="22" spans="1:59" x14ac:dyDescent="0.3">
      <c r="A22" s="37"/>
      <c r="B22" s="39"/>
      <c r="C22" s="39"/>
      <c r="D22" s="40"/>
      <c r="E22" s="40"/>
      <c r="F22" s="40"/>
      <c r="G22" s="40"/>
      <c r="H22" s="39"/>
      <c r="I22" s="38"/>
      <c r="J22" s="37"/>
      <c r="K22" s="37"/>
      <c r="L22" s="38"/>
      <c r="M22" s="37"/>
      <c r="N22" s="37"/>
      <c r="O22" s="38"/>
      <c r="P22" s="37"/>
      <c r="Q22" s="37"/>
      <c r="R22" s="38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X22" s="4"/>
      <c r="AY22" s="4"/>
      <c r="AZ22" s="4"/>
      <c r="BA22" s="4"/>
      <c r="BB22" s="4"/>
      <c r="BC22" s="4"/>
      <c r="BD22" s="4"/>
      <c r="BE22" s="4"/>
      <c r="BF22" s="4"/>
      <c r="BG22" s="3"/>
    </row>
    <row r="23" spans="1:59" x14ac:dyDescent="0.3">
      <c r="A23" s="37"/>
      <c r="B23" s="39"/>
      <c r="C23" s="39"/>
      <c r="D23" s="41"/>
      <c r="E23" s="41"/>
      <c r="F23" s="41"/>
      <c r="G23" s="41"/>
      <c r="H23" s="39"/>
      <c r="I23" s="38"/>
      <c r="J23" s="37"/>
      <c r="K23" s="37"/>
      <c r="L23" s="38"/>
      <c r="M23" s="37"/>
      <c r="N23" s="37"/>
      <c r="O23" s="38"/>
      <c r="P23" s="37"/>
      <c r="Q23" s="37"/>
      <c r="R23" s="38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X23" s="4"/>
      <c r="AY23" s="4"/>
      <c r="AZ23" s="4"/>
      <c r="BA23" s="4"/>
      <c r="BB23" s="4"/>
      <c r="BC23" s="4"/>
      <c r="BD23" s="4"/>
      <c r="BE23" s="4"/>
      <c r="BF23" s="4"/>
      <c r="BG23" s="3"/>
    </row>
    <row r="24" spans="1:59" x14ac:dyDescent="0.3">
      <c r="A24" s="37"/>
      <c r="B24" s="39"/>
      <c r="C24" s="39"/>
      <c r="D24" s="41"/>
      <c r="E24" s="41"/>
      <c r="F24" s="41"/>
      <c r="G24" s="41"/>
      <c r="H24" s="39"/>
      <c r="I24" s="38"/>
      <c r="J24" s="37"/>
      <c r="K24" s="37"/>
      <c r="L24" s="38"/>
      <c r="M24" s="37"/>
      <c r="N24" s="37"/>
      <c r="O24" s="38"/>
      <c r="P24" s="37"/>
      <c r="Q24" s="37"/>
      <c r="R24" s="38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X24" s="4"/>
      <c r="AY24" s="4"/>
      <c r="AZ24" s="4"/>
      <c r="BA24" s="4"/>
      <c r="BB24" s="4"/>
      <c r="BC24" s="4"/>
      <c r="BD24" s="4"/>
      <c r="BE24" s="4"/>
      <c r="BF24" s="4"/>
      <c r="BG24" s="3"/>
    </row>
    <row r="25" spans="1:59" x14ac:dyDescent="0.3">
      <c r="A25" s="37"/>
      <c r="B25" s="39"/>
      <c r="C25" s="39"/>
      <c r="D25" s="40"/>
      <c r="E25" s="40"/>
      <c r="F25" s="40"/>
      <c r="G25" s="40"/>
      <c r="H25" s="39"/>
      <c r="I25" s="38"/>
      <c r="J25" s="37"/>
      <c r="K25" s="37"/>
      <c r="L25" s="38"/>
      <c r="M25" s="37"/>
      <c r="N25" s="37"/>
      <c r="O25" s="38"/>
      <c r="P25" s="37"/>
      <c r="Q25" s="37"/>
      <c r="R25" s="38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X25" s="4"/>
      <c r="AY25" s="4"/>
      <c r="AZ25" s="4"/>
      <c r="BA25" s="4"/>
      <c r="BB25" s="4"/>
      <c r="BC25" s="4"/>
      <c r="BD25" s="4"/>
      <c r="BE25" s="4"/>
      <c r="BF25" s="4"/>
      <c r="BG25" s="3"/>
    </row>
    <row r="26" spans="1:59" x14ac:dyDescent="0.3">
      <c r="A26" s="37"/>
      <c r="B26" s="39"/>
      <c r="C26" s="39"/>
      <c r="D26" s="41"/>
      <c r="E26" s="41"/>
      <c r="F26" s="41"/>
      <c r="G26" s="41"/>
      <c r="H26" s="39"/>
      <c r="I26" s="38"/>
      <c r="J26" s="37"/>
      <c r="K26" s="37"/>
      <c r="L26" s="38"/>
      <c r="M26" s="37"/>
      <c r="N26" s="37"/>
      <c r="O26" s="38"/>
      <c r="P26" s="37"/>
      <c r="Q26" s="37"/>
      <c r="R26" s="38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X26" s="4"/>
      <c r="AY26" s="4"/>
      <c r="AZ26" s="4"/>
      <c r="BA26" s="4"/>
      <c r="BB26" s="4"/>
      <c r="BC26" s="4"/>
      <c r="BD26" s="4"/>
      <c r="BE26" s="4"/>
      <c r="BF26" s="4"/>
      <c r="BG26" s="3"/>
    </row>
    <row r="27" spans="1:59" x14ac:dyDescent="0.3">
      <c r="A27" s="37"/>
      <c r="B27" s="39"/>
      <c r="C27" s="39"/>
      <c r="D27" s="41"/>
      <c r="E27" s="41"/>
      <c r="F27" s="41"/>
      <c r="G27" s="41"/>
      <c r="H27" s="39"/>
      <c r="I27" s="38"/>
      <c r="J27" s="37"/>
      <c r="K27" s="37"/>
      <c r="L27" s="38"/>
      <c r="M27" s="37"/>
      <c r="N27" s="37"/>
      <c r="O27" s="38"/>
      <c r="P27" s="37"/>
      <c r="Q27" s="37"/>
      <c r="R27" s="38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X27" s="4"/>
      <c r="AY27" s="4"/>
      <c r="AZ27" s="4"/>
      <c r="BA27" s="4"/>
      <c r="BB27" s="4"/>
      <c r="BC27" s="4"/>
      <c r="BD27" s="4"/>
      <c r="BE27" s="4"/>
      <c r="BF27" s="4"/>
      <c r="BG27" s="3"/>
    </row>
    <row r="28" spans="1:59" x14ac:dyDescent="0.3">
      <c r="A28" s="37"/>
      <c r="B28" s="39"/>
      <c r="C28" s="39"/>
      <c r="D28" s="57"/>
      <c r="E28" s="57"/>
      <c r="F28" s="57"/>
      <c r="G28" s="57"/>
      <c r="H28" s="39"/>
      <c r="I28" s="38"/>
      <c r="J28" s="37"/>
      <c r="K28" s="37"/>
      <c r="L28" s="38"/>
      <c r="M28" s="37"/>
      <c r="N28" s="37"/>
      <c r="O28" s="38"/>
      <c r="P28" s="37"/>
      <c r="Q28" s="37"/>
      <c r="R28" s="38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X28" s="4"/>
      <c r="AY28" s="4"/>
      <c r="AZ28" s="4"/>
      <c r="BA28" s="4"/>
      <c r="BB28" s="4"/>
      <c r="BC28" s="4"/>
      <c r="BD28" s="4"/>
      <c r="BE28" s="4"/>
      <c r="BF28" s="4"/>
      <c r="BG28" s="3"/>
    </row>
    <row r="29" spans="1:59" x14ac:dyDescent="0.3">
      <c r="A29" s="37"/>
      <c r="B29" s="37"/>
      <c r="C29" s="39"/>
      <c r="D29" s="39"/>
      <c r="E29" s="39"/>
      <c r="F29" s="37"/>
      <c r="G29" s="37"/>
      <c r="H29" s="58"/>
      <c r="I29" s="38"/>
      <c r="J29" s="37"/>
      <c r="K29" s="37"/>
      <c r="L29" s="38"/>
      <c r="M29" s="37"/>
      <c r="N29" s="37"/>
      <c r="O29" s="38"/>
      <c r="P29" s="37"/>
      <c r="Q29" s="37"/>
      <c r="R29" s="38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P29" s="3"/>
      <c r="AX29" s="4"/>
      <c r="AY29" s="4"/>
      <c r="AZ29" s="4"/>
      <c r="BA29" s="4"/>
      <c r="BB29" s="4"/>
      <c r="BC29" s="4"/>
      <c r="BD29" s="4"/>
      <c r="BE29" s="4"/>
      <c r="BF29" s="4"/>
      <c r="BG29" s="3"/>
    </row>
    <row r="30" spans="1:59" x14ac:dyDescent="0.3">
      <c r="A30" s="37"/>
      <c r="B30" s="37"/>
      <c r="C30" s="37"/>
      <c r="D30" s="37"/>
      <c r="E30" s="37"/>
      <c r="F30" s="37"/>
      <c r="G30" s="37"/>
      <c r="H30" s="37"/>
      <c r="I30" s="38"/>
      <c r="J30" s="37"/>
      <c r="K30" s="37"/>
      <c r="L30" s="38"/>
      <c r="M30" s="37"/>
      <c r="N30" s="37"/>
      <c r="O30" s="38"/>
      <c r="P30" s="37"/>
      <c r="Q30" s="37"/>
      <c r="R30" s="38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P30" s="3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3"/>
    </row>
    <row r="31" spans="1:59" x14ac:dyDescent="0.3">
      <c r="A31" s="37"/>
      <c r="B31" s="37"/>
      <c r="C31" s="37"/>
      <c r="D31" s="37"/>
      <c r="E31" s="37"/>
      <c r="F31" s="37"/>
      <c r="G31" s="37"/>
      <c r="H31" s="37"/>
      <c r="I31" s="38"/>
      <c r="J31" s="37"/>
      <c r="K31" s="37"/>
      <c r="L31" s="38"/>
      <c r="M31" s="37"/>
      <c r="N31" s="37"/>
      <c r="O31" s="38"/>
      <c r="P31" s="37"/>
      <c r="Q31" s="37"/>
      <c r="R31" s="38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P31" s="3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3"/>
    </row>
    <row r="32" spans="1:59" x14ac:dyDescent="0.3">
      <c r="A32" s="37"/>
      <c r="B32" s="37"/>
      <c r="C32" s="37"/>
      <c r="D32" s="37"/>
      <c r="E32" s="37"/>
      <c r="F32" s="37"/>
      <c r="G32" s="37"/>
      <c r="H32" s="37"/>
      <c r="I32" s="38"/>
      <c r="J32" s="37"/>
      <c r="K32" s="37"/>
      <c r="L32" s="38"/>
      <c r="M32" s="37"/>
      <c r="N32" s="37"/>
      <c r="O32" s="38"/>
      <c r="P32" s="37"/>
      <c r="Q32" s="37"/>
      <c r="R32" s="38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P32" s="3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3"/>
    </row>
    <row r="33" spans="1:59" x14ac:dyDescent="0.3">
      <c r="A33" s="37"/>
      <c r="B33" s="37"/>
      <c r="C33" s="37"/>
      <c r="D33" s="37"/>
      <c r="E33" s="37"/>
      <c r="F33" s="37"/>
      <c r="G33" s="37"/>
      <c r="H33" s="37"/>
      <c r="I33" s="38"/>
      <c r="J33" s="37"/>
      <c r="K33" s="37"/>
      <c r="L33" s="38"/>
      <c r="M33" s="37"/>
      <c r="N33" s="37"/>
      <c r="O33" s="38"/>
      <c r="P33" s="37"/>
      <c r="Q33" s="37"/>
      <c r="R33" s="38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P33" s="3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3"/>
    </row>
    <row r="34" spans="1:59" x14ac:dyDescent="0.3">
      <c r="A34" s="37"/>
      <c r="B34" s="37"/>
      <c r="C34" s="37"/>
      <c r="D34" s="37"/>
      <c r="E34" s="37"/>
      <c r="F34" s="37"/>
      <c r="G34" s="37"/>
      <c r="H34" s="37"/>
      <c r="I34" s="38"/>
      <c r="J34" s="37"/>
      <c r="K34" s="37"/>
      <c r="L34" s="38"/>
      <c r="M34" s="37"/>
      <c r="N34" s="37"/>
      <c r="O34" s="38"/>
      <c r="P34" s="37"/>
      <c r="Q34" s="37"/>
      <c r="R34" s="38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P34" s="3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3"/>
    </row>
    <row r="35" spans="1:59" x14ac:dyDescent="0.3">
      <c r="A35" s="37"/>
      <c r="B35" s="37"/>
      <c r="C35" s="37"/>
      <c r="D35" s="37"/>
      <c r="E35" s="37"/>
      <c r="F35" s="37"/>
      <c r="G35" s="37"/>
      <c r="H35" s="37"/>
      <c r="I35" s="38"/>
      <c r="J35" s="37"/>
      <c r="K35" s="37"/>
      <c r="L35" s="38"/>
      <c r="M35" s="37"/>
      <c r="N35" s="37"/>
      <c r="O35" s="38"/>
      <c r="P35" s="37"/>
      <c r="Q35" s="37"/>
      <c r="R35" s="38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P35" s="3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3"/>
    </row>
    <row r="36" spans="1:59" x14ac:dyDescent="0.3">
      <c r="A36" s="37"/>
      <c r="B36" s="37"/>
      <c r="C36" s="37"/>
      <c r="D36" s="37"/>
      <c r="E36" s="37"/>
      <c r="F36" s="37"/>
      <c r="G36" s="37"/>
      <c r="H36" s="37"/>
      <c r="I36" s="38"/>
      <c r="J36" s="37"/>
      <c r="K36" s="37"/>
      <c r="L36" s="38"/>
      <c r="M36" s="37"/>
      <c r="N36" s="37"/>
      <c r="O36" s="38"/>
      <c r="P36" s="37"/>
      <c r="Q36" s="37"/>
      <c r="R36" s="38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P36" s="3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3"/>
    </row>
    <row r="37" spans="1:59" x14ac:dyDescent="0.3">
      <c r="A37" s="37"/>
      <c r="B37" s="37"/>
      <c r="C37" s="37"/>
      <c r="D37" s="37"/>
      <c r="E37" s="37"/>
      <c r="F37" s="37"/>
      <c r="G37" s="37"/>
      <c r="H37" s="37"/>
      <c r="I37" s="38"/>
      <c r="J37" s="37"/>
      <c r="K37" s="37"/>
      <c r="L37" s="38"/>
      <c r="M37" s="37"/>
      <c r="N37" s="37"/>
      <c r="O37" s="38"/>
      <c r="P37" s="37"/>
      <c r="Q37" s="37"/>
      <c r="R37" s="38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</row>
    <row r="38" spans="1:59" x14ac:dyDescent="0.3">
      <c r="A38" s="37"/>
      <c r="B38" s="37"/>
      <c r="C38" s="37"/>
      <c r="D38" s="37"/>
      <c r="E38" s="37"/>
      <c r="F38" s="37"/>
      <c r="G38" s="37"/>
      <c r="H38" s="37"/>
      <c r="I38" s="38"/>
      <c r="J38" s="37"/>
      <c r="K38" s="37"/>
      <c r="L38" s="38"/>
      <c r="M38" s="37"/>
      <c r="N38" s="37"/>
      <c r="O38" s="38"/>
      <c r="P38" s="37"/>
      <c r="Q38" s="37"/>
      <c r="R38" s="38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</row>
    <row r="39" spans="1:59" x14ac:dyDescent="0.3">
      <c r="A39" s="37"/>
      <c r="B39" s="37"/>
      <c r="C39" s="37"/>
      <c r="D39" s="37"/>
      <c r="E39" s="37"/>
      <c r="F39" s="37"/>
      <c r="G39" s="37"/>
      <c r="H39" s="37"/>
      <c r="I39" s="38"/>
      <c r="J39" s="37"/>
      <c r="K39" s="37"/>
      <c r="L39" s="38"/>
      <c r="M39" s="37"/>
      <c r="N39" s="37"/>
      <c r="O39" s="38"/>
      <c r="P39" s="37"/>
      <c r="Q39" s="37"/>
      <c r="R39" s="38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</row>
    <row r="40" spans="1:59" x14ac:dyDescent="0.3">
      <c r="A40" s="37"/>
      <c r="B40" s="37"/>
      <c r="C40" s="37"/>
      <c r="D40" s="37"/>
      <c r="E40" s="37"/>
      <c r="F40" s="37"/>
      <c r="G40" s="37"/>
      <c r="H40" s="37"/>
      <c r="I40" s="38"/>
      <c r="J40" s="37"/>
      <c r="K40" s="37"/>
      <c r="L40" s="38"/>
      <c r="M40" s="37"/>
      <c r="N40" s="37"/>
      <c r="O40" s="38"/>
      <c r="P40" s="37"/>
      <c r="Q40" s="37"/>
      <c r="R40" s="38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</row>
    <row r="41" spans="1:59" x14ac:dyDescent="0.3">
      <c r="A41" s="37"/>
      <c r="B41" s="37"/>
      <c r="C41" s="37"/>
      <c r="D41" s="37"/>
      <c r="E41" s="37"/>
      <c r="F41" s="37"/>
      <c r="G41" s="37"/>
      <c r="H41" s="37"/>
      <c r="I41" s="38"/>
      <c r="J41" s="37"/>
      <c r="K41" s="37"/>
      <c r="L41" s="38"/>
      <c r="M41" s="37"/>
      <c r="N41" s="37"/>
      <c r="O41" s="38"/>
      <c r="P41" s="37"/>
      <c r="Q41" s="37"/>
      <c r="R41" s="38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</row>
    <row r="42" spans="1:59" x14ac:dyDescent="0.3">
      <c r="A42" s="37"/>
      <c r="B42" s="37"/>
      <c r="C42" s="37"/>
      <c r="D42" s="37"/>
      <c r="E42" s="37"/>
      <c r="F42" s="37"/>
      <c r="G42" s="37"/>
      <c r="H42" s="37"/>
      <c r="I42" s="38"/>
      <c r="J42" s="37"/>
      <c r="K42" s="37"/>
      <c r="L42" s="38"/>
      <c r="M42" s="37"/>
      <c r="N42" s="37"/>
      <c r="O42" s="38"/>
      <c r="P42" s="37"/>
      <c r="Q42" s="37"/>
      <c r="R42" s="38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</row>
    <row r="43" spans="1:59" x14ac:dyDescent="0.3">
      <c r="A43" s="37"/>
      <c r="B43" s="37"/>
      <c r="C43" s="37"/>
      <c r="D43" s="37"/>
      <c r="E43" s="37"/>
      <c r="F43" s="37"/>
      <c r="G43" s="37"/>
      <c r="H43" s="37"/>
      <c r="I43" s="38"/>
      <c r="J43" s="37"/>
      <c r="K43" s="37"/>
      <c r="L43" s="38"/>
      <c r="M43" s="37"/>
      <c r="N43" s="37"/>
      <c r="O43" s="38"/>
      <c r="P43" s="37"/>
      <c r="Q43" s="37"/>
      <c r="R43" s="38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</row>
    <row r="44" spans="1:59" x14ac:dyDescent="0.3">
      <c r="A44" s="37"/>
      <c r="B44" s="37"/>
      <c r="C44" s="37"/>
      <c r="D44" s="37"/>
      <c r="E44" s="37"/>
      <c r="F44" s="37"/>
      <c r="G44" s="37"/>
      <c r="H44" s="37"/>
      <c r="I44" s="38"/>
      <c r="J44" s="37"/>
      <c r="K44" s="37"/>
      <c r="L44" s="38"/>
      <c r="M44" s="37"/>
      <c r="N44" s="37"/>
      <c r="O44" s="38"/>
      <c r="P44" s="37"/>
      <c r="Q44" s="37"/>
      <c r="R44" s="38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</row>
    <row r="45" spans="1:59" x14ac:dyDescent="0.3">
      <c r="A45" s="37"/>
      <c r="B45" s="37"/>
      <c r="C45" s="37"/>
      <c r="D45" s="37"/>
      <c r="E45" s="37"/>
      <c r="F45" s="37"/>
      <c r="G45" s="37"/>
      <c r="H45" s="37"/>
      <c r="I45" s="38"/>
      <c r="J45" s="37"/>
      <c r="K45" s="37"/>
      <c r="L45" s="38"/>
      <c r="M45" s="37"/>
      <c r="N45" s="37"/>
      <c r="O45" s="38"/>
      <c r="P45" s="37"/>
      <c r="Q45" s="37"/>
      <c r="R45" s="38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</row>
    <row r="46" spans="1:59" x14ac:dyDescent="0.3">
      <c r="A46" s="37"/>
      <c r="B46" s="37"/>
      <c r="C46" s="37"/>
      <c r="D46" s="37"/>
      <c r="E46" s="37"/>
      <c r="F46" s="37"/>
      <c r="G46" s="37"/>
      <c r="H46" s="37"/>
      <c r="I46" s="38"/>
      <c r="J46" s="37"/>
      <c r="K46" s="37"/>
      <c r="L46" s="38"/>
      <c r="M46" s="37"/>
      <c r="N46" s="37"/>
      <c r="O46" s="38"/>
      <c r="P46" s="37"/>
      <c r="Q46" s="37"/>
      <c r="R46" s="38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</row>
    <row r="47" spans="1:59" x14ac:dyDescent="0.3">
      <c r="A47" s="37"/>
      <c r="B47" s="37"/>
      <c r="C47" s="37"/>
      <c r="D47" s="37"/>
      <c r="E47" s="37"/>
      <c r="F47" s="37"/>
      <c r="G47" s="37"/>
      <c r="H47" s="37"/>
      <c r="I47" s="38"/>
      <c r="J47" s="37"/>
      <c r="K47" s="37"/>
      <c r="L47" s="38"/>
      <c r="M47" s="37"/>
      <c r="N47" s="37"/>
      <c r="O47" s="38"/>
      <c r="P47" s="37"/>
      <c r="Q47" s="37"/>
      <c r="R47" s="38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</row>
    <row r="48" spans="1:59" x14ac:dyDescent="0.3">
      <c r="A48" s="37"/>
      <c r="B48" s="37"/>
      <c r="C48" s="37"/>
      <c r="D48" s="37"/>
      <c r="E48" s="37"/>
      <c r="F48" s="37"/>
      <c r="G48" s="37"/>
      <c r="H48" s="37"/>
      <c r="I48" s="38"/>
      <c r="J48" s="37"/>
      <c r="K48" s="37"/>
      <c r="L48" s="38"/>
      <c r="M48" s="37"/>
      <c r="N48" s="37"/>
      <c r="O48" s="38"/>
      <c r="P48" s="37"/>
      <c r="Q48" s="37"/>
      <c r="R48" s="38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</row>
    <row r="49" spans="1:34" x14ac:dyDescent="0.3">
      <c r="A49" s="37"/>
      <c r="B49" s="37"/>
      <c r="C49" s="37"/>
      <c r="D49" s="37"/>
      <c r="E49" s="37"/>
      <c r="F49" s="37"/>
      <c r="G49" s="37"/>
      <c r="H49" s="37"/>
      <c r="I49" s="38"/>
      <c r="J49" s="37"/>
      <c r="K49" s="37"/>
      <c r="L49" s="38"/>
      <c r="M49" s="37"/>
      <c r="N49" s="37"/>
      <c r="O49" s="38"/>
      <c r="P49" s="37"/>
      <c r="Q49" s="37"/>
      <c r="R49" s="38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</row>
  </sheetData>
  <sheetProtection algorithmName="SHA-512" hashValue="jlBK+skX+gPZIHl4uHzBc4WsCi63+FXn7oHDNf54m9xk+8q65YVH//l8xgH1Wj68O/Jv6Vd4wWR8bYUmOAXAfw==" saltValue="KCopLrl97IsQ3MdWK+y4uQ==" spinCount="100000" sheet="1" objects="1" scenarios="1" selectLockedCells="1"/>
  <conditionalFormatting sqref="D27:G27 D24:G24 D21:G21 D18:G18 AS2:AT2">
    <cfRule type="colorScale" priority="9">
      <colorScale>
        <cfvo type="percentile" val="0"/>
        <cfvo type="percentile" val="50"/>
        <cfvo type="percentile" val="100"/>
        <color rgb="FFFF0000"/>
        <color theme="0" tint="-4.9989318521683403E-2"/>
        <color theme="3" tint="0.39997558519241921"/>
      </colorScale>
    </cfRule>
  </conditionalFormatting>
  <conditionalFormatting sqref="D27:G27 D24:G24 D21:G21 D18:G18">
    <cfRule type="colorScale" priority="8">
      <colorScale>
        <cfvo type="num" val="0"/>
        <cfvo type="num" val="0.5"/>
        <cfvo type="num" val="1"/>
        <color rgb="FFFF0000"/>
        <color theme="0" tint="-4.9989318521683403E-2"/>
        <color theme="3" tint="0.39997558519241921"/>
      </colorScale>
    </cfRule>
  </conditionalFormatting>
  <conditionalFormatting sqref="D18:G18 D21:G21 D24:G24 D27:G27">
    <cfRule type="colorScale" priority="17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</conditionalFormatting>
  <conditionalFormatting sqref="D18:G18 D21:G21 D24:G24 D27:G27">
    <cfRule type="colorScale" priority="25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  <cfRule type="colorScale" priority="26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</conditionalFormatting>
  <conditionalFormatting sqref="AR1:AS1 D18:G18 D21:G21 D24:G24 D27:G27">
    <cfRule type="colorScale" priority="43">
      <colorScale>
        <cfvo type="min"/>
        <cfvo type="percentile" val="50"/>
        <cfvo type="max"/>
        <color rgb="FFFF0000"/>
        <color theme="0" tint="-4.9989318521683403E-2"/>
        <color theme="3" tint="0.39997558519241921"/>
      </colorScale>
    </cfRule>
  </conditionalFormatting>
  <conditionalFormatting sqref="D27:G27 AR1 D24:G24 D21:G21 D18:G18">
    <cfRule type="colorScale" priority="52">
      <colorScale>
        <cfvo type="min"/>
        <cfvo type="percentile" val="50"/>
        <cfvo type="max"/>
        <color rgb="FFFF0000"/>
        <color theme="0" tint="-4.9989318521683403E-2"/>
        <color theme="3" tint="0.39997558519241921"/>
      </colorScale>
    </cfRule>
  </conditionalFormatting>
  <conditionalFormatting sqref="D27:G27 D24:G24 D21:G21 D18:G18 AS2:AT2">
    <cfRule type="colorScale" priority="64">
      <colorScale>
        <cfvo type="percent" val="0"/>
        <cfvo type="percentile" val="50"/>
        <cfvo type="percent" val="100"/>
        <color rgb="FFFF0000"/>
        <color theme="0" tint="-4.9989318521683403E-2"/>
        <color theme="3" tint="0.39997558519241921"/>
      </colorScale>
    </cfRule>
  </conditionalFormatting>
  <conditionalFormatting sqref="M9 K9 O9 M6">
    <cfRule type="colorScale" priority="1">
      <colorScale>
        <cfvo type="num" val="0"/>
        <cfvo type="num" val="0.5"/>
        <cfvo type="num" val="1"/>
        <color rgb="FFFF0000"/>
        <color theme="0" tint="-0.14999847407452621"/>
        <color rgb="FF0070C0"/>
      </colorScale>
    </cfRule>
  </conditionalFormatting>
  <pageMargins left="0.7" right="0.7" top="0.75" bottom="0.75" header="0.3" footer="0.3"/>
  <pageSetup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38DA086-7B15-486A-835B-DB7DCB12F59E}">
          <x14:formula1>
            <xm:f>'G Ranks'!$A:$A</xm:f>
          </x14:formula1>
          <xm:sqref>A2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A9DCB-8C7A-4A96-87EF-3146E5602116}">
  <sheetPr codeName="Sheet10"/>
  <dimension ref="A1:CL948"/>
  <sheetViews>
    <sheetView zoomScaleNormal="100" workbookViewId="0">
      <pane ySplit="1" topLeftCell="A455" activePane="bottomLeft" state="frozen"/>
      <selection pane="bottomLeft" activeCell="A465" sqref="A465:AU713"/>
    </sheetView>
  </sheetViews>
  <sheetFormatPr defaultRowHeight="14.4" x14ac:dyDescent="0.3"/>
  <cols>
    <col min="1" max="1" width="7.33203125" customWidth="1"/>
    <col min="2" max="2" width="0.88671875" customWidth="1"/>
    <col min="3" max="6" width="0.88671875" style="1" customWidth="1"/>
    <col min="7" max="7" width="0.88671875" customWidth="1"/>
    <col min="8" max="11" width="0.88671875" style="1" customWidth="1"/>
    <col min="12" max="12" width="0.88671875" customWidth="1"/>
    <col min="13" max="16" width="0.88671875" style="1" customWidth="1"/>
    <col min="17" max="17" width="0.88671875" customWidth="1"/>
    <col min="18" max="21" width="0.88671875" style="1" customWidth="1"/>
    <col min="22" max="22" width="0.88671875" customWidth="1"/>
    <col min="23" max="26" width="0.88671875" style="1" customWidth="1"/>
    <col min="27" max="27" width="0.88671875" customWidth="1"/>
    <col min="28" max="31" width="0.88671875" style="1" customWidth="1"/>
    <col min="32" max="32" width="0.88671875" customWidth="1"/>
    <col min="33" max="36" width="0.88671875" style="1" customWidth="1"/>
    <col min="37" max="39" width="0.88671875" customWidth="1"/>
    <col min="40" max="40" width="0.88671875" style="33" customWidth="1"/>
    <col min="41" max="45" width="0.88671875" customWidth="1"/>
    <col min="46" max="47" width="0.88671875" style="1" customWidth="1"/>
    <col min="53" max="53" width="24.5546875" customWidth="1"/>
    <col min="90" max="90" width="8.88671875" style="1"/>
  </cols>
  <sheetData>
    <row r="1" spans="1:50" x14ac:dyDescent="0.3">
      <c r="A1" t="s">
        <v>445</v>
      </c>
      <c r="B1" t="s">
        <v>6</v>
      </c>
      <c r="C1" s="1" t="s">
        <v>446</v>
      </c>
      <c r="D1" s="1" t="s">
        <v>447</v>
      </c>
      <c r="E1" s="1" t="s">
        <v>448</v>
      </c>
      <c r="F1" s="1" t="s">
        <v>449</v>
      </c>
      <c r="G1" t="s">
        <v>7</v>
      </c>
      <c r="H1" s="1" t="s">
        <v>450</v>
      </c>
      <c r="I1" s="1" t="s">
        <v>451</v>
      </c>
      <c r="J1" s="1" t="s">
        <v>452</v>
      </c>
      <c r="K1" s="1" t="s">
        <v>453</v>
      </c>
      <c r="L1" t="s">
        <v>5</v>
      </c>
      <c r="M1" s="1" t="s">
        <v>454</v>
      </c>
      <c r="N1" s="1" t="s">
        <v>455</v>
      </c>
      <c r="O1" s="1" t="s">
        <v>456</v>
      </c>
      <c r="P1" s="1" t="s">
        <v>457</v>
      </c>
      <c r="Q1" t="s">
        <v>48</v>
      </c>
      <c r="R1" s="1" t="s">
        <v>458</v>
      </c>
      <c r="S1" s="1" t="s">
        <v>459</v>
      </c>
      <c r="T1" s="1" t="s">
        <v>460</v>
      </c>
      <c r="U1" s="1" t="s">
        <v>461</v>
      </c>
      <c r="V1" t="s">
        <v>49</v>
      </c>
      <c r="W1" s="1" t="s">
        <v>462</v>
      </c>
      <c r="X1" s="1" t="s">
        <v>463</v>
      </c>
      <c r="Y1" s="1" t="s">
        <v>464</v>
      </c>
      <c r="Z1" s="1" t="s">
        <v>465</v>
      </c>
      <c r="AA1" t="s">
        <v>8</v>
      </c>
      <c r="AB1" s="1" t="s">
        <v>466</v>
      </c>
      <c r="AC1" s="1" t="s">
        <v>467</v>
      </c>
      <c r="AD1" s="1" t="s">
        <v>468</v>
      </c>
      <c r="AE1" s="1" t="s">
        <v>469</v>
      </c>
      <c r="AF1" t="s">
        <v>470</v>
      </c>
      <c r="AG1" s="1" t="s">
        <v>471</v>
      </c>
      <c r="AH1" s="1" t="s">
        <v>472</v>
      </c>
      <c r="AI1" s="1" t="s">
        <v>473</v>
      </c>
      <c r="AJ1" s="1" t="s">
        <v>474</v>
      </c>
      <c r="AL1" s="2" t="s">
        <v>475</v>
      </c>
      <c r="AN1" s="33" t="s">
        <v>476</v>
      </c>
      <c r="AO1" t="s">
        <v>477</v>
      </c>
      <c r="AP1" s="2" t="s">
        <v>478</v>
      </c>
      <c r="AQ1" t="s">
        <v>479</v>
      </c>
      <c r="AS1" t="s">
        <v>480</v>
      </c>
      <c r="AT1" t="s">
        <v>481</v>
      </c>
      <c r="AU1" s="33" t="s">
        <v>482</v>
      </c>
      <c r="AV1" s="33"/>
      <c r="AW1" s="33"/>
      <c r="AX1" s="33"/>
    </row>
    <row r="2" spans="1:50" x14ac:dyDescent="0.3">
      <c r="A2" t="str">
        <f>'[1]Forward Ranks'!A2</f>
        <v>A.J. Greer</v>
      </c>
      <c r="B2">
        <f>'[1]Forward Ranks'!D2</f>
        <v>0</v>
      </c>
      <c r="C2" s="1">
        <f>'[1]Forward Ranks'!I2</f>
        <v>0.12445414847161572</v>
      </c>
      <c r="D2" s="1">
        <f>'[1]Forward Ranks'!J2</f>
        <v>0.45196506550218341</v>
      </c>
      <c r="E2" s="1">
        <f>'[1]Forward Ranks'!K2</f>
        <v>0.38209606986899564</v>
      </c>
      <c r="F2" s="1">
        <f>'[1]Forward Ranks'!L2</f>
        <v>0.35807860262008734</v>
      </c>
      <c r="G2">
        <f>'[1]Forward Ranks'!N2</f>
        <v>0</v>
      </c>
      <c r="H2" s="1">
        <f>'[1]Forward Ranks'!S2</f>
        <v>0.20742358078602621</v>
      </c>
      <c r="I2" s="1">
        <f>'[1]Forward Ranks'!T2</f>
        <v>0.33842794759825329</v>
      </c>
      <c r="J2" s="1">
        <f>'[1]Forward Ranks'!U2</f>
        <v>0.34934497816593885</v>
      </c>
      <c r="K2" s="1">
        <f>'[1]Forward Ranks'!V2</f>
        <v>0.20524017467248909</v>
      </c>
      <c r="L2">
        <f>'[1]Forward Ranks'!X2</f>
        <v>0</v>
      </c>
      <c r="M2" s="1">
        <f>'[1]Forward Ranks'!AC2</f>
        <v>0.90611353711790388</v>
      </c>
      <c r="N2" s="1">
        <f>'[1]Forward Ranks'!AD2</f>
        <v>0.85589519650655022</v>
      </c>
      <c r="O2" s="1">
        <f>'[1]Forward Ranks'!AE2</f>
        <v>0.97816593886462877</v>
      </c>
      <c r="P2" s="1">
        <f>'[1]Forward Ranks'!AF2</f>
        <v>0.95196506550218341</v>
      </c>
      <c r="Q2">
        <f>'[1]Forward Ranks'!AH2</f>
        <v>0</v>
      </c>
      <c r="R2" s="1">
        <f>'[1]Forward Ranks'!AM2</f>
        <v>4.148471615720524E-2</v>
      </c>
      <c r="S2" s="1">
        <f>'[1]Forward Ranks'!AN2</f>
        <v>0.23362445414847161</v>
      </c>
      <c r="T2" s="1">
        <f>'[1]Forward Ranks'!AO2</f>
        <v>8.0786026200873357E-2</v>
      </c>
      <c r="U2" s="1">
        <f>'[1]Forward Ranks'!AP2</f>
        <v>0.25327510917030566</v>
      </c>
      <c r="V2">
        <f>'[1]Forward Ranks'!AR2</f>
        <v>0</v>
      </c>
      <c r="W2" s="1">
        <f>'[1]Forward Ranks'!AW2</f>
        <v>0.94541484716157209</v>
      </c>
      <c r="X2" s="1">
        <f>'[1]Forward Ranks'!AX2</f>
        <v>0.86462882096069871</v>
      </c>
      <c r="Y2" s="1">
        <f>'[1]Forward Ranks'!AY2</f>
        <v>0.79912663755458513</v>
      </c>
      <c r="Z2" s="1">
        <f>'[1]Forward Ranks'!AZ2</f>
        <v>0.90174672489082974</v>
      </c>
      <c r="AA2">
        <f>'[1]Forward Ranks'!BB2</f>
        <v>0</v>
      </c>
      <c r="AB2" s="1">
        <f>'[1]Forward Ranks'!BG2</f>
        <v>3.4934497816593885E-2</v>
      </c>
      <c r="AC2" s="1">
        <f>'[1]Forward Ranks'!BH2</f>
        <v>1.5283842794759825E-2</v>
      </c>
      <c r="AD2" s="1">
        <f>'[1]Forward Ranks'!BI2</f>
        <v>0.65938864628820959</v>
      </c>
      <c r="AE2" s="1">
        <f>'[1]Forward Ranks'!BJ2</f>
        <v>0.94759825327510916</v>
      </c>
      <c r="AF2">
        <f>'[1]Forward Ranks'!BL2</f>
        <v>0</v>
      </c>
      <c r="AG2" s="1">
        <f>'[1]Forward Ranks'!BQ2</f>
        <v>0.44978165938864628</v>
      </c>
      <c r="AH2" s="1">
        <f>'[1]Forward Ranks'!BR2</f>
        <v>0.67685589519650657</v>
      </c>
      <c r="AI2" s="1">
        <f>'[1]Forward Ranks'!BS2</f>
        <v>0.92794759825327511</v>
      </c>
      <c r="AJ2" s="1">
        <f>'[1]Forward Ranks'!BT2</f>
        <v>0.74454148471615722</v>
      </c>
      <c r="AL2" s="2">
        <f>'[1]Forward Ranks'!BX2</f>
        <v>0.44759825327510916</v>
      </c>
      <c r="AN2" t="str">
        <f>'[1]Forward Ranks'!B2</f>
        <v>BOS</v>
      </c>
      <c r="AO2">
        <f>'[1]F on ice'!E2</f>
        <v>61</v>
      </c>
      <c r="AP2" s="2">
        <f>'[1]Impact Score Math'!E2</f>
        <v>0.32865731462925851</v>
      </c>
      <c r="AQ2">
        <f>'[1]Impact Score Math'!G2</f>
        <v>336</v>
      </c>
      <c r="AT2" s="1">
        <f>'[1]Forward Ranks'!CJ2</f>
        <v>1.7467248908296942E-2</v>
      </c>
      <c r="AU2" s="1">
        <f>'[1]Forward Ranks'!CK2</f>
        <v>0.92139737991266379</v>
      </c>
    </row>
    <row r="3" spans="1:50" x14ac:dyDescent="0.3">
      <c r="A3" t="str">
        <f>'[1]Forward Ranks'!A3</f>
        <v>Adam Erne</v>
      </c>
      <c r="B3">
        <f>'[1]Forward Ranks'!D3</f>
        <v>0</v>
      </c>
      <c r="C3" s="1">
        <f>'[1]Forward Ranks'!I3</f>
        <v>2.4017467248908297E-2</v>
      </c>
      <c r="D3" s="1">
        <f>'[1]Forward Ranks'!J3</f>
        <v>2.4017467248908297E-2</v>
      </c>
      <c r="E3" s="1">
        <f>'[1]Forward Ranks'!K3</f>
        <v>0.12882096069868995</v>
      </c>
      <c r="F3" s="1">
        <f>'[1]Forward Ranks'!L3</f>
        <v>1.5283842794759825E-2</v>
      </c>
      <c r="G3">
        <f>'[1]Forward Ranks'!N3</f>
        <v>0</v>
      </c>
      <c r="H3" s="1">
        <f>'[1]Forward Ranks'!S3</f>
        <v>0.29694323144104806</v>
      </c>
      <c r="I3" s="1">
        <f>'[1]Forward Ranks'!T3</f>
        <v>0.25982532751091703</v>
      </c>
      <c r="J3" s="1">
        <f>'[1]Forward Ranks'!U3</f>
        <v>0.21615720524017468</v>
      </c>
      <c r="K3" s="1">
        <f>'[1]Forward Ranks'!V3</f>
        <v>0.18558951965065501</v>
      </c>
      <c r="L3">
        <f>'[1]Forward Ranks'!X3</f>
        <v>0</v>
      </c>
      <c r="M3" s="1">
        <f>'[1]Forward Ranks'!AC3</f>
        <v>0.34497816593886466</v>
      </c>
      <c r="N3" s="1">
        <f>'[1]Forward Ranks'!AD3</f>
        <v>0.56768558951965065</v>
      </c>
      <c r="O3" s="1">
        <f>'[1]Forward Ranks'!AE3</f>
        <v>0.22707423580786026</v>
      </c>
      <c r="P3" s="1">
        <f>'[1]Forward Ranks'!AF3</f>
        <v>0.65502183406113534</v>
      </c>
      <c r="Q3">
        <f>'[1]Forward Ranks'!AH3</f>
        <v>0</v>
      </c>
      <c r="R3" s="1">
        <f>'[1]Forward Ranks'!AM3</f>
        <v>8.0786026200873357E-2</v>
      </c>
      <c r="S3" s="1">
        <f>'[1]Forward Ranks'!AN3</f>
        <v>0.11572052401746726</v>
      </c>
      <c r="T3" s="1">
        <f>'[1]Forward Ranks'!AO3</f>
        <v>0.23144104803493451</v>
      </c>
      <c r="U3" s="1">
        <f>'[1]Forward Ranks'!AP3</f>
        <v>6.768558951965066E-2</v>
      </c>
      <c r="V3">
        <f>'[1]Forward Ranks'!AR3</f>
        <v>0</v>
      </c>
      <c r="W3" s="1">
        <f>'[1]Forward Ranks'!AW3</f>
        <v>0.33187772925764192</v>
      </c>
      <c r="X3" s="1">
        <f>'[1]Forward Ranks'!AX3</f>
        <v>0.82751091703056767</v>
      </c>
      <c r="Y3" s="1">
        <f>'[1]Forward Ranks'!AY3</f>
        <v>0.29475982532751094</v>
      </c>
      <c r="Z3" s="1">
        <f>'[1]Forward Ranks'!AZ3</f>
        <v>0.79694323144104806</v>
      </c>
      <c r="AA3">
        <f>'[1]Forward Ranks'!BB3</f>
        <v>0</v>
      </c>
      <c r="AB3" s="1">
        <f>'[1]Forward Ranks'!BG3</f>
        <v>0.36681222707423583</v>
      </c>
      <c r="AC3" s="1">
        <f>'[1]Forward Ranks'!BH3</f>
        <v>0.65938864628820959</v>
      </c>
      <c r="AD3" s="1">
        <f>'[1]Forward Ranks'!BI3</f>
        <v>0.43231441048034935</v>
      </c>
      <c r="AE3" s="1">
        <f>'[1]Forward Ranks'!BJ3</f>
        <v>0.18122270742358079</v>
      </c>
      <c r="AF3">
        <f>'[1]Forward Ranks'!BL3</f>
        <v>0</v>
      </c>
      <c r="AG3" s="1">
        <f>'[1]Forward Ranks'!BQ3</f>
        <v>5.458515283842795E-2</v>
      </c>
      <c r="AH3" s="1">
        <f>'[1]Forward Ranks'!BR3</f>
        <v>5.6768558951965066E-2</v>
      </c>
      <c r="AI3" s="1">
        <f>'[1]Forward Ranks'!BS3</f>
        <v>7.8602620087336247E-2</v>
      </c>
      <c r="AJ3" s="1">
        <f>'[1]Forward Ranks'!BT3</f>
        <v>5.8951965065502182E-2</v>
      </c>
      <c r="AL3" s="2">
        <f>'[1]Forward Ranks'!BX3</f>
        <v>7.6419213973799124E-2</v>
      </c>
      <c r="AN3" t="str">
        <f>'[1]Forward Ranks'!B3</f>
        <v>DET</v>
      </c>
      <c r="AO3">
        <f>'[1]F on ice'!E3</f>
        <v>61</v>
      </c>
      <c r="AP3" s="2">
        <f>'[1]Impact Score Math'!E3</f>
        <v>0.16633266533066132</v>
      </c>
      <c r="AQ3">
        <f>'[1]Impact Score Math'!G3</f>
        <v>417</v>
      </c>
      <c r="AT3" s="1">
        <f>'[1]Forward Ranks'!CJ3</f>
        <v>0.53493449781659386</v>
      </c>
      <c r="AU3" s="1">
        <f>'[1]Forward Ranks'!CK3</f>
        <v>0.3296943231441048</v>
      </c>
    </row>
    <row r="4" spans="1:50" x14ac:dyDescent="0.3">
      <c r="A4" t="str">
        <f>'[1]Forward Ranks'!A4</f>
        <v>Adam Henrique</v>
      </c>
      <c r="B4">
        <f>'[1]Forward Ranks'!D4</f>
        <v>0</v>
      </c>
      <c r="C4" s="1">
        <f>'[1]Forward Ranks'!I4</f>
        <v>0.32751091703056767</v>
      </c>
      <c r="D4" s="1">
        <f>'[1]Forward Ranks'!J4</f>
        <v>0.57641921397379914</v>
      </c>
      <c r="E4" s="1">
        <f>'[1]Forward Ranks'!K4</f>
        <v>0.61790393013100442</v>
      </c>
      <c r="F4" s="1">
        <f>'[1]Forward Ranks'!L4</f>
        <v>0.53493449781659386</v>
      </c>
      <c r="G4">
        <f>'[1]Forward Ranks'!N4</f>
        <v>0</v>
      </c>
      <c r="H4" s="1">
        <f>'[1]Forward Ranks'!S4</f>
        <v>0.89519650655021832</v>
      </c>
      <c r="I4" s="1">
        <f>'[1]Forward Ranks'!T4</f>
        <v>0.34716157205240172</v>
      </c>
      <c r="J4" s="1">
        <f>'[1]Forward Ranks'!U4</f>
        <v>0.17903930131004367</v>
      </c>
      <c r="K4" s="1">
        <f>'[1]Forward Ranks'!V4</f>
        <v>0.69650655021834063</v>
      </c>
      <c r="L4">
        <f>'[1]Forward Ranks'!X4</f>
        <v>0</v>
      </c>
      <c r="M4" s="1">
        <f>'[1]Forward Ranks'!AC4</f>
        <v>7.2052401746724892E-2</v>
      </c>
      <c r="N4" s="1">
        <f>'[1]Forward Ranks'!AD4</f>
        <v>7.4235807860262015E-2</v>
      </c>
      <c r="O4" s="1">
        <f>'[1]Forward Ranks'!AE4</f>
        <v>0.29039301310043669</v>
      </c>
      <c r="P4" s="1">
        <f>'[1]Forward Ranks'!AF4</f>
        <v>6.5502183406113537E-2</v>
      </c>
      <c r="Q4">
        <f>'[1]Forward Ranks'!AH4</f>
        <v>0</v>
      </c>
      <c r="R4" s="1">
        <f>'[1]Forward Ranks'!AM4</f>
        <v>0.63100436681222705</v>
      </c>
      <c r="S4" s="1">
        <f>'[1]Forward Ranks'!AN4</f>
        <v>0.85371179039301315</v>
      </c>
      <c r="T4" s="1">
        <f>'[1]Forward Ranks'!AO4</f>
        <v>0.85152838427947597</v>
      </c>
      <c r="U4" s="1">
        <f>'[1]Forward Ranks'!AP4</f>
        <v>0.86244541484716153</v>
      </c>
      <c r="V4">
        <f>'[1]Forward Ranks'!AR4</f>
        <v>0</v>
      </c>
      <c r="W4" s="1">
        <f>'[1]Forward Ranks'!AW4</f>
        <v>0.93231441048034935</v>
      </c>
      <c r="X4" s="1">
        <f>'[1]Forward Ranks'!AX4</f>
        <v>0.95414847161572047</v>
      </c>
      <c r="Y4" s="1">
        <f>'[1]Forward Ranks'!AY4</f>
        <v>0.92576419213973804</v>
      </c>
      <c r="Z4" s="1">
        <f>'[1]Forward Ranks'!AZ4</f>
        <v>0.8733624454148472</v>
      </c>
      <c r="AA4">
        <f>'[1]Forward Ranks'!BB4</f>
        <v>0</v>
      </c>
      <c r="AB4" s="1">
        <f>'[1]Forward Ranks'!BG4</f>
        <v>0.55895196506550215</v>
      </c>
      <c r="AC4" s="1">
        <f>'[1]Forward Ranks'!BH4</f>
        <v>0.57860262008733621</v>
      </c>
      <c r="AD4" s="1">
        <f>'[1]Forward Ranks'!BI4</f>
        <v>0.74890829694323147</v>
      </c>
      <c r="AE4" s="1">
        <f>'[1]Forward Ranks'!BJ4</f>
        <v>0.74672489082969429</v>
      </c>
      <c r="AF4">
        <f>'[1]Forward Ranks'!BL4</f>
        <v>0</v>
      </c>
      <c r="AG4" s="1">
        <f>'[1]Forward Ranks'!BQ4</f>
        <v>0.13100436681222707</v>
      </c>
      <c r="AH4" s="1">
        <f>'[1]Forward Ranks'!BR4</f>
        <v>0.26200873362445415</v>
      </c>
      <c r="AI4" s="1">
        <f>'[1]Forward Ranks'!BS4</f>
        <v>0.4366812227074236</v>
      </c>
      <c r="AJ4" s="1">
        <f>'[1]Forward Ranks'!BT4</f>
        <v>0.23799126637554585</v>
      </c>
      <c r="AL4" s="2">
        <f>'[1]Forward Ranks'!BX4</f>
        <v>0.50218340611353707</v>
      </c>
      <c r="AN4" t="str">
        <f>'[1]Forward Ranks'!B4</f>
        <v>ANA</v>
      </c>
      <c r="AO4">
        <f>'[1]F on ice'!E4</f>
        <v>62</v>
      </c>
      <c r="AP4" s="2">
        <f>'[1]Impact Score Math'!E4</f>
        <v>0.57715430861723449</v>
      </c>
      <c r="AQ4">
        <f>'[1]Impact Score Math'!G4</f>
        <v>212</v>
      </c>
      <c r="AT4" s="1">
        <f>'[1]Forward Ranks'!CJ4</f>
        <v>0.52838427947598254</v>
      </c>
      <c r="AU4" s="1">
        <f>'[1]Forward Ranks'!CK4</f>
        <v>0.2576419213973799</v>
      </c>
    </row>
    <row r="5" spans="1:50" x14ac:dyDescent="0.3">
      <c r="A5" t="str">
        <f>'[1]Forward Ranks'!A5</f>
        <v>Adam Lowry</v>
      </c>
      <c r="B5">
        <f>'[1]Forward Ranks'!D5</f>
        <v>0</v>
      </c>
      <c r="C5" s="1">
        <f>'[1]Forward Ranks'!I5</f>
        <v>0.5633187772925764</v>
      </c>
      <c r="D5" s="1">
        <f>'[1]Forward Ranks'!J5</f>
        <v>0.83624454148471616</v>
      </c>
      <c r="E5" s="1">
        <f>'[1]Forward Ranks'!K5</f>
        <v>0.27729257641921395</v>
      </c>
      <c r="F5" s="1">
        <f>'[1]Forward Ranks'!L5</f>
        <v>0.84716157205240172</v>
      </c>
      <c r="G5">
        <f>'[1]Forward Ranks'!N5</f>
        <v>0</v>
      </c>
      <c r="H5" s="1">
        <f>'[1]Forward Ranks'!S5</f>
        <v>0.36681222707423583</v>
      </c>
      <c r="I5" s="1">
        <f>'[1]Forward Ranks'!T5</f>
        <v>0.4759825327510917</v>
      </c>
      <c r="J5" s="1">
        <f>'[1]Forward Ranks'!U5</f>
        <v>0.36244541484716158</v>
      </c>
      <c r="K5" s="1">
        <f>'[1]Forward Ranks'!V5</f>
        <v>0.39956331877729256</v>
      </c>
      <c r="L5">
        <f>'[1]Forward Ranks'!X5</f>
        <v>0</v>
      </c>
      <c r="M5" s="1">
        <f>'[1]Forward Ranks'!AC5</f>
        <v>0.55895196506550215</v>
      </c>
      <c r="N5" s="1">
        <f>'[1]Forward Ranks'!AD5</f>
        <v>0.68558951965065507</v>
      </c>
      <c r="O5" s="1">
        <f>'[1]Forward Ranks'!AE5</f>
        <v>0.6266375545851528</v>
      </c>
      <c r="P5" s="1">
        <f>'[1]Forward Ranks'!AF5</f>
        <v>0.67248908296943233</v>
      </c>
      <c r="Q5">
        <f>'[1]Forward Ranks'!AH5</f>
        <v>0</v>
      </c>
      <c r="R5" s="1">
        <f>'[1]Forward Ranks'!AM5</f>
        <v>0.41703056768558949</v>
      </c>
      <c r="S5" s="1">
        <f>'[1]Forward Ranks'!AN5</f>
        <v>0.86462882096069871</v>
      </c>
      <c r="T5" s="1">
        <f>'[1]Forward Ranks'!AO5</f>
        <v>0.35152838427947597</v>
      </c>
      <c r="U5" s="1">
        <f>'[1]Forward Ranks'!AP5</f>
        <v>0.81222707423580787</v>
      </c>
      <c r="V5">
        <f>'[1]Forward Ranks'!AR5</f>
        <v>0</v>
      </c>
      <c r="W5" s="1">
        <f>'[1]Forward Ranks'!AW5</f>
        <v>0.40829694323144106</v>
      </c>
      <c r="X5" s="1">
        <f>'[1]Forward Ranks'!AX5</f>
        <v>0.60480349344978168</v>
      </c>
      <c r="Y5" s="1">
        <f>'[1]Forward Ranks'!AY5</f>
        <v>0.4366812227074236</v>
      </c>
      <c r="Z5" s="1">
        <f>'[1]Forward Ranks'!AZ5</f>
        <v>0.65502183406113534</v>
      </c>
      <c r="AA5">
        <f>'[1]Forward Ranks'!BB5</f>
        <v>0</v>
      </c>
      <c r="AB5" s="1">
        <f>'[1]Forward Ranks'!BG5</f>
        <v>0.35589519650655022</v>
      </c>
      <c r="AC5" s="1">
        <f>'[1]Forward Ranks'!BH5</f>
        <v>7.4235807860262015E-2</v>
      </c>
      <c r="AD5" s="1">
        <f>'[1]Forward Ranks'!BI5</f>
        <v>0.26637554585152839</v>
      </c>
      <c r="AE5" s="1">
        <f>'[1]Forward Ranks'!BJ5</f>
        <v>0.42794759825327511</v>
      </c>
      <c r="AF5">
        <f>'[1]Forward Ranks'!BL5</f>
        <v>0</v>
      </c>
      <c r="AG5" s="1">
        <f>'[1]Forward Ranks'!BQ5</f>
        <v>0.55676855895196509</v>
      </c>
      <c r="AH5" s="1">
        <f>'[1]Forward Ranks'!BR5</f>
        <v>0.86026200873362446</v>
      </c>
      <c r="AI5" s="1">
        <f>'[1]Forward Ranks'!BS5</f>
        <v>0.40174672489082969</v>
      </c>
      <c r="AJ5" s="1">
        <f>'[1]Forward Ranks'!BT5</f>
        <v>0.84061135371179041</v>
      </c>
      <c r="AL5" s="2">
        <f>'[1]Forward Ranks'!BX5</f>
        <v>0.65502183406113534</v>
      </c>
      <c r="AN5" t="str">
        <f>'[1]Forward Ranks'!B5</f>
        <v>WPG</v>
      </c>
      <c r="AO5">
        <f>'[1]F on ice'!E5</f>
        <v>82</v>
      </c>
      <c r="AP5" s="2">
        <f>'[1]Impact Score Math'!E5</f>
        <v>0.6292585170340681</v>
      </c>
      <c r="AQ5">
        <f>'[1]Impact Score Math'!G5</f>
        <v>186</v>
      </c>
      <c r="AT5" s="1">
        <f>'[1]Forward Ranks'!CJ5</f>
        <v>0.36681222707423583</v>
      </c>
      <c r="AU5" s="1">
        <f>'[1]Forward Ranks'!CK5</f>
        <v>0.40829694323144106</v>
      </c>
    </row>
    <row r="6" spans="1:50" x14ac:dyDescent="0.3">
      <c r="A6" t="str">
        <f>'[1]Forward Ranks'!A6</f>
        <v>Adam Ruzicka</v>
      </c>
      <c r="B6">
        <f>'[1]Forward Ranks'!D6</f>
        <v>0</v>
      </c>
      <c r="C6" s="1">
        <f>'[1]Forward Ranks'!I6</f>
        <v>0.85589519650655022</v>
      </c>
      <c r="D6" s="1">
        <f>'[1]Forward Ranks'!J6</f>
        <v>0.27510917030567683</v>
      </c>
      <c r="E6" s="1">
        <f>'[1]Forward Ranks'!K6</f>
        <v>0.48471615720524019</v>
      </c>
      <c r="F6" s="1">
        <f>'[1]Forward Ranks'!L6</f>
        <v>0.59825327510917026</v>
      </c>
      <c r="G6">
        <f>'[1]Forward Ranks'!N6</f>
        <v>0</v>
      </c>
      <c r="H6" s="1">
        <f>'[1]Forward Ranks'!S6</f>
        <v>0.34279475982532753</v>
      </c>
      <c r="I6" s="1">
        <f>'[1]Forward Ranks'!T6</f>
        <v>0.86681222707423577</v>
      </c>
      <c r="J6" s="1">
        <f>'[1]Forward Ranks'!U6</f>
        <v>0.84279475982532748</v>
      </c>
      <c r="K6" s="1">
        <f>'[1]Forward Ranks'!V6</f>
        <v>0.71397379912663761</v>
      </c>
      <c r="L6">
        <f>'[1]Forward Ranks'!X6</f>
        <v>0</v>
      </c>
      <c r="M6" s="1">
        <f>'[1]Forward Ranks'!AC6</f>
        <v>0.97379912663755464</v>
      </c>
      <c r="N6" s="1">
        <f>'[1]Forward Ranks'!AD6</f>
        <v>0.87117903930131002</v>
      </c>
      <c r="O6" s="1">
        <f>'[1]Forward Ranks'!AE6</f>
        <v>0.41703056768558949</v>
      </c>
      <c r="P6" s="1">
        <f>'[1]Forward Ranks'!AF6</f>
        <v>0.95851528384279472</v>
      </c>
      <c r="Q6">
        <f>'[1]Forward Ranks'!AH6</f>
        <v>0</v>
      </c>
      <c r="R6" s="1">
        <f>'[1]Forward Ranks'!AM6</f>
        <v>0.59170305676855894</v>
      </c>
      <c r="S6" s="1">
        <f>'[1]Forward Ranks'!AN6</f>
        <v>0.37117903930131002</v>
      </c>
      <c r="T6" s="1">
        <f>'[1]Forward Ranks'!AO6</f>
        <v>0.34279475982532753</v>
      </c>
      <c r="U6" s="1">
        <f>'[1]Forward Ranks'!AP6</f>
        <v>0.42139737991266374</v>
      </c>
      <c r="V6">
        <f>'[1]Forward Ranks'!AR6</f>
        <v>0</v>
      </c>
      <c r="W6" s="1">
        <f>'[1]Forward Ranks'!AW6</f>
        <v>0.75545851528384278</v>
      </c>
      <c r="X6" s="1">
        <f>'[1]Forward Ranks'!AX6</f>
        <v>0.70305676855895194</v>
      </c>
      <c r="Y6" s="1">
        <f>'[1]Forward Ranks'!AY6</f>
        <v>0.53275109170305679</v>
      </c>
      <c r="Z6" s="1">
        <f>'[1]Forward Ranks'!AZ6</f>
        <v>0.79257641921397382</v>
      </c>
      <c r="AA6">
        <f>'[1]Forward Ranks'!BB6</f>
        <v>0</v>
      </c>
      <c r="AB6" s="1">
        <f>'[1]Forward Ranks'!BG6</f>
        <v>0.12008733624454149</v>
      </c>
      <c r="AC6" s="1">
        <f>'[1]Forward Ranks'!BH6</f>
        <v>0.54803493449781659</v>
      </c>
      <c r="AD6" s="1">
        <f>'[1]Forward Ranks'!BI6</f>
        <v>0.2423580786026201</v>
      </c>
      <c r="AE6" s="1">
        <f>'[1]Forward Ranks'!BJ6</f>
        <v>5.0218340611353711E-2</v>
      </c>
      <c r="AF6">
        <f>'[1]Forward Ranks'!BL6</f>
        <v>0</v>
      </c>
      <c r="AG6" s="1">
        <f>'[1]Forward Ranks'!BQ6</f>
        <v>0.95414847161572047</v>
      </c>
      <c r="AH6" s="1">
        <f>'[1]Forward Ranks'!BR6</f>
        <v>0.51528384279475981</v>
      </c>
      <c r="AI6" s="1">
        <f>'[1]Forward Ranks'!BS6</f>
        <v>0.44104803493449779</v>
      </c>
      <c r="AJ6" s="1">
        <f>'[1]Forward Ranks'!BT6</f>
        <v>0.88209606986899558</v>
      </c>
      <c r="AL6" s="2">
        <f>'[1]Forward Ranks'!BX6</f>
        <v>0.90611353711790388</v>
      </c>
      <c r="AN6" t="str">
        <f>'[1]Forward Ranks'!B6</f>
        <v>CGY</v>
      </c>
      <c r="AO6">
        <f>'[1]F on ice'!E6</f>
        <v>44</v>
      </c>
      <c r="AP6" s="2">
        <f>'[1]Impact Score Math'!E6</f>
        <v>0.68336673346693388</v>
      </c>
      <c r="AQ6">
        <f>'[1]Impact Score Math'!G6</f>
        <v>159</v>
      </c>
      <c r="AT6" s="1">
        <f>'[1]Forward Ranks'!CJ6</f>
        <v>0.66593886462882101</v>
      </c>
      <c r="AU6" s="1">
        <f>'[1]Forward Ranks'!CK6</f>
        <v>0.34497816593886466</v>
      </c>
    </row>
    <row r="7" spans="1:50" x14ac:dyDescent="0.3">
      <c r="A7" t="str">
        <f>'[1]Forward Ranks'!A7</f>
        <v>Adrian Kempe</v>
      </c>
      <c r="B7">
        <f>'[1]Forward Ranks'!D7</f>
        <v>0</v>
      </c>
      <c r="C7" s="1">
        <f>'[1]Forward Ranks'!I7</f>
        <v>0.67685589519650657</v>
      </c>
      <c r="D7" s="1">
        <f>'[1]Forward Ranks'!J7</f>
        <v>0.59825327510917026</v>
      </c>
      <c r="E7" s="1">
        <f>'[1]Forward Ranks'!K7</f>
        <v>0.6266375545851528</v>
      </c>
      <c r="F7" s="1">
        <f>'[1]Forward Ranks'!L7</f>
        <v>0.48034934497816595</v>
      </c>
      <c r="G7">
        <f>'[1]Forward Ranks'!N7</f>
        <v>0</v>
      </c>
      <c r="H7" s="1">
        <f>'[1]Forward Ranks'!S7</f>
        <v>0.92358078602620086</v>
      </c>
      <c r="I7" s="1">
        <f>'[1]Forward Ranks'!T7</f>
        <v>0.21615720524017468</v>
      </c>
      <c r="J7" s="1">
        <f>'[1]Forward Ranks'!U7</f>
        <v>0.34934497816593885</v>
      </c>
      <c r="K7" s="1">
        <f>'[1]Forward Ranks'!V7</f>
        <v>0.63755458515283847</v>
      </c>
      <c r="L7">
        <f>'[1]Forward Ranks'!X7</f>
        <v>0</v>
      </c>
      <c r="M7" s="1">
        <f>'[1]Forward Ranks'!AC7</f>
        <v>0.87772925764192145</v>
      </c>
      <c r="N7" s="1">
        <f>'[1]Forward Ranks'!AD7</f>
        <v>0.65502183406113534</v>
      </c>
      <c r="O7" s="1">
        <f>'[1]Forward Ranks'!AE7</f>
        <v>0.84716157205240172</v>
      </c>
      <c r="P7" s="1">
        <f>'[1]Forward Ranks'!AF7</f>
        <v>0.75109170305676853</v>
      </c>
      <c r="Q7">
        <f>'[1]Forward Ranks'!AH7</f>
        <v>0</v>
      </c>
      <c r="R7" s="1">
        <f>'[1]Forward Ranks'!AM7</f>
        <v>0.51091703056768556</v>
      </c>
      <c r="S7" s="1">
        <f>'[1]Forward Ranks'!AN7</f>
        <v>0.33406113537117904</v>
      </c>
      <c r="T7" s="1">
        <f>'[1]Forward Ranks'!AO7</f>
        <v>0.62008733624454149</v>
      </c>
      <c r="U7" s="1">
        <f>'[1]Forward Ranks'!AP7</f>
        <v>0.41048034934497818</v>
      </c>
      <c r="V7">
        <f>'[1]Forward Ranks'!AR7</f>
        <v>0</v>
      </c>
      <c r="W7" s="1">
        <f>'[1]Forward Ranks'!AW7</f>
        <v>0.48034934497816595</v>
      </c>
      <c r="X7" s="1">
        <f>'[1]Forward Ranks'!AX7</f>
        <v>0.32532751091703055</v>
      </c>
      <c r="Y7" s="1">
        <f>'[1]Forward Ranks'!AY7</f>
        <v>0.86462882096069871</v>
      </c>
      <c r="Z7" s="1">
        <f>'[1]Forward Ranks'!AZ7</f>
        <v>0.39956331877729256</v>
      </c>
      <c r="AA7">
        <f>'[1]Forward Ranks'!BB7</f>
        <v>0</v>
      </c>
      <c r="AB7" s="1">
        <f>'[1]Forward Ranks'!BG7</f>
        <v>0.76419213973799127</v>
      </c>
      <c r="AC7" s="1">
        <f>'[1]Forward Ranks'!BH7</f>
        <v>0.38209606986899564</v>
      </c>
      <c r="AD7" s="1">
        <f>'[1]Forward Ranks'!BI7</f>
        <v>0.55458515283842791</v>
      </c>
      <c r="AE7" s="1">
        <f>'[1]Forward Ranks'!BJ7</f>
        <v>0.68340611353711789</v>
      </c>
      <c r="AF7">
        <f>'[1]Forward Ranks'!BL7</f>
        <v>0</v>
      </c>
      <c r="AG7" s="1">
        <f>'[1]Forward Ranks'!BQ7</f>
        <v>0.82096069868995636</v>
      </c>
      <c r="AH7" s="1">
        <f>'[1]Forward Ranks'!BR7</f>
        <v>0.63537117903930129</v>
      </c>
      <c r="AI7" s="1">
        <f>'[1]Forward Ranks'!BS7</f>
        <v>0.85152838427947597</v>
      </c>
      <c r="AJ7" s="1">
        <f>'[1]Forward Ranks'!BT7</f>
        <v>0.66157205240174677</v>
      </c>
      <c r="AL7" s="2">
        <f>'[1]Forward Ranks'!BX7</f>
        <v>0.67685589519650657</v>
      </c>
      <c r="AN7" t="str">
        <f>'[1]Forward Ranks'!B7</f>
        <v>L.A</v>
      </c>
      <c r="AO7">
        <f>'[1]F on ice'!E7</f>
        <v>82</v>
      </c>
      <c r="AP7" s="2">
        <f>'[1]Impact Score Math'!E7</f>
        <v>0.75350701402805609</v>
      </c>
      <c r="AQ7">
        <f>'[1]Impact Score Math'!G7</f>
        <v>124</v>
      </c>
      <c r="AT7" s="1">
        <f>'[1]Forward Ranks'!CJ7</f>
        <v>0.27292576419213976</v>
      </c>
      <c r="AU7" s="1">
        <f>'[1]Forward Ranks'!CK7</f>
        <v>0.46724890829694321</v>
      </c>
    </row>
    <row r="8" spans="1:50" x14ac:dyDescent="0.3">
      <c r="A8" t="str">
        <f>'[1]Forward Ranks'!A8</f>
        <v>Aleksander Barkov</v>
      </c>
      <c r="B8">
        <f>'[1]Forward Ranks'!D8</f>
        <v>0</v>
      </c>
      <c r="C8" s="1">
        <f>'[1]Forward Ranks'!I8</f>
        <v>0.90174672489082974</v>
      </c>
      <c r="D8" s="1">
        <f>'[1]Forward Ranks'!J8</f>
        <v>0.87772925764192145</v>
      </c>
      <c r="E8" s="1">
        <f>'[1]Forward Ranks'!K8</f>
        <v>0.92139737991266379</v>
      </c>
      <c r="F8" s="1">
        <f>'[1]Forward Ranks'!L8</f>
        <v>0.8973799126637555</v>
      </c>
      <c r="G8">
        <f>'[1]Forward Ranks'!N8</f>
        <v>0</v>
      </c>
      <c r="H8" s="1">
        <f>'[1]Forward Ranks'!S8</f>
        <v>0.65938864628820959</v>
      </c>
      <c r="I8" s="1">
        <f>'[1]Forward Ranks'!T8</f>
        <v>0.93449781659388642</v>
      </c>
      <c r="J8" s="1">
        <f>'[1]Forward Ranks'!U8</f>
        <v>0.8493449781659389</v>
      </c>
      <c r="K8" s="1">
        <f>'[1]Forward Ranks'!V8</f>
        <v>0.89082969432314407</v>
      </c>
      <c r="L8">
        <f>'[1]Forward Ranks'!X8</f>
        <v>0</v>
      </c>
      <c r="M8" s="1">
        <f>'[1]Forward Ranks'!AC8</f>
        <v>0.62445414847161573</v>
      </c>
      <c r="N8" s="1">
        <f>'[1]Forward Ranks'!AD8</f>
        <v>0.34497816593886466</v>
      </c>
      <c r="O8" s="1">
        <f>'[1]Forward Ranks'!AE8</f>
        <v>0.42794759825327511</v>
      </c>
      <c r="P8" s="1">
        <f>'[1]Forward Ranks'!AF8</f>
        <v>0.51310043668122274</v>
      </c>
      <c r="Q8">
        <f>'[1]Forward Ranks'!AH8</f>
        <v>0</v>
      </c>
      <c r="R8" s="1">
        <f>'[1]Forward Ranks'!AM8</f>
        <v>0.6026200873362445</v>
      </c>
      <c r="S8" s="1">
        <f>'[1]Forward Ranks'!AN8</f>
        <v>0.62882096069868998</v>
      </c>
      <c r="T8" s="1">
        <f>'[1]Forward Ranks'!AO8</f>
        <v>0.75982532751091703</v>
      </c>
      <c r="U8" s="1">
        <f>'[1]Forward Ranks'!AP8</f>
        <v>0.68558951965065507</v>
      </c>
      <c r="V8">
        <f>'[1]Forward Ranks'!AR8</f>
        <v>0</v>
      </c>
      <c r="W8" s="1">
        <f>'[1]Forward Ranks'!AW8</f>
        <v>0.76419213973799127</v>
      </c>
      <c r="X8" s="1">
        <f>'[1]Forward Ranks'!AX8</f>
        <v>0.611353711790393</v>
      </c>
      <c r="Y8" s="1">
        <f>'[1]Forward Ranks'!AY8</f>
        <v>0.26855895196506552</v>
      </c>
      <c r="Z8" s="1">
        <f>'[1]Forward Ranks'!AZ8</f>
        <v>0.63100436681222705</v>
      </c>
      <c r="AA8">
        <f>'[1]Forward Ranks'!BB8</f>
        <v>0</v>
      </c>
      <c r="AB8" s="1">
        <f>'[1]Forward Ranks'!BG8</f>
        <v>0.76200873362445409</v>
      </c>
      <c r="AC8" s="1">
        <f>'[1]Forward Ranks'!BH8</f>
        <v>0.37991266375545851</v>
      </c>
      <c r="AD8" s="1">
        <f>'[1]Forward Ranks'!BI8</f>
        <v>0.81222707423580787</v>
      </c>
      <c r="AE8" s="1">
        <f>'[1]Forward Ranks'!BJ8</f>
        <v>0.68340611353711789</v>
      </c>
      <c r="AF8">
        <f>'[1]Forward Ranks'!BL8</f>
        <v>0</v>
      </c>
      <c r="AG8" s="1">
        <f>'[1]Forward Ranks'!BQ8</f>
        <v>0.89519650655021832</v>
      </c>
      <c r="AH8" s="1">
        <f>'[1]Forward Ranks'!BR8</f>
        <v>0.75327510917030571</v>
      </c>
      <c r="AI8" s="1">
        <f>'[1]Forward Ranks'!BS8</f>
        <v>0.81877729257641918</v>
      </c>
      <c r="AJ8" s="1">
        <f>'[1]Forward Ranks'!BT8</f>
        <v>0.85807860262008728</v>
      </c>
      <c r="AL8" s="2">
        <f>'[1]Forward Ranks'!BX8</f>
        <v>0.91048034934497812</v>
      </c>
      <c r="AN8" t="str">
        <f>'[1]Forward Ranks'!B8</f>
        <v>FLA</v>
      </c>
      <c r="AO8">
        <f>'[1]F on ice'!E8</f>
        <v>68</v>
      </c>
      <c r="AP8" s="2">
        <f>'[1]Impact Score Math'!E8</f>
        <v>0.91583166332665333</v>
      </c>
      <c r="AQ8">
        <f>'[1]Impact Score Math'!G8</f>
        <v>43</v>
      </c>
      <c r="AT8" s="1">
        <f>'[1]Forward Ranks'!CJ8</f>
        <v>0.94541484716157209</v>
      </c>
      <c r="AU8" s="1">
        <f>'[1]Forward Ranks'!CK8</f>
        <v>0.4366812227074236</v>
      </c>
    </row>
    <row r="9" spans="1:50" x14ac:dyDescent="0.3">
      <c r="A9" t="str">
        <f>'[1]Forward Ranks'!A9</f>
        <v>Alex Belzile</v>
      </c>
      <c r="B9">
        <f>'[1]Forward Ranks'!D9</f>
        <v>0</v>
      </c>
      <c r="C9" s="1">
        <f>'[1]Forward Ranks'!I9</f>
        <v>3.7117903930131008E-2</v>
      </c>
      <c r="D9" s="1">
        <f>'[1]Forward Ranks'!J9</f>
        <v>7.2052401746724892E-2</v>
      </c>
      <c r="E9" s="1">
        <f>'[1]Forward Ranks'!K9</f>
        <v>0.888646288209607</v>
      </c>
      <c r="F9" s="1">
        <f>'[1]Forward Ranks'!L9</f>
        <v>4.3668122270742356E-2</v>
      </c>
      <c r="G9">
        <f>'[1]Forward Ranks'!N9</f>
        <v>0</v>
      </c>
      <c r="H9" s="1">
        <f>'[1]Forward Ranks'!S9</f>
        <v>0.84061135371179041</v>
      </c>
      <c r="I9" s="1">
        <f>'[1]Forward Ranks'!T9</f>
        <v>0.87554585152838427</v>
      </c>
      <c r="J9" s="1">
        <f>'[1]Forward Ranks'!U9</f>
        <v>0.48034934497816595</v>
      </c>
      <c r="K9" s="1">
        <f>'[1]Forward Ranks'!V9</f>
        <v>0.93449781659388642</v>
      </c>
      <c r="L9">
        <f>'[1]Forward Ranks'!X9</f>
        <v>0</v>
      </c>
      <c r="M9" s="1">
        <f>'[1]Forward Ranks'!AC9</f>
        <v>0.2576419213973799</v>
      </c>
      <c r="N9" s="1">
        <f>'[1]Forward Ranks'!AD9</f>
        <v>0.28384279475982532</v>
      </c>
      <c r="O9" s="1">
        <f>'[1]Forward Ranks'!AE9</f>
        <v>8.296943231441048E-2</v>
      </c>
      <c r="P9" s="1">
        <f>'[1]Forward Ranks'!AF9</f>
        <v>0.51310043668122274</v>
      </c>
      <c r="Q9">
        <f>'[1]Forward Ranks'!AH9</f>
        <v>0</v>
      </c>
      <c r="R9" s="1">
        <f>'[1]Forward Ranks'!AM9</f>
        <v>0.3296943231441048</v>
      </c>
      <c r="S9" s="1">
        <f>'[1]Forward Ranks'!AN9</f>
        <v>0.27947598253275108</v>
      </c>
      <c r="T9" s="1">
        <f>'[1]Forward Ranks'!AO9</f>
        <v>0.87117903930131002</v>
      </c>
      <c r="U9" s="1">
        <f>'[1]Forward Ranks'!AP9</f>
        <v>0.14192139737991266</v>
      </c>
      <c r="V9">
        <f>'[1]Forward Ranks'!AR9</f>
        <v>0</v>
      </c>
      <c r="W9" s="1">
        <f>'[1]Forward Ranks'!AW9</f>
        <v>0.54803493449781659</v>
      </c>
      <c r="X9" s="1">
        <f>'[1]Forward Ranks'!AX9</f>
        <v>0.80349344978165937</v>
      </c>
      <c r="Y9" s="1">
        <f>'[1]Forward Ranks'!AY9</f>
        <v>0.25327510917030566</v>
      </c>
      <c r="Z9" s="1">
        <f>'[1]Forward Ranks'!AZ9</f>
        <v>0.89301310043668125</v>
      </c>
      <c r="AA9">
        <f>'[1]Forward Ranks'!BB9</f>
        <v>0</v>
      </c>
      <c r="AB9" s="1">
        <f>'[1]Forward Ranks'!BG9</f>
        <v>0.27074235807860264</v>
      </c>
      <c r="AC9" s="1">
        <f>'[1]Forward Ranks'!BH9</f>
        <v>0.26637554585152839</v>
      </c>
      <c r="AD9" s="1">
        <f>'[1]Forward Ranks'!BI9</f>
        <v>0.99781659388646293</v>
      </c>
      <c r="AE9" s="1">
        <f>'[1]Forward Ranks'!BJ9</f>
        <v>0.91921397379912662</v>
      </c>
      <c r="AF9">
        <f>'[1]Forward Ranks'!BL9</f>
        <v>0</v>
      </c>
      <c r="AG9" s="1">
        <f>'[1]Forward Ranks'!BQ9</f>
        <v>6.5502183406113537E-2</v>
      </c>
      <c r="AH9" s="1">
        <f>'[1]Forward Ranks'!BR9</f>
        <v>9.3886462882096067E-2</v>
      </c>
      <c r="AI9" s="1">
        <f>'[1]Forward Ranks'!BS9</f>
        <v>0.48471615720524019</v>
      </c>
      <c r="AJ9" s="1">
        <f>'[1]Forward Ranks'!BT9</f>
        <v>9.8253275109170299E-2</v>
      </c>
      <c r="AL9" s="2">
        <f>'[1]Forward Ranks'!BX9</f>
        <v>0.32751091703056767</v>
      </c>
      <c r="AN9" t="str">
        <f>'[1]Forward Ranks'!B9</f>
        <v>MTL</v>
      </c>
      <c r="AO9">
        <f>'[1]F on ice'!E9</f>
        <v>31</v>
      </c>
      <c r="AP9" s="2">
        <f>'[1]Impact Score Math'!E9</f>
        <v>0.35671342685370744</v>
      </c>
      <c r="AQ9">
        <f>'[1]Impact Score Math'!G9</f>
        <v>322</v>
      </c>
      <c r="AT9" s="1">
        <f>'[1]Forward Ranks'!CJ9</f>
        <v>0.36899563318777295</v>
      </c>
      <c r="AU9" s="1">
        <f>'[1]Forward Ranks'!CK9</f>
        <v>0.82751091703056767</v>
      </c>
    </row>
    <row r="10" spans="1:50" x14ac:dyDescent="0.3">
      <c r="A10" t="str">
        <f>'[1]Forward Ranks'!A10</f>
        <v>Alex DeBrincat</v>
      </c>
      <c r="B10">
        <f>'[1]Forward Ranks'!D10</f>
        <v>0</v>
      </c>
      <c r="C10" s="1">
        <f>'[1]Forward Ranks'!I10</f>
        <v>0.73580786026200873</v>
      </c>
      <c r="D10" s="1">
        <f>'[1]Forward Ranks'!J10</f>
        <v>0.65938864628820959</v>
      </c>
      <c r="E10" s="1">
        <f>'[1]Forward Ranks'!K10</f>
        <v>0.32532751091703055</v>
      </c>
      <c r="F10" s="1">
        <f>'[1]Forward Ranks'!L10</f>
        <v>0.67030567685589515</v>
      </c>
      <c r="G10">
        <f>'[1]Forward Ranks'!N10</f>
        <v>0</v>
      </c>
      <c r="H10" s="1">
        <f>'[1]Forward Ranks'!S10</f>
        <v>0.44323144104803491</v>
      </c>
      <c r="I10" s="1">
        <f>'[1]Forward Ranks'!T10</f>
        <v>0.53056768558951961</v>
      </c>
      <c r="J10" s="1">
        <f>'[1]Forward Ranks'!U10</f>
        <v>0.72925764192139741</v>
      </c>
      <c r="K10" s="1">
        <f>'[1]Forward Ranks'!V10</f>
        <v>0.48908296943231439</v>
      </c>
      <c r="L10">
        <f>'[1]Forward Ranks'!X10</f>
        <v>0</v>
      </c>
      <c r="M10" s="1">
        <f>'[1]Forward Ranks'!AC10</f>
        <v>0.33842794759825329</v>
      </c>
      <c r="N10" s="1">
        <f>'[1]Forward Ranks'!AD10</f>
        <v>0.24017467248908297</v>
      </c>
      <c r="O10" s="1">
        <f>'[1]Forward Ranks'!AE10</f>
        <v>0.20524017467248909</v>
      </c>
      <c r="P10" s="1">
        <f>'[1]Forward Ranks'!AF10</f>
        <v>0.25327510917030566</v>
      </c>
      <c r="Q10">
        <f>'[1]Forward Ranks'!AH10</f>
        <v>0</v>
      </c>
      <c r="R10" s="1">
        <f>'[1]Forward Ranks'!AM10</f>
        <v>0.50873362445414849</v>
      </c>
      <c r="S10" s="1">
        <f>'[1]Forward Ranks'!AN10</f>
        <v>0.49781659388646288</v>
      </c>
      <c r="T10" s="1">
        <f>'[1]Forward Ranks'!AO10</f>
        <v>0.42358078602620086</v>
      </c>
      <c r="U10" s="1">
        <f>'[1]Forward Ranks'!AP10</f>
        <v>0.48471615720524019</v>
      </c>
      <c r="V10">
        <f>'[1]Forward Ranks'!AR10</f>
        <v>0</v>
      </c>
      <c r="W10" s="1">
        <f>'[1]Forward Ranks'!AW10</f>
        <v>0.23144104803493451</v>
      </c>
      <c r="X10" s="1">
        <f>'[1]Forward Ranks'!AX10</f>
        <v>0.11572052401746726</v>
      </c>
      <c r="Y10" s="1">
        <f>'[1]Forward Ranks'!AY10</f>
        <v>0.23580786026200873</v>
      </c>
      <c r="Z10" s="1">
        <f>'[1]Forward Ranks'!AZ10</f>
        <v>0.16375545851528384</v>
      </c>
      <c r="AA10">
        <f>'[1]Forward Ranks'!BB10</f>
        <v>0</v>
      </c>
      <c r="AB10" s="1">
        <f>'[1]Forward Ranks'!BG10</f>
        <v>0.86462882096069871</v>
      </c>
      <c r="AC10" s="1">
        <f>'[1]Forward Ranks'!BH10</f>
        <v>0.8253275109170306</v>
      </c>
      <c r="AD10" s="1">
        <f>'[1]Forward Ranks'!BI10</f>
        <v>0.17467248908296942</v>
      </c>
      <c r="AE10" s="1">
        <f>'[1]Forward Ranks'!BJ10</f>
        <v>0.11790393013100436</v>
      </c>
      <c r="AF10">
        <f>'[1]Forward Ranks'!BL10</f>
        <v>0</v>
      </c>
      <c r="AG10" s="1">
        <f>'[1]Forward Ranks'!BQ10</f>
        <v>0.60480349344978168</v>
      </c>
      <c r="AH10" s="1">
        <f>'[1]Forward Ranks'!BR10</f>
        <v>0.45196506550218341</v>
      </c>
      <c r="AI10" s="1">
        <f>'[1]Forward Ranks'!BS10</f>
        <v>0.19868995633187772</v>
      </c>
      <c r="AJ10" s="1">
        <f>'[1]Forward Ranks'!BT10</f>
        <v>0.48689956331877732</v>
      </c>
      <c r="AL10" s="2">
        <f>'[1]Forward Ranks'!BX10</f>
        <v>0.40829694323144106</v>
      </c>
      <c r="AN10" t="str">
        <f>'[1]Forward Ranks'!B10</f>
        <v>OTT</v>
      </c>
      <c r="AO10">
        <f>'[1]F on ice'!E10</f>
        <v>82</v>
      </c>
      <c r="AP10" s="2">
        <f>'[1]Impact Score Math'!E10</f>
        <v>0.56312625250501003</v>
      </c>
      <c r="AQ10">
        <f>'[1]Impact Score Math'!G10</f>
        <v>219</v>
      </c>
      <c r="AT10" s="1">
        <f>'[1]Forward Ranks'!CJ10</f>
        <v>0.68995633187772931</v>
      </c>
      <c r="AU10" s="1">
        <f>'[1]Forward Ranks'!CK10</f>
        <v>0.61790393013100442</v>
      </c>
    </row>
    <row r="11" spans="1:50" x14ac:dyDescent="0.3">
      <c r="A11" t="str">
        <f>'[1]Forward Ranks'!A11</f>
        <v>Alex Iafallo</v>
      </c>
      <c r="B11">
        <f>'[1]Forward Ranks'!D11</f>
        <v>0</v>
      </c>
      <c r="C11" s="1">
        <f>'[1]Forward Ranks'!I11</f>
        <v>0.81004366812227069</v>
      </c>
      <c r="D11" s="1">
        <f>'[1]Forward Ranks'!J11</f>
        <v>0.74235807860262004</v>
      </c>
      <c r="E11" s="1">
        <f>'[1]Forward Ranks'!K11</f>
        <v>0.57860262008733621</v>
      </c>
      <c r="F11" s="1">
        <f>'[1]Forward Ranks'!L11</f>
        <v>0.70960698689956336</v>
      </c>
      <c r="G11">
        <f>'[1]Forward Ranks'!N11</f>
        <v>0</v>
      </c>
      <c r="H11" s="1">
        <f>'[1]Forward Ranks'!S11</f>
        <v>0.27510917030567683</v>
      </c>
      <c r="I11" s="1">
        <f>'[1]Forward Ranks'!T11</f>
        <v>0.89519650655021832</v>
      </c>
      <c r="J11" s="1">
        <f>'[1]Forward Ranks'!U11</f>
        <v>0.83406113537117899</v>
      </c>
      <c r="K11" s="1">
        <f>'[1]Forward Ranks'!V11</f>
        <v>0.74454148471615722</v>
      </c>
      <c r="L11">
        <f>'[1]Forward Ranks'!X11</f>
        <v>0</v>
      </c>
      <c r="M11" s="1">
        <f>'[1]Forward Ranks'!AC11</f>
        <v>0.86462882096069871</v>
      </c>
      <c r="N11" s="1">
        <f>'[1]Forward Ranks'!AD11</f>
        <v>0.611353711790393</v>
      </c>
      <c r="O11" s="1">
        <f>'[1]Forward Ranks'!AE11</f>
        <v>0.87554585152838427</v>
      </c>
      <c r="P11" s="1">
        <f>'[1]Forward Ranks'!AF11</f>
        <v>0.79912663755458513</v>
      </c>
      <c r="Q11">
        <f>'[1]Forward Ranks'!AH11</f>
        <v>0</v>
      </c>
      <c r="R11" s="1">
        <f>'[1]Forward Ranks'!AM11</f>
        <v>0.67030567685589515</v>
      </c>
      <c r="S11" s="1">
        <f>'[1]Forward Ranks'!AN11</f>
        <v>0.57423580786026196</v>
      </c>
      <c r="T11" s="1">
        <f>'[1]Forward Ranks'!AO11</f>
        <v>0.51965065502183405</v>
      </c>
      <c r="U11" s="1">
        <f>'[1]Forward Ranks'!AP11</f>
        <v>0.68558951965065507</v>
      </c>
      <c r="V11">
        <f>'[1]Forward Ranks'!AR11</f>
        <v>0</v>
      </c>
      <c r="W11" s="1">
        <f>'[1]Forward Ranks'!AW11</f>
        <v>0.43231441048034935</v>
      </c>
      <c r="X11" s="1">
        <f>'[1]Forward Ranks'!AX11</f>
        <v>0.2183406113537118</v>
      </c>
      <c r="Y11" s="1">
        <f>'[1]Forward Ranks'!AY11</f>
        <v>0.81222707423580787</v>
      </c>
      <c r="Z11" s="1">
        <f>'[1]Forward Ranks'!AZ11</f>
        <v>0.53493449781659386</v>
      </c>
      <c r="AA11">
        <f>'[1]Forward Ranks'!BB11</f>
        <v>0</v>
      </c>
      <c r="AB11" s="1">
        <f>'[1]Forward Ranks'!BG11</f>
        <v>0.52838427947598254</v>
      </c>
      <c r="AC11" s="1">
        <f>'[1]Forward Ranks'!BH11</f>
        <v>0.42794759825327511</v>
      </c>
      <c r="AD11" s="1">
        <f>'[1]Forward Ranks'!BI11</f>
        <v>0.42576419213973798</v>
      </c>
      <c r="AE11" s="1">
        <f>'[1]Forward Ranks'!BJ11</f>
        <v>0.64628820960698685</v>
      </c>
      <c r="AF11">
        <f>'[1]Forward Ranks'!BL11</f>
        <v>0</v>
      </c>
      <c r="AG11" s="1">
        <f>'[1]Forward Ranks'!BQ11</f>
        <v>0.87117903930131002</v>
      </c>
      <c r="AH11" s="1">
        <f>'[1]Forward Ranks'!BR11</f>
        <v>0.74890829694323147</v>
      </c>
      <c r="AI11" s="1">
        <f>'[1]Forward Ranks'!BS11</f>
        <v>0.85371179039301315</v>
      </c>
      <c r="AJ11" s="1">
        <f>'[1]Forward Ranks'!BT11</f>
        <v>0.81222707423580787</v>
      </c>
      <c r="AL11" s="2">
        <f>'[1]Forward Ranks'!BX11</f>
        <v>0.86899563318777295</v>
      </c>
      <c r="AN11" t="str">
        <f>'[1]Forward Ranks'!B11</f>
        <v>L.A</v>
      </c>
      <c r="AO11">
        <f>'[1]F on ice'!E11</f>
        <v>59</v>
      </c>
      <c r="AP11" s="2">
        <f>'[1]Impact Score Math'!E11</f>
        <v>0.8236472945891784</v>
      </c>
      <c r="AQ11">
        <f>'[1]Impact Score Math'!G11</f>
        <v>89</v>
      </c>
      <c r="AT11" s="1">
        <f>'[1]Forward Ranks'!CJ11</f>
        <v>0.55458515283842791</v>
      </c>
      <c r="AU11" s="1">
        <f>'[1]Forward Ranks'!CK11</f>
        <v>0.23144104803493451</v>
      </c>
    </row>
    <row r="12" spans="1:50" x14ac:dyDescent="0.3">
      <c r="A12" t="str">
        <f>'[1]Forward Ranks'!A12</f>
        <v>Alex Killorn</v>
      </c>
      <c r="B12">
        <f>'[1]Forward Ranks'!D12</f>
        <v>0</v>
      </c>
      <c r="C12" s="1">
        <f>'[1]Forward Ranks'!I12</f>
        <v>0.39956331877729256</v>
      </c>
      <c r="D12" s="1">
        <f>'[1]Forward Ranks'!J12</f>
        <v>0.73799126637554591</v>
      </c>
      <c r="E12" s="1">
        <f>'[1]Forward Ranks'!K12</f>
        <v>0.89519650655021832</v>
      </c>
      <c r="F12" s="1">
        <f>'[1]Forward Ranks'!L12</f>
        <v>0.56550218340611358</v>
      </c>
      <c r="G12">
        <f>'[1]Forward Ranks'!N12</f>
        <v>0</v>
      </c>
      <c r="H12" s="1">
        <f>'[1]Forward Ranks'!S12</f>
        <v>0.86026200873362446</v>
      </c>
      <c r="I12" s="1">
        <f>'[1]Forward Ranks'!T12</f>
        <v>0.81222707423580787</v>
      </c>
      <c r="J12" s="1">
        <f>'[1]Forward Ranks'!U12</f>
        <v>0.61790393013100442</v>
      </c>
      <c r="K12" s="1">
        <f>'[1]Forward Ranks'!V12</f>
        <v>0.90611353711790388</v>
      </c>
      <c r="L12">
        <f>'[1]Forward Ranks'!X12</f>
        <v>0</v>
      </c>
      <c r="M12" s="1">
        <f>'[1]Forward Ranks'!AC12</f>
        <v>0.44978165938864628</v>
      </c>
      <c r="N12" s="1">
        <f>'[1]Forward Ranks'!AD12</f>
        <v>0.39956331877729256</v>
      </c>
      <c r="O12" s="1">
        <f>'[1]Forward Ranks'!AE12</f>
        <v>0.54803493449781659</v>
      </c>
      <c r="P12" s="1">
        <f>'[1]Forward Ranks'!AF12</f>
        <v>0.31441048034934499</v>
      </c>
      <c r="Q12">
        <f>'[1]Forward Ranks'!AH12</f>
        <v>0</v>
      </c>
      <c r="R12" s="1">
        <f>'[1]Forward Ranks'!AM12</f>
        <v>0.18995633187772926</v>
      </c>
      <c r="S12" s="1">
        <f>'[1]Forward Ranks'!AN12</f>
        <v>0.27510917030567683</v>
      </c>
      <c r="T12" s="1">
        <f>'[1]Forward Ranks'!AO12</f>
        <v>0.91048034934497812</v>
      </c>
      <c r="U12" s="1">
        <f>'[1]Forward Ranks'!AP12</f>
        <v>0.3056768558951965</v>
      </c>
      <c r="V12">
        <f>'[1]Forward Ranks'!AR12</f>
        <v>0</v>
      </c>
      <c r="W12" s="1">
        <f>'[1]Forward Ranks'!AW12</f>
        <v>0.34716157205240172</v>
      </c>
      <c r="X12" s="1">
        <f>'[1]Forward Ranks'!AX12</f>
        <v>0.26855895196506552</v>
      </c>
      <c r="Y12" s="1">
        <f>'[1]Forward Ranks'!AY12</f>
        <v>0.51965065502183405</v>
      </c>
      <c r="Z12" s="1">
        <f>'[1]Forward Ranks'!AZ12</f>
        <v>0.24890829694323144</v>
      </c>
      <c r="AA12">
        <f>'[1]Forward Ranks'!BB12</f>
        <v>0</v>
      </c>
      <c r="AB12" s="1">
        <f>'[1]Forward Ranks'!BG12</f>
        <v>0.56768558951965065</v>
      </c>
      <c r="AC12" s="1">
        <f>'[1]Forward Ranks'!BH12</f>
        <v>0.27292576419213976</v>
      </c>
      <c r="AD12" s="1">
        <f>'[1]Forward Ranks'!BI12</f>
        <v>0.96288209606986896</v>
      </c>
      <c r="AE12" s="1">
        <f>'[1]Forward Ranks'!BJ12</f>
        <v>0.94323144104803491</v>
      </c>
      <c r="AF12">
        <f>'[1]Forward Ranks'!BL12</f>
        <v>0</v>
      </c>
      <c r="AG12" s="1">
        <f>'[1]Forward Ranks'!BQ12</f>
        <v>0.42139737991266374</v>
      </c>
      <c r="AH12" s="1">
        <f>'[1]Forward Ranks'!BR12</f>
        <v>0.62227074235807855</v>
      </c>
      <c r="AI12" s="1">
        <f>'[1]Forward Ranks'!BS12</f>
        <v>0.8493449781659389</v>
      </c>
      <c r="AJ12" s="1">
        <f>'[1]Forward Ranks'!BT12</f>
        <v>0.43449781659388648</v>
      </c>
      <c r="AL12" s="2">
        <f>'[1]Forward Ranks'!BX12</f>
        <v>0.45633187772925765</v>
      </c>
      <c r="AN12" t="str">
        <f>'[1]Forward Ranks'!B12</f>
        <v>T.B</v>
      </c>
      <c r="AO12">
        <f>'[1]F on ice'!E12</f>
        <v>82</v>
      </c>
      <c r="AP12" s="2">
        <f>'[1]Impact Score Math'!E12</f>
        <v>0.52104208416833664</v>
      </c>
      <c r="AQ12">
        <f>'[1]Impact Score Math'!G12</f>
        <v>240</v>
      </c>
      <c r="AT12" s="1">
        <f>'[1]Forward Ranks'!CJ12</f>
        <v>0.33624454148471616</v>
      </c>
      <c r="AU12" s="1">
        <f>'[1]Forward Ranks'!CK12</f>
        <v>0.51310043668122274</v>
      </c>
    </row>
    <row r="13" spans="1:50" x14ac:dyDescent="0.3">
      <c r="A13" t="str">
        <f>'[1]Forward Ranks'!A13</f>
        <v>Alex Newhook</v>
      </c>
      <c r="B13">
        <f>'[1]Forward Ranks'!D13</f>
        <v>0</v>
      </c>
      <c r="C13" s="1">
        <f>'[1]Forward Ranks'!I13</f>
        <v>0.32314410480349343</v>
      </c>
      <c r="D13" s="1">
        <f>'[1]Forward Ranks'!J13</f>
        <v>0.29694323144104806</v>
      </c>
      <c r="E13" s="1">
        <f>'[1]Forward Ranks'!K13</f>
        <v>0.51965065502183405</v>
      </c>
      <c r="F13" s="1">
        <f>'[1]Forward Ranks'!L13</f>
        <v>0.33187772925764192</v>
      </c>
      <c r="G13">
        <f>'[1]Forward Ranks'!N13</f>
        <v>0</v>
      </c>
      <c r="H13" s="1">
        <f>'[1]Forward Ranks'!S13</f>
        <v>0.50218340611353707</v>
      </c>
      <c r="I13" s="1">
        <f>'[1]Forward Ranks'!T13</f>
        <v>0.4759825327510917</v>
      </c>
      <c r="J13" s="1">
        <f>'[1]Forward Ranks'!U13</f>
        <v>0.41048034934497818</v>
      </c>
      <c r="K13" s="1">
        <f>'[1]Forward Ranks'!V13</f>
        <v>0.47816593886462883</v>
      </c>
      <c r="L13">
        <f>'[1]Forward Ranks'!X13</f>
        <v>0</v>
      </c>
      <c r="M13" s="1">
        <f>'[1]Forward Ranks'!AC13</f>
        <v>0.74454148471615722</v>
      </c>
      <c r="N13" s="1">
        <f>'[1]Forward Ranks'!AD13</f>
        <v>0.67030567685589515</v>
      </c>
      <c r="O13" s="1">
        <f>'[1]Forward Ranks'!AE13</f>
        <v>0.6506550218340611</v>
      </c>
      <c r="P13" s="1">
        <f>'[1]Forward Ranks'!AF13</f>
        <v>0.71834061135371174</v>
      </c>
      <c r="Q13">
        <f>'[1]Forward Ranks'!AH13</f>
        <v>0</v>
      </c>
      <c r="R13" s="1">
        <f>'[1]Forward Ranks'!AM13</f>
        <v>0.12445414847161572</v>
      </c>
      <c r="S13" s="1">
        <f>'[1]Forward Ranks'!AN13</f>
        <v>0.30131004366812225</v>
      </c>
      <c r="T13" s="1">
        <f>'[1]Forward Ranks'!AO13</f>
        <v>0.5</v>
      </c>
      <c r="U13" s="1">
        <f>'[1]Forward Ranks'!AP13</f>
        <v>0.29257641921397382</v>
      </c>
      <c r="V13">
        <f>'[1]Forward Ranks'!AR13</f>
        <v>0</v>
      </c>
      <c r="W13" s="1">
        <f>'[1]Forward Ranks'!AW13</f>
        <v>0.74017467248908297</v>
      </c>
      <c r="X13" s="1">
        <f>'[1]Forward Ranks'!AX13</f>
        <v>0.66157205240174677</v>
      </c>
      <c r="Y13" s="1">
        <f>'[1]Forward Ranks'!AY13</f>
        <v>0.41484716157205243</v>
      </c>
      <c r="Z13" s="1">
        <f>'[1]Forward Ranks'!AZ13</f>
        <v>0.53493449781659386</v>
      </c>
      <c r="AA13">
        <f>'[1]Forward Ranks'!BB13</f>
        <v>0</v>
      </c>
      <c r="AB13" s="1">
        <f>'[1]Forward Ranks'!BG13</f>
        <v>0.49781659388646288</v>
      </c>
      <c r="AC13" s="1">
        <f>'[1]Forward Ranks'!BH13</f>
        <v>0.35589519650655022</v>
      </c>
      <c r="AD13" s="1">
        <f>'[1]Forward Ranks'!BI13</f>
        <v>0.54585152838427953</v>
      </c>
      <c r="AE13" s="1">
        <f>'[1]Forward Ranks'!BJ13</f>
        <v>0.60698689956331875</v>
      </c>
      <c r="AF13">
        <f>'[1]Forward Ranks'!BL13</f>
        <v>0</v>
      </c>
      <c r="AG13" s="1">
        <f>'[1]Forward Ranks'!BQ13</f>
        <v>0.50436681222707425</v>
      </c>
      <c r="AH13" s="1">
        <f>'[1]Forward Ranks'!BR13</f>
        <v>0.41703056768558949</v>
      </c>
      <c r="AI13" s="1">
        <f>'[1]Forward Ranks'!BS13</f>
        <v>0.63537117903930129</v>
      </c>
      <c r="AJ13" s="1">
        <f>'[1]Forward Ranks'!BT13</f>
        <v>0.50436681222707425</v>
      </c>
      <c r="AL13" s="2">
        <f>'[1]Forward Ranks'!BX13</f>
        <v>0.4366812227074236</v>
      </c>
      <c r="AN13" t="str">
        <f>'[1]Forward Ranks'!B13</f>
        <v>COL</v>
      </c>
      <c r="AO13">
        <f>'[1]F on ice'!E13</f>
        <v>82</v>
      </c>
      <c r="AP13" s="2">
        <f>'[1]Impact Score Math'!E13</f>
        <v>0.49899799599198397</v>
      </c>
      <c r="AQ13">
        <f>'[1]Impact Score Math'!G13</f>
        <v>251</v>
      </c>
      <c r="AT13" s="1">
        <f>'[1]Forward Ranks'!CJ13</f>
        <v>0.55458515283842791</v>
      </c>
      <c r="AU13" s="1">
        <f>'[1]Forward Ranks'!CK13</f>
        <v>6.1135371179039298E-2</v>
      </c>
    </row>
    <row r="14" spans="1:50" x14ac:dyDescent="0.3">
      <c r="A14" t="str">
        <f>'[1]Forward Ranks'!A14</f>
        <v>Alex Ovechkin</v>
      </c>
      <c r="B14">
        <f>'[1]Forward Ranks'!D14</f>
        <v>0</v>
      </c>
      <c r="C14" s="1">
        <f>'[1]Forward Ranks'!I14</f>
        <v>0.82314410480349343</v>
      </c>
      <c r="D14" s="1">
        <f>'[1]Forward Ranks'!J14</f>
        <v>0.73799126637554591</v>
      </c>
      <c r="E14" s="1">
        <f>'[1]Forward Ranks'!K14</f>
        <v>0.78602620087336239</v>
      </c>
      <c r="F14" s="1">
        <f>'[1]Forward Ranks'!L14</f>
        <v>0.86681222707423577</v>
      </c>
      <c r="G14">
        <f>'[1]Forward Ranks'!N14</f>
        <v>0</v>
      </c>
      <c r="H14" s="1">
        <f>'[1]Forward Ranks'!S14</f>
        <v>0.888646288209607</v>
      </c>
      <c r="I14" s="1">
        <f>'[1]Forward Ranks'!T14</f>
        <v>0.69650655021834063</v>
      </c>
      <c r="J14" s="1">
        <f>'[1]Forward Ranks'!U14</f>
        <v>0.60043668122270744</v>
      </c>
      <c r="K14" s="1">
        <f>'[1]Forward Ranks'!V14</f>
        <v>0.87772925764192145</v>
      </c>
      <c r="L14">
        <f>'[1]Forward Ranks'!X14</f>
        <v>0</v>
      </c>
      <c r="M14" s="1">
        <f>'[1]Forward Ranks'!AC14</f>
        <v>8.9519650655021835E-2</v>
      </c>
      <c r="N14" s="1">
        <f>'[1]Forward Ranks'!AD14</f>
        <v>3.7117903930131008E-2</v>
      </c>
      <c r="O14" s="1">
        <f>'[1]Forward Ranks'!AE14</f>
        <v>0.15283842794759825</v>
      </c>
      <c r="P14" s="1">
        <f>'[1]Forward Ranks'!AF14</f>
        <v>3.7117903930131008E-2</v>
      </c>
      <c r="Q14">
        <f>'[1]Forward Ranks'!AH14</f>
        <v>0</v>
      </c>
      <c r="R14" s="1">
        <f>'[1]Forward Ranks'!AM14</f>
        <v>0.86681222707423577</v>
      </c>
      <c r="S14" s="1">
        <f>'[1]Forward Ranks'!AN14</f>
        <v>0.80131004366812231</v>
      </c>
      <c r="T14" s="1">
        <f>'[1]Forward Ranks'!AO14</f>
        <v>0.76855895196506552</v>
      </c>
      <c r="U14" s="1">
        <f>'[1]Forward Ranks'!AP14</f>
        <v>0.93013100436681218</v>
      </c>
      <c r="V14">
        <f>'[1]Forward Ranks'!AR14</f>
        <v>0</v>
      </c>
      <c r="W14" s="1">
        <f>'[1]Forward Ranks'!AW14</f>
        <v>1.7467248908296942E-2</v>
      </c>
      <c r="X14" s="1">
        <f>'[1]Forward Ranks'!AX14</f>
        <v>6.5502183406113534E-3</v>
      </c>
      <c r="Y14" s="1">
        <f>'[1]Forward Ranks'!AY14</f>
        <v>7.8602620087336247E-2</v>
      </c>
      <c r="Z14" s="1">
        <f>'[1]Forward Ranks'!AZ14</f>
        <v>6.5502183406113534E-3</v>
      </c>
      <c r="AA14">
        <f>'[1]Forward Ranks'!BB14</f>
        <v>0</v>
      </c>
      <c r="AB14" s="1">
        <f>'[1]Forward Ranks'!BG14</f>
        <v>0.91048034934497812</v>
      </c>
      <c r="AC14" s="1">
        <f>'[1]Forward Ranks'!BH14</f>
        <v>0.99781659388646293</v>
      </c>
      <c r="AD14" s="1">
        <f>'[1]Forward Ranks'!BI14</f>
        <v>0.69650655021834063</v>
      </c>
      <c r="AE14" s="1">
        <f>'[1]Forward Ranks'!BJ14</f>
        <v>0.52183406113537123</v>
      </c>
      <c r="AF14">
        <f>'[1]Forward Ranks'!BL14</f>
        <v>0</v>
      </c>
      <c r="AG14" s="1">
        <f>'[1]Forward Ranks'!BQ14</f>
        <v>0.45851528384279477</v>
      </c>
      <c r="AH14" s="1">
        <f>'[1]Forward Ranks'!BR14</f>
        <v>0.3056768558951965</v>
      </c>
      <c r="AI14" s="1">
        <f>'[1]Forward Ranks'!BS14</f>
        <v>0.45633187772925765</v>
      </c>
      <c r="AJ14" s="1">
        <f>'[1]Forward Ranks'!BT14</f>
        <v>0.43886462882096072</v>
      </c>
      <c r="AL14" s="2">
        <f>'[1]Forward Ranks'!BX14</f>
        <v>0.50436681222707425</v>
      </c>
      <c r="AN14" t="str">
        <f>'[1]Forward Ranks'!B14</f>
        <v>WSH</v>
      </c>
      <c r="AO14">
        <f>'[1]F on ice'!E14</f>
        <v>73</v>
      </c>
      <c r="AP14" s="2">
        <f>'[1]Impact Score Math'!E14</f>
        <v>0.68136272545090182</v>
      </c>
      <c r="AQ14">
        <f>'[1]Impact Score Math'!G14</f>
        <v>160</v>
      </c>
      <c r="AT14" s="1">
        <f>'[1]Forward Ranks'!CJ14</f>
        <v>0.35371179039301309</v>
      </c>
      <c r="AU14" s="1">
        <f>'[1]Forward Ranks'!CK14</f>
        <v>0.14410480349344978</v>
      </c>
    </row>
    <row r="15" spans="1:50" x14ac:dyDescent="0.3">
      <c r="A15" t="str">
        <f>'[1]Forward Ranks'!A15</f>
        <v>Alex Tuch</v>
      </c>
      <c r="B15">
        <f>'[1]Forward Ranks'!D15</f>
        <v>0</v>
      </c>
      <c r="C15" s="1">
        <f>'[1]Forward Ranks'!I15</f>
        <v>0.91484716157205237</v>
      </c>
      <c r="D15" s="1">
        <f>'[1]Forward Ranks'!J15</f>
        <v>0.85589519650655022</v>
      </c>
      <c r="E15" s="1">
        <f>'[1]Forward Ranks'!K15</f>
        <v>0.99126637554585151</v>
      </c>
      <c r="F15" s="1">
        <f>'[1]Forward Ranks'!L15</f>
        <v>0.88209606986899558</v>
      </c>
      <c r="G15">
        <f>'[1]Forward Ranks'!N15</f>
        <v>0</v>
      </c>
      <c r="H15" s="1">
        <f>'[1]Forward Ranks'!S15</f>
        <v>0.93886462882096067</v>
      </c>
      <c r="I15" s="1">
        <f>'[1]Forward Ranks'!T15</f>
        <v>0.94759825327510916</v>
      </c>
      <c r="J15" s="1">
        <f>'[1]Forward Ranks'!U15</f>
        <v>0.96724890829694321</v>
      </c>
      <c r="K15" s="1">
        <f>'[1]Forward Ranks'!V15</f>
        <v>0.98034934497816595</v>
      </c>
      <c r="L15">
        <f>'[1]Forward Ranks'!X15</f>
        <v>0</v>
      </c>
      <c r="M15" s="1">
        <f>'[1]Forward Ranks'!AC15</f>
        <v>0.33187772925764192</v>
      </c>
      <c r="N15" s="1">
        <f>'[1]Forward Ranks'!AD15</f>
        <v>0.11353711790393013</v>
      </c>
      <c r="O15" s="1">
        <f>'[1]Forward Ranks'!AE15</f>
        <v>0.25982532751091703</v>
      </c>
      <c r="P15" s="1">
        <f>'[1]Forward Ranks'!AF15</f>
        <v>0.1331877729257642</v>
      </c>
      <c r="Q15">
        <f>'[1]Forward Ranks'!AH15</f>
        <v>0</v>
      </c>
      <c r="R15" s="1">
        <f>'[1]Forward Ranks'!AM15</f>
        <v>0.96943231441048039</v>
      </c>
      <c r="S15" s="1">
        <f>'[1]Forward Ranks'!AN15</f>
        <v>0.94541484716157209</v>
      </c>
      <c r="T15" s="1">
        <f>'[1]Forward Ranks'!AO15</f>
        <v>0.96724890829694321</v>
      </c>
      <c r="U15" s="1">
        <f>'[1]Forward Ranks'!AP15</f>
        <v>0.92794759825327511</v>
      </c>
      <c r="V15">
        <f>'[1]Forward Ranks'!AR15</f>
        <v>0</v>
      </c>
      <c r="W15" s="1">
        <f>'[1]Forward Ranks'!AW15</f>
        <v>0.28602620087336245</v>
      </c>
      <c r="X15" s="1">
        <f>'[1]Forward Ranks'!AX15</f>
        <v>0.18777292576419213</v>
      </c>
      <c r="Y15" s="1">
        <f>'[1]Forward Ranks'!AY15</f>
        <v>0.52620087336244536</v>
      </c>
      <c r="Z15" s="1">
        <f>'[1]Forward Ranks'!AZ15</f>
        <v>0.10480349344978165</v>
      </c>
      <c r="AA15">
        <f>'[1]Forward Ranks'!BB15</f>
        <v>0</v>
      </c>
      <c r="AB15" s="1">
        <f>'[1]Forward Ranks'!BG15</f>
        <v>0.79475982532751088</v>
      </c>
      <c r="AC15" s="1">
        <f>'[1]Forward Ranks'!BH15</f>
        <v>0.92358078602620086</v>
      </c>
      <c r="AD15" s="1">
        <f>'[1]Forward Ranks'!BI15</f>
        <v>0.92139737991266379</v>
      </c>
      <c r="AE15" s="1">
        <f>'[1]Forward Ranks'!BJ15</f>
        <v>0.82969432314410485</v>
      </c>
      <c r="AF15">
        <f>'[1]Forward Ranks'!BL15</f>
        <v>0</v>
      </c>
      <c r="AG15" s="1">
        <f>'[1]Forward Ranks'!BQ15</f>
        <v>0.79912663755458513</v>
      </c>
      <c r="AH15" s="1">
        <f>'[1]Forward Ranks'!BR15</f>
        <v>0.5633187772925764</v>
      </c>
      <c r="AI15" s="1">
        <f>'[1]Forward Ranks'!BS15</f>
        <v>0.82751091703056767</v>
      </c>
      <c r="AJ15" s="1">
        <f>'[1]Forward Ranks'!BT15</f>
        <v>0.60480349344978168</v>
      </c>
      <c r="AL15" s="2">
        <f>'[1]Forward Ranks'!BX15</f>
        <v>0.88209606986899558</v>
      </c>
      <c r="AN15" t="str">
        <f>'[1]Forward Ranks'!B15</f>
        <v>BUF</v>
      </c>
      <c r="AO15">
        <f>'[1]F on ice'!E15</f>
        <v>74</v>
      </c>
      <c r="AP15" s="2">
        <f>'[1]Impact Score Math'!E15</f>
        <v>0.89779559118236474</v>
      </c>
      <c r="AQ15">
        <f>'[1]Impact Score Math'!G15</f>
        <v>52</v>
      </c>
      <c r="AT15" s="1">
        <f>'[1]Forward Ranks'!CJ15</f>
        <v>0.75327510917030571</v>
      </c>
      <c r="AU15" s="1">
        <f>'[1]Forward Ranks'!CK15</f>
        <v>0.30349344978165937</v>
      </c>
    </row>
    <row r="16" spans="1:50" x14ac:dyDescent="0.3">
      <c r="A16" t="str">
        <f>'[1]Forward Ranks'!A16</f>
        <v>Alex Wennberg</v>
      </c>
      <c r="B16">
        <f>'[1]Forward Ranks'!D16</f>
        <v>0</v>
      </c>
      <c r="C16" s="1">
        <f>'[1]Forward Ranks'!I16</f>
        <v>0.53711790393013104</v>
      </c>
      <c r="D16" s="1">
        <f>'[1]Forward Ranks'!J16</f>
        <v>0.12882096069868995</v>
      </c>
      <c r="E16" s="1">
        <f>'[1]Forward Ranks'!K16</f>
        <v>0.41048034934497818</v>
      </c>
      <c r="F16" s="1">
        <f>'[1]Forward Ranks'!L16</f>
        <v>0.34061135371179041</v>
      </c>
      <c r="G16">
        <f>'[1]Forward Ranks'!N16</f>
        <v>0</v>
      </c>
      <c r="H16" s="1">
        <f>'[1]Forward Ranks'!S16</f>
        <v>0.14847161572052403</v>
      </c>
      <c r="I16" s="1">
        <f>'[1]Forward Ranks'!T16</f>
        <v>0.56113537117903933</v>
      </c>
      <c r="J16" s="1">
        <f>'[1]Forward Ranks'!U16</f>
        <v>0.56550218340611358</v>
      </c>
      <c r="K16" s="1">
        <f>'[1]Forward Ranks'!V16</f>
        <v>0.31222707423580787</v>
      </c>
      <c r="L16">
        <f>'[1]Forward Ranks'!X16</f>
        <v>0</v>
      </c>
      <c r="M16" s="1">
        <f>'[1]Forward Ranks'!AC16</f>
        <v>0.94104803493449785</v>
      </c>
      <c r="N16" s="1">
        <f>'[1]Forward Ranks'!AD16</f>
        <v>0.80131004366812231</v>
      </c>
      <c r="O16" s="1">
        <f>'[1]Forward Ranks'!AE16</f>
        <v>0.42794759825327511</v>
      </c>
      <c r="P16" s="1">
        <f>'[1]Forward Ranks'!AF16</f>
        <v>0.68340611353711789</v>
      </c>
      <c r="Q16">
        <f>'[1]Forward Ranks'!AH16</f>
        <v>0</v>
      </c>
      <c r="R16" s="1">
        <f>'[1]Forward Ranks'!AM16</f>
        <v>0.34061135371179041</v>
      </c>
      <c r="S16" s="1">
        <f>'[1]Forward Ranks'!AN16</f>
        <v>0.20742358078602621</v>
      </c>
      <c r="T16" s="1">
        <f>'[1]Forward Ranks'!AO16</f>
        <v>9.8253275109170299E-2</v>
      </c>
      <c r="U16" s="1">
        <f>'[1]Forward Ranks'!AP16</f>
        <v>0.34061135371179041</v>
      </c>
      <c r="V16">
        <f>'[1]Forward Ranks'!AR16</f>
        <v>0</v>
      </c>
      <c r="W16" s="1">
        <f>'[1]Forward Ranks'!AW16</f>
        <v>0.68558951965065507</v>
      </c>
      <c r="X16" s="1">
        <f>'[1]Forward Ranks'!AX16</f>
        <v>0.57641921397379914</v>
      </c>
      <c r="Y16" s="1">
        <f>'[1]Forward Ranks'!AY16</f>
        <v>0.25327510917030566</v>
      </c>
      <c r="Z16" s="1">
        <f>'[1]Forward Ranks'!AZ16</f>
        <v>0.32532751091703055</v>
      </c>
      <c r="AA16">
        <f>'[1]Forward Ranks'!BB16</f>
        <v>0</v>
      </c>
      <c r="AB16" s="1">
        <f>'[1]Forward Ranks'!BG16</f>
        <v>0.74672489082969429</v>
      </c>
      <c r="AC16" s="1">
        <f>'[1]Forward Ranks'!BH16</f>
        <v>0.5393013100436681</v>
      </c>
      <c r="AD16" s="1">
        <f>'[1]Forward Ranks'!BI16</f>
        <v>0.36899563318777295</v>
      </c>
      <c r="AE16" s="1">
        <f>'[1]Forward Ranks'!BJ16</f>
        <v>0.13537117903930132</v>
      </c>
      <c r="AF16">
        <f>'[1]Forward Ranks'!BL16</f>
        <v>0</v>
      </c>
      <c r="AG16" s="1">
        <f>'[1]Forward Ranks'!BQ16</f>
        <v>0.80131004366812231</v>
      </c>
      <c r="AH16" s="1">
        <f>'[1]Forward Ranks'!BR16</f>
        <v>0.31877729257641924</v>
      </c>
      <c r="AI16" s="1">
        <f>'[1]Forward Ranks'!BS16</f>
        <v>0.39519650655021832</v>
      </c>
      <c r="AJ16" s="1">
        <f>'[1]Forward Ranks'!BT16</f>
        <v>0.4759825327510917</v>
      </c>
      <c r="AL16" s="2">
        <f>'[1]Forward Ranks'!BX16</f>
        <v>0.48908296943231439</v>
      </c>
      <c r="AN16" t="str">
        <f>'[1]Forward Ranks'!B16</f>
        <v>SEA</v>
      </c>
      <c r="AO16">
        <f>'[1]F on ice'!E16</f>
        <v>82</v>
      </c>
      <c r="AP16" s="2">
        <f>'[1]Impact Score Math'!E16</f>
        <v>0.6172344689378757</v>
      </c>
      <c r="AQ16">
        <f>'[1]Impact Score Math'!G16</f>
        <v>192</v>
      </c>
      <c r="AT16" s="1">
        <f>'[1]Forward Ranks'!CJ16</f>
        <v>0.84497816593886466</v>
      </c>
      <c r="AU16" s="1">
        <f>'[1]Forward Ranks'!CK16</f>
        <v>0.11353711790393013</v>
      </c>
    </row>
    <row r="17" spans="1:47" x14ac:dyDescent="0.3">
      <c r="A17" t="str">
        <f>'[1]Forward Ranks'!A17</f>
        <v>Alexander Barabanov</v>
      </c>
      <c r="B17">
        <f>'[1]Forward Ranks'!D17</f>
        <v>0</v>
      </c>
      <c r="C17" s="1">
        <f>'[1]Forward Ranks'!I17</f>
        <v>0.38646288209606988</v>
      </c>
      <c r="D17" s="1">
        <f>'[1]Forward Ranks'!J17</f>
        <v>0.90174672489082974</v>
      </c>
      <c r="E17" s="1">
        <f>'[1]Forward Ranks'!K17</f>
        <v>0.73144104803493448</v>
      </c>
      <c r="F17" s="1">
        <f>'[1]Forward Ranks'!L17</f>
        <v>0.79475982532751088</v>
      </c>
      <c r="G17">
        <f>'[1]Forward Ranks'!N17</f>
        <v>0</v>
      </c>
      <c r="H17" s="1">
        <f>'[1]Forward Ranks'!S17</f>
        <v>0.61572052401746724</v>
      </c>
      <c r="I17" s="1">
        <f>'[1]Forward Ranks'!T17</f>
        <v>0.81222707423580787</v>
      </c>
      <c r="J17" s="1">
        <f>'[1]Forward Ranks'!U17</f>
        <v>0.79912663755458513</v>
      </c>
      <c r="K17" s="1">
        <f>'[1]Forward Ranks'!V17</f>
        <v>0.75764192139737996</v>
      </c>
      <c r="L17">
        <f>'[1]Forward Ranks'!X17</f>
        <v>0</v>
      </c>
      <c r="M17" s="1">
        <f>'[1]Forward Ranks'!AC17</f>
        <v>0.51965065502183405</v>
      </c>
      <c r="N17" s="1">
        <f>'[1]Forward Ranks'!AD17</f>
        <v>0.42576419213973798</v>
      </c>
      <c r="O17" s="1">
        <f>'[1]Forward Ranks'!AE17</f>
        <v>3.2751091703056769E-2</v>
      </c>
      <c r="P17" s="1">
        <f>'[1]Forward Ranks'!AF17</f>
        <v>0.37554585152838427</v>
      </c>
      <c r="Q17">
        <f>'[1]Forward Ranks'!AH17</f>
        <v>0</v>
      </c>
      <c r="R17" s="1">
        <f>'[1]Forward Ranks'!AM17</f>
        <v>0.38646288209606988</v>
      </c>
      <c r="S17" s="1">
        <f>'[1]Forward Ranks'!AN17</f>
        <v>0.69650655021834063</v>
      </c>
      <c r="T17" s="1">
        <f>'[1]Forward Ranks'!AO17</f>
        <v>0.75327510917030571</v>
      </c>
      <c r="U17" s="1">
        <f>'[1]Forward Ranks'!AP17</f>
        <v>0.58951965065502188</v>
      </c>
      <c r="V17">
        <f>'[1]Forward Ranks'!AR17</f>
        <v>0</v>
      </c>
      <c r="W17" s="1">
        <f>'[1]Forward Ranks'!AW17</f>
        <v>0.68122270742358082</v>
      </c>
      <c r="X17" s="1">
        <f>'[1]Forward Ranks'!AX17</f>
        <v>0.36462882096069871</v>
      </c>
      <c r="Y17" s="1">
        <f>'[1]Forward Ranks'!AY17</f>
        <v>0.17467248908296942</v>
      </c>
      <c r="Z17" s="1">
        <f>'[1]Forward Ranks'!AZ17</f>
        <v>0.36462882096069871</v>
      </c>
      <c r="AA17">
        <f>'[1]Forward Ranks'!BB17</f>
        <v>0</v>
      </c>
      <c r="AB17" s="1">
        <f>'[1]Forward Ranks'!BG17</f>
        <v>0.91703056768558955</v>
      </c>
      <c r="AC17" s="1">
        <f>'[1]Forward Ranks'!BH17</f>
        <v>0.41484716157205243</v>
      </c>
      <c r="AD17" s="1">
        <f>'[1]Forward Ranks'!BI17</f>
        <v>0.85807860262008728</v>
      </c>
      <c r="AE17" s="1">
        <f>'[1]Forward Ranks'!BJ17</f>
        <v>0.2183406113537118</v>
      </c>
      <c r="AF17">
        <f>'[1]Forward Ranks'!BL17</f>
        <v>0</v>
      </c>
      <c r="AG17" s="1">
        <f>'[1]Forward Ranks'!BQ17</f>
        <v>0.44323144104803491</v>
      </c>
      <c r="AH17" s="1">
        <f>'[1]Forward Ranks'!BR17</f>
        <v>0.82096069868995636</v>
      </c>
      <c r="AI17" s="1">
        <f>'[1]Forward Ranks'!BS17</f>
        <v>0.28820960698689957</v>
      </c>
      <c r="AJ17" s="1">
        <f>'[1]Forward Ranks'!BT17</f>
        <v>0.66593886462882101</v>
      </c>
      <c r="AL17" s="2">
        <f>'[1]Forward Ranks'!BX17</f>
        <v>0.62008733624454149</v>
      </c>
      <c r="AN17" t="str">
        <f>'[1]Forward Ranks'!B17</f>
        <v>S.J</v>
      </c>
      <c r="AO17">
        <f>'[1]F on ice'!E17</f>
        <v>68</v>
      </c>
      <c r="AP17" s="2">
        <f>'[1]Impact Score Math'!E17</f>
        <v>0.76753507014028055</v>
      </c>
      <c r="AQ17">
        <f>'[1]Impact Score Math'!G17</f>
        <v>117</v>
      </c>
      <c r="AT17" s="1">
        <f>'[1]Forward Ranks'!CJ17</f>
        <v>0.74672489082969429</v>
      </c>
      <c r="AU17" s="1">
        <f>'[1]Forward Ranks'!CK17</f>
        <v>0.20742358078602621</v>
      </c>
    </row>
    <row r="18" spans="1:47" x14ac:dyDescent="0.3">
      <c r="A18" t="str">
        <f>'[1]Forward Ranks'!A18</f>
        <v>Alexander Kerfoot</v>
      </c>
      <c r="B18">
        <f>'[1]Forward Ranks'!D18</f>
        <v>0</v>
      </c>
      <c r="C18" s="1">
        <f>'[1]Forward Ranks'!I18</f>
        <v>0.50873362445414849</v>
      </c>
      <c r="D18" s="1">
        <f>'[1]Forward Ranks'!J18</f>
        <v>0.63100436681222705</v>
      </c>
      <c r="E18" s="1">
        <f>'[1]Forward Ranks'!K18</f>
        <v>0.49781659388646288</v>
      </c>
      <c r="F18" s="1">
        <f>'[1]Forward Ranks'!L18</f>
        <v>0.4606986899563319</v>
      </c>
      <c r="G18">
        <f>'[1]Forward Ranks'!N18</f>
        <v>0</v>
      </c>
      <c r="H18" s="1">
        <f>'[1]Forward Ranks'!S18</f>
        <v>0.1222707423580786</v>
      </c>
      <c r="I18" s="1">
        <f>'[1]Forward Ranks'!T18</f>
        <v>0.65938864628820959</v>
      </c>
      <c r="J18" s="1">
        <f>'[1]Forward Ranks'!U18</f>
        <v>0.58078602620087338</v>
      </c>
      <c r="K18" s="1">
        <f>'[1]Forward Ranks'!V18</f>
        <v>0.39956331877729256</v>
      </c>
      <c r="L18">
        <f>'[1]Forward Ranks'!X18</f>
        <v>0</v>
      </c>
      <c r="M18" s="1">
        <f>'[1]Forward Ranks'!AC18</f>
        <v>0.93449781659388642</v>
      </c>
      <c r="N18" s="1">
        <f>'[1]Forward Ranks'!AD18</f>
        <v>0.77729257641921401</v>
      </c>
      <c r="O18" s="1">
        <f>'[1]Forward Ranks'!AE18</f>
        <v>0.75109170305676853</v>
      </c>
      <c r="P18" s="1">
        <f>'[1]Forward Ranks'!AF18</f>
        <v>0.88209606986899558</v>
      </c>
      <c r="Q18">
        <f>'[1]Forward Ranks'!AH18</f>
        <v>0</v>
      </c>
      <c r="R18" s="1">
        <f>'[1]Forward Ranks'!AM18</f>
        <v>0.30786026200873362</v>
      </c>
      <c r="S18" s="1">
        <f>'[1]Forward Ranks'!AN18</f>
        <v>0.1965065502183406</v>
      </c>
      <c r="T18" s="1">
        <f>'[1]Forward Ranks'!AO18</f>
        <v>0.37117903930131002</v>
      </c>
      <c r="U18" s="1">
        <f>'[1]Forward Ranks'!AP18</f>
        <v>0.16157205240174671</v>
      </c>
      <c r="V18">
        <f>'[1]Forward Ranks'!AR18</f>
        <v>0</v>
      </c>
      <c r="W18" s="1">
        <f>'[1]Forward Ranks'!AW18</f>
        <v>0.91921397379912662</v>
      </c>
      <c r="X18" s="1">
        <f>'[1]Forward Ranks'!AX18</f>
        <v>0.80349344978165937</v>
      </c>
      <c r="Y18" s="1">
        <f>'[1]Forward Ranks'!AY18</f>
        <v>0.49781659388646288</v>
      </c>
      <c r="Z18" s="1">
        <f>'[1]Forward Ranks'!AZ18</f>
        <v>0.86244541484716153</v>
      </c>
      <c r="AA18">
        <f>'[1]Forward Ranks'!BB18</f>
        <v>0</v>
      </c>
      <c r="AB18" s="1">
        <f>'[1]Forward Ranks'!BG18</f>
        <v>0.42576419213973798</v>
      </c>
      <c r="AC18" s="1">
        <f>'[1]Forward Ranks'!BH18</f>
        <v>0.22489082969432314</v>
      </c>
      <c r="AD18" s="1">
        <f>'[1]Forward Ranks'!BI18</f>
        <v>0.51528384279475981</v>
      </c>
      <c r="AE18" s="1">
        <f>'[1]Forward Ranks'!BJ18</f>
        <v>0.54803493449781659</v>
      </c>
      <c r="AF18">
        <f>'[1]Forward Ranks'!BL18</f>
        <v>0</v>
      </c>
      <c r="AG18" s="1">
        <f>'[1]Forward Ranks'!BQ18</f>
        <v>0.76855895196506552</v>
      </c>
      <c r="AH18" s="1">
        <f>'[1]Forward Ranks'!BR18</f>
        <v>0.74017467248908297</v>
      </c>
      <c r="AI18" s="1">
        <f>'[1]Forward Ranks'!BS18</f>
        <v>0.67030567685589515</v>
      </c>
      <c r="AJ18" s="1">
        <f>'[1]Forward Ranks'!BT18</f>
        <v>0.74017467248908297</v>
      </c>
      <c r="AL18" s="2">
        <f>'[1]Forward Ranks'!BX18</f>
        <v>0.63318777292576423</v>
      </c>
      <c r="AN18" t="str">
        <f>'[1]Forward Ranks'!B18</f>
        <v>TOR</v>
      </c>
      <c r="AO18">
        <f>'[1]F on ice'!E18</f>
        <v>82</v>
      </c>
      <c r="AP18" s="2">
        <f>'[1]Impact Score Math'!E18</f>
        <v>0.64729458917835669</v>
      </c>
      <c r="AQ18">
        <f>'[1]Impact Score Math'!G18</f>
        <v>177</v>
      </c>
      <c r="AT18" s="1">
        <f>'[1]Forward Ranks'!CJ18</f>
        <v>0.34934497816593885</v>
      </c>
      <c r="AU18" s="1">
        <f>'[1]Forward Ranks'!CK18</f>
        <v>0.59170305676855894</v>
      </c>
    </row>
    <row r="19" spans="1:47" x14ac:dyDescent="0.3">
      <c r="A19" t="str">
        <f>'[1]Forward Ranks'!A19</f>
        <v>Alexey Toropchenko</v>
      </c>
      <c r="B19">
        <f>'[1]Forward Ranks'!D19</f>
        <v>0</v>
      </c>
      <c r="C19" s="1">
        <f>'[1]Forward Ranks'!I19</f>
        <v>4.3668122270742356E-2</v>
      </c>
      <c r="D19" s="1">
        <f>'[1]Forward Ranks'!J19</f>
        <v>0.2205240174672489</v>
      </c>
      <c r="E19" s="1">
        <f>'[1]Forward Ranks'!K19</f>
        <v>0.36244541484716158</v>
      </c>
      <c r="F19" s="1">
        <f>'[1]Forward Ranks'!L19</f>
        <v>0.10262008733624454</v>
      </c>
      <c r="G19">
        <f>'[1]Forward Ranks'!N19</f>
        <v>0</v>
      </c>
      <c r="H19" s="1">
        <f>'[1]Forward Ranks'!S19</f>
        <v>0.46724890829694321</v>
      </c>
      <c r="I19" s="1">
        <f>'[1]Forward Ranks'!T19</f>
        <v>0.29694323144104806</v>
      </c>
      <c r="J19" s="1">
        <f>'[1]Forward Ranks'!U19</f>
        <v>0.31004366812227074</v>
      </c>
      <c r="K19" s="1">
        <f>'[1]Forward Ranks'!V19</f>
        <v>0.32096069868995636</v>
      </c>
      <c r="L19">
        <f>'[1]Forward Ranks'!X19</f>
        <v>0</v>
      </c>
      <c r="M19" s="1">
        <f>'[1]Forward Ranks'!AC19</f>
        <v>0.74672489082969429</v>
      </c>
      <c r="N19" s="1">
        <f>'[1]Forward Ranks'!AD19</f>
        <v>0.69213973799126638</v>
      </c>
      <c r="O19" s="1">
        <f>'[1]Forward Ranks'!AE19</f>
        <v>0.9126637554585153</v>
      </c>
      <c r="P19" s="1">
        <f>'[1]Forward Ranks'!AF19</f>
        <v>0.67248908296943233</v>
      </c>
      <c r="Q19">
        <f>'[1]Forward Ranks'!AH19</f>
        <v>0</v>
      </c>
      <c r="R19" s="1">
        <f>'[1]Forward Ranks'!AM19</f>
        <v>0.11135371179039301</v>
      </c>
      <c r="S19" s="1">
        <f>'[1]Forward Ranks'!AN19</f>
        <v>0.56768558951965065</v>
      </c>
      <c r="T19" s="1">
        <f>'[1]Forward Ranks'!AO19</f>
        <v>0.3296943231441048</v>
      </c>
      <c r="U19" s="1">
        <f>'[1]Forward Ranks'!AP19</f>
        <v>0.26200873362445415</v>
      </c>
      <c r="V19">
        <f>'[1]Forward Ranks'!AR19</f>
        <v>0</v>
      </c>
      <c r="W19" s="1">
        <f>'[1]Forward Ranks'!AW19</f>
        <v>0.96724890829694321</v>
      </c>
      <c r="X19" s="1">
        <f>'[1]Forward Ranks'!AX19</f>
        <v>0.91921397379912662</v>
      </c>
      <c r="Y19" s="1">
        <f>'[1]Forward Ranks'!AY19</f>
        <v>0.98034934497816595</v>
      </c>
      <c r="Z19" s="1">
        <f>'[1]Forward Ranks'!AZ19</f>
        <v>0.95633187772925765</v>
      </c>
      <c r="AA19">
        <f>'[1]Forward Ranks'!BB19</f>
        <v>0</v>
      </c>
      <c r="AB19" s="1">
        <f>'[1]Forward Ranks'!BG19</f>
        <v>0.2423580786026201</v>
      </c>
      <c r="AC19" s="1">
        <f>'[1]Forward Ranks'!BH19</f>
        <v>0.22925764192139739</v>
      </c>
      <c r="AD19" s="1">
        <f>'[1]Forward Ranks'!BI19</f>
        <v>0.74017467248908297</v>
      </c>
      <c r="AE19" s="1">
        <f>'[1]Forward Ranks'!BJ19</f>
        <v>0.87991266375545851</v>
      </c>
      <c r="AF19">
        <f>'[1]Forward Ranks'!BL19</f>
        <v>0</v>
      </c>
      <c r="AG19" s="1">
        <f>'[1]Forward Ranks'!BQ19</f>
        <v>0.19868995633187772</v>
      </c>
      <c r="AH19" s="1">
        <f>'[1]Forward Ranks'!BR19</f>
        <v>0.36899563318777295</v>
      </c>
      <c r="AI19" s="1">
        <f>'[1]Forward Ranks'!BS19</f>
        <v>0.77947598253275108</v>
      </c>
      <c r="AJ19" s="1">
        <f>'[1]Forward Ranks'!BT19</f>
        <v>0.23580786026200873</v>
      </c>
      <c r="AL19" s="2">
        <f>'[1]Forward Ranks'!BX19</f>
        <v>0.37117903930131002</v>
      </c>
      <c r="AN19" t="str">
        <f>'[1]Forward Ranks'!B19</f>
        <v>STL</v>
      </c>
      <c r="AO19">
        <f>'[1]F on ice'!E19</f>
        <v>69</v>
      </c>
      <c r="AP19" s="2">
        <f>'[1]Impact Score Math'!E19</f>
        <v>0.39278557114228457</v>
      </c>
      <c r="AQ19">
        <f>'[1]Impact Score Math'!G19</f>
        <v>304</v>
      </c>
      <c r="AT19" s="1">
        <f>'[1]Forward Ranks'!CJ19</f>
        <v>0.86899563318777295</v>
      </c>
      <c r="AU19" s="1">
        <f>'[1]Forward Ranks'!CK19</f>
        <v>0.37336244541484714</v>
      </c>
    </row>
    <row r="20" spans="1:47" x14ac:dyDescent="0.3">
      <c r="A20" t="str">
        <f>'[1]Forward Ranks'!A20</f>
        <v>Alexis Lafrenière</v>
      </c>
      <c r="B20">
        <f>'[1]Forward Ranks'!D20</f>
        <v>0</v>
      </c>
      <c r="C20" s="1">
        <f>'[1]Forward Ranks'!I20</f>
        <v>0.43886462882096072</v>
      </c>
      <c r="D20" s="1">
        <f>'[1]Forward Ranks'!J20</f>
        <v>0.48253275109170307</v>
      </c>
      <c r="E20" s="1">
        <f>'[1]Forward Ranks'!K20</f>
        <v>0.64628820960698685</v>
      </c>
      <c r="F20" s="1">
        <f>'[1]Forward Ranks'!L20</f>
        <v>0.42358078602620086</v>
      </c>
      <c r="G20">
        <f>'[1]Forward Ranks'!N20</f>
        <v>0</v>
      </c>
      <c r="H20" s="1">
        <f>'[1]Forward Ranks'!S20</f>
        <v>0.50218340611353707</v>
      </c>
      <c r="I20" s="1">
        <f>'[1]Forward Ranks'!T20</f>
        <v>0.51528384279475981</v>
      </c>
      <c r="J20" s="1">
        <f>'[1]Forward Ranks'!U20</f>
        <v>0.34934497816593885</v>
      </c>
      <c r="K20" s="1">
        <f>'[1]Forward Ranks'!V20</f>
        <v>0.50218340611353707</v>
      </c>
      <c r="L20">
        <f>'[1]Forward Ranks'!X20</f>
        <v>0</v>
      </c>
      <c r="M20" s="1">
        <f>'[1]Forward Ranks'!AC20</f>
        <v>0.77074235807860259</v>
      </c>
      <c r="N20" s="1">
        <f>'[1]Forward Ranks'!AD20</f>
        <v>0.40393013100436681</v>
      </c>
      <c r="O20" s="1">
        <f>'[1]Forward Ranks'!AE20</f>
        <v>0.51965065502183405</v>
      </c>
      <c r="P20" s="1">
        <f>'[1]Forward Ranks'!AF20</f>
        <v>0.45414847161572053</v>
      </c>
      <c r="Q20">
        <f>'[1]Forward Ranks'!AH20</f>
        <v>0</v>
      </c>
      <c r="R20" s="1">
        <f>'[1]Forward Ranks'!AM20</f>
        <v>0.54148471615720528</v>
      </c>
      <c r="S20" s="1">
        <f>'[1]Forward Ranks'!AN20</f>
        <v>0.47816593886462883</v>
      </c>
      <c r="T20" s="1">
        <f>'[1]Forward Ranks'!AO20</f>
        <v>0.57423580786026196</v>
      </c>
      <c r="U20" s="1">
        <f>'[1]Forward Ranks'!AP20</f>
        <v>0.5</v>
      </c>
      <c r="V20">
        <f>'[1]Forward Ranks'!AR20</f>
        <v>0</v>
      </c>
      <c r="W20" s="1">
        <f>'[1]Forward Ranks'!AW20</f>
        <v>0.63755458515283847</v>
      </c>
      <c r="X20" s="1">
        <f>'[1]Forward Ranks'!AX20</f>
        <v>0.48689956331877732</v>
      </c>
      <c r="Y20" s="1">
        <f>'[1]Forward Ranks'!AY20</f>
        <v>0.29475982532751094</v>
      </c>
      <c r="Z20" s="1">
        <f>'[1]Forward Ranks'!AZ20</f>
        <v>0.39082969432314413</v>
      </c>
      <c r="AA20">
        <f>'[1]Forward Ranks'!BB20</f>
        <v>0</v>
      </c>
      <c r="AB20" s="1">
        <f>'[1]Forward Ranks'!BG20</f>
        <v>0.75764192139737996</v>
      </c>
      <c r="AC20" s="1">
        <f>'[1]Forward Ranks'!BH20</f>
        <v>0.82314410480349343</v>
      </c>
      <c r="AD20" s="1">
        <f>'[1]Forward Ranks'!BI20</f>
        <v>0.71615720524017468</v>
      </c>
      <c r="AE20" s="1">
        <f>'[1]Forward Ranks'!BJ20</f>
        <v>0.59388646288209612</v>
      </c>
      <c r="AF20">
        <f>'[1]Forward Ranks'!BL20</f>
        <v>0</v>
      </c>
      <c r="AG20" s="1">
        <f>'[1]Forward Ranks'!BQ20</f>
        <v>0.61353711790393017</v>
      </c>
      <c r="AH20" s="1">
        <f>'[1]Forward Ranks'!BR20</f>
        <v>0.41921397379912662</v>
      </c>
      <c r="AI20" s="1">
        <f>'[1]Forward Ranks'!BS20</f>
        <v>0.61572052401746724</v>
      </c>
      <c r="AJ20" s="1">
        <f>'[1]Forward Ranks'!BT20</f>
        <v>0.40829694323144106</v>
      </c>
      <c r="AL20" s="2">
        <f>'[1]Forward Ranks'!BX20</f>
        <v>0.53711790393013104</v>
      </c>
      <c r="AN20" t="str">
        <f>'[1]Forward Ranks'!B20</f>
        <v>NYR</v>
      </c>
      <c r="AO20">
        <f>'[1]F on ice'!E20</f>
        <v>81</v>
      </c>
      <c r="AP20" s="2">
        <f>'[1]Impact Score Math'!E20</f>
        <v>0.65731462925851702</v>
      </c>
      <c r="AQ20">
        <f>'[1]Impact Score Math'!G20</f>
        <v>172</v>
      </c>
      <c r="AT20" s="1">
        <f>'[1]Forward Ranks'!CJ20</f>
        <v>0.51091703056768556</v>
      </c>
      <c r="AU20" s="1">
        <f>'[1]Forward Ranks'!CK20</f>
        <v>0.48471615720524019</v>
      </c>
    </row>
    <row r="21" spans="1:47" x14ac:dyDescent="0.3">
      <c r="A21" t="str">
        <f>'[1]Forward Ranks'!A21</f>
        <v>Aliaksei Protas</v>
      </c>
      <c r="B21">
        <f>'[1]Forward Ranks'!D21</f>
        <v>0</v>
      </c>
      <c r="C21" s="1">
        <f>'[1]Forward Ranks'!I21</f>
        <v>0.59388646288209612</v>
      </c>
      <c r="D21" s="1">
        <f>'[1]Forward Ranks'!J21</f>
        <v>0.5</v>
      </c>
      <c r="E21" s="1">
        <f>'[1]Forward Ranks'!K21</f>
        <v>0.28820960698689957</v>
      </c>
      <c r="F21" s="1">
        <f>'[1]Forward Ranks'!L21</f>
        <v>0.52838427947598254</v>
      </c>
      <c r="G21">
        <f>'[1]Forward Ranks'!N21</f>
        <v>0</v>
      </c>
      <c r="H21" s="1">
        <f>'[1]Forward Ranks'!S21</f>
        <v>0.1222707423580786</v>
      </c>
      <c r="I21" s="1">
        <f>'[1]Forward Ranks'!T21</f>
        <v>0.59606986899563319</v>
      </c>
      <c r="J21" s="1">
        <f>'[1]Forward Ranks'!U21</f>
        <v>0.39519650655021832</v>
      </c>
      <c r="K21" s="1">
        <f>'[1]Forward Ranks'!V21</f>
        <v>0.34497816593886466</v>
      </c>
      <c r="L21">
        <f>'[1]Forward Ranks'!X21</f>
        <v>0</v>
      </c>
      <c r="M21" s="1">
        <f>'[1]Forward Ranks'!AC21</f>
        <v>0.8973799126637555</v>
      </c>
      <c r="N21" s="1">
        <f>'[1]Forward Ranks'!AD21</f>
        <v>0.93231441048034935</v>
      </c>
      <c r="O21" s="1">
        <f>'[1]Forward Ranks'!AE21</f>
        <v>0.4366812227074236</v>
      </c>
      <c r="P21" s="1">
        <f>'[1]Forward Ranks'!AF21</f>
        <v>0.93886462882096067</v>
      </c>
      <c r="Q21">
        <f>'[1]Forward Ranks'!AH21</f>
        <v>0</v>
      </c>
      <c r="R21" s="1">
        <f>'[1]Forward Ranks'!AM21</f>
        <v>0.55895196506550215</v>
      </c>
      <c r="S21" s="1">
        <f>'[1]Forward Ranks'!AN21</f>
        <v>0.56986899563318782</v>
      </c>
      <c r="T21" s="1">
        <f>'[1]Forward Ranks'!AO21</f>
        <v>0.25327510917030566</v>
      </c>
      <c r="U21" s="1">
        <f>'[1]Forward Ranks'!AP21</f>
        <v>0.49344978165938863</v>
      </c>
      <c r="V21">
        <f>'[1]Forward Ranks'!AR21</f>
        <v>0</v>
      </c>
      <c r="W21" s="1">
        <f>'[1]Forward Ranks'!AW21</f>
        <v>0.98471615720524019</v>
      </c>
      <c r="X21" s="1">
        <f>'[1]Forward Ranks'!AX21</f>
        <v>0.97816593886462877</v>
      </c>
      <c r="Y21" s="1">
        <f>'[1]Forward Ranks'!AY21</f>
        <v>0.4759825327510917</v>
      </c>
      <c r="Z21" s="1">
        <f>'[1]Forward Ranks'!AZ21</f>
        <v>0.9759825327510917</v>
      </c>
      <c r="AA21">
        <f>'[1]Forward Ranks'!BB21</f>
        <v>0</v>
      </c>
      <c r="AB21" s="1">
        <f>'[1]Forward Ranks'!BG21</f>
        <v>0.29039301310043669</v>
      </c>
      <c r="AC21" s="1">
        <f>'[1]Forward Ranks'!BH21</f>
        <v>6.3318777292576414E-2</v>
      </c>
      <c r="AD21" s="1">
        <f>'[1]Forward Ranks'!BI21</f>
        <v>0.23144104803493451</v>
      </c>
      <c r="AE21" s="1">
        <f>'[1]Forward Ranks'!BJ21</f>
        <v>8.9519650655021835E-2</v>
      </c>
      <c r="AF21">
        <f>'[1]Forward Ranks'!BL21</f>
        <v>0</v>
      </c>
      <c r="AG21" s="1">
        <f>'[1]Forward Ranks'!BQ21</f>
        <v>0.81222707423580787</v>
      </c>
      <c r="AH21" s="1">
        <f>'[1]Forward Ranks'!BR21</f>
        <v>0.77292576419213976</v>
      </c>
      <c r="AI21" s="1">
        <f>'[1]Forward Ranks'!BS21</f>
        <v>0.29257641921397382</v>
      </c>
      <c r="AJ21" s="1">
        <f>'[1]Forward Ranks'!BT21</f>
        <v>0.82314410480349343</v>
      </c>
      <c r="AL21" s="2">
        <f>'[1]Forward Ranks'!BX21</f>
        <v>0.8253275109170306</v>
      </c>
      <c r="AN21" t="str">
        <f>'[1]Forward Ranks'!B21</f>
        <v>WSH</v>
      </c>
      <c r="AO21">
        <f>'[1]F on ice'!E21</f>
        <v>58</v>
      </c>
      <c r="AP21" s="2">
        <f>'[1]Impact Score Math'!E21</f>
        <v>0.70741482965931868</v>
      </c>
      <c r="AQ21">
        <f>'[1]Impact Score Math'!G21</f>
        <v>147</v>
      </c>
      <c r="AT21" s="1">
        <f>'[1]Forward Ranks'!CJ21</f>
        <v>0.66593886462882101</v>
      </c>
      <c r="AU21" s="1">
        <f>'[1]Forward Ranks'!CK21</f>
        <v>1.0917030567685589E-2</v>
      </c>
    </row>
    <row r="22" spans="1:47" x14ac:dyDescent="0.3">
      <c r="A22" t="str">
        <f>'[1]Forward Ranks'!A22</f>
        <v>Anders Lee</v>
      </c>
      <c r="B22">
        <f>'[1]Forward Ranks'!D22</f>
        <v>0</v>
      </c>
      <c r="C22" s="1">
        <f>'[1]Forward Ranks'!I22</f>
        <v>0.87554585152838427</v>
      </c>
      <c r="D22" s="1">
        <f>'[1]Forward Ranks'!J22</f>
        <v>0.92576419213973804</v>
      </c>
      <c r="E22" s="1">
        <f>'[1]Forward Ranks'!K22</f>
        <v>0.73144104803493448</v>
      </c>
      <c r="F22" s="1">
        <f>'[1]Forward Ranks'!L22</f>
        <v>0.91048034934497812</v>
      </c>
      <c r="G22">
        <f>'[1]Forward Ranks'!N22</f>
        <v>0</v>
      </c>
      <c r="H22" s="1">
        <f>'[1]Forward Ranks'!S22</f>
        <v>0.84716157205240172</v>
      </c>
      <c r="I22" s="1">
        <f>'[1]Forward Ranks'!T22</f>
        <v>0.1703056768558952</v>
      </c>
      <c r="J22" s="1">
        <f>'[1]Forward Ranks'!U22</f>
        <v>0.26637554585152839</v>
      </c>
      <c r="K22" s="1">
        <f>'[1]Forward Ranks'!V22</f>
        <v>0.55240174672489084</v>
      </c>
      <c r="L22">
        <f>'[1]Forward Ranks'!X22</f>
        <v>0</v>
      </c>
      <c r="M22" s="1">
        <f>'[1]Forward Ranks'!AC22</f>
        <v>0.42358078602620086</v>
      </c>
      <c r="N22" s="1">
        <f>'[1]Forward Ranks'!AD22</f>
        <v>0.40829694323144106</v>
      </c>
      <c r="O22" s="1">
        <f>'[1]Forward Ranks'!AE22</f>
        <v>0.51310043668122274</v>
      </c>
      <c r="P22" s="1">
        <f>'[1]Forward Ranks'!AF22</f>
        <v>0.37554585152838427</v>
      </c>
      <c r="Q22">
        <f>'[1]Forward Ranks'!AH22</f>
        <v>0</v>
      </c>
      <c r="R22" s="1">
        <f>'[1]Forward Ranks'!AM22</f>
        <v>0.94541484716157209</v>
      </c>
      <c r="S22" s="1">
        <f>'[1]Forward Ranks'!AN22</f>
        <v>0.97816593886462877</v>
      </c>
      <c r="T22" s="1">
        <f>'[1]Forward Ranks'!AO22</f>
        <v>0.72925764192139741</v>
      </c>
      <c r="U22" s="1">
        <f>'[1]Forward Ranks'!AP22</f>
        <v>0.96288209606986896</v>
      </c>
      <c r="V22">
        <f>'[1]Forward Ranks'!AR22</f>
        <v>0</v>
      </c>
      <c r="W22" s="1">
        <f>'[1]Forward Ranks'!AW22</f>
        <v>0.55458515283842791</v>
      </c>
      <c r="X22" s="1">
        <f>'[1]Forward Ranks'!AX22</f>
        <v>0.65283842794759828</v>
      </c>
      <c r="Y22" s="1">
        <f>'[1]Forward Ranks'!AY22</f>
        <v>0.15283842794759825</v>
      </c>
      <c r="Z22" s="1">
        <f>'[1]Forward Ranks'!AZ22</f>
        <v>0.49563318777292575</v>
      </c>
      <c r="AA22">
        <f>'[1]Forward Ranks'!BB22</f>
        <v>0</v>
      </c>
      <c r="AB22" s="1">
        <f>'[1]Forward Ranks'!BG22</f>
        <v>0.76637554585152834</v>
      </c>
      <c r="AC22" s="1">
        <f>'[1]Forward Ranks'!BH22</f>
        <v>0.8973799126637555</v>
      </c>
      <c r="AD22" s="1">
        <f>'[1]Forward Ranks'!BI22</f>
        <v>0.59606986899563319</v>
      </c>
      <c r="AE22" s="1">
        <f>'[1]Forward Ranks'!BJ22</f>
        <v>0.57860262008733621</v>
      </c>
      <c r="AF22">
        <f>'[1]Forward Ranks'!BL22</f>
        <v>0</v>
      </c>
      <c r="AG22" s="1">
        <f>'[1]Forward Ranks'!BQ22</f>
        <v>0.78165938864628826</v>
      </c>
      <c r="AH22" s="1">
        <f>'[1]Forward Ranks'!BR22</f>
        <v>0.85589519650655022</v>
      </c>
      <c r="AI22" s="1">
        <f>'[1]Forward Ranks'!BS22</f>
        <v>0.67248908296943233</v>
      </c>
      <c r="AJ22" s="1">
        <f>'[1]Forward Ranks'!BT22</f>
        <v>0.82751091703056767</v>
      </c>
      <c r="AL22" s="2">
        <f>'[1]Forward Ranks'!BX22</f>
        <v>0.82096069868995636</v>
      </c>
      <c r="AN22" t="str">
        <f>'[1]Forward Ranks'!B22</f>
        <v>NYI</v>
      </c>
      <c r="AO22">
        <f>'[1]F on ice'!E22</f>
        <v>82</v>
      </c>
      <c r="AP22" s="2">
        <f>'[1]Impact Score Math'!E22</f>
        <v>0.86372745490981961</v>
      </c>
      <c r="AQ22">
        <f>'[1]Impact Score Math'!G22</f>
        <v>69</v>
      </c>
      <c r="AT22" s="1">
        <f>'[1]Forward Ranks'!CJ22</f>
        <v>0.38209606986899564</v>
      </c>
      <c r="AU22" s="1">
        <f>'[1]Forward Ranks'!CK22</f>
        <v>0.64192139737991272</v>
      </c>
    </row>
    <row r="23" spans="1:47" x14ac:dyDescent="0.3">
      <c r="A23" t="str">
        <f>'[1]Forward Ranks'!A23</f>
        <v>Andre Burakovsky</v>
      </c>
      <c r="B23">
        <f>'[1]Forward Ranks'!D23</f>
        <v>0</v>
      </c>
      <c r="C23" s="1">
        <f>'[1]Forward Ranks'!I23</f>
        <v>0.60480349344978168</v>
      </c>
      <c r="D23" s="1">
        <f>'[1]Forward Ranks'!J23</f>
        <v>0.14192139737991266</v>
      </c>
      <c r="E23" s="1">
        <f>'[1]Forward Ranks'!K23</f>
        <v>0.63100436681222705</v>
      </c>
      <c r="F23" s="1">
        <f>'[1]Forward Ranks'!L23</f>
        <v>0.37336244541484714</v>
      </c>
      <c r="G23">
        <f>'[1]Forward Ranks'!N23</f>
        <v>0</v>
      </c>
      <c r="H23" s="1">
        <f>'[1]Forward Ranks'!S23</f>
        <v>0.6026200873362445</v>
      </c>
      <c r="I23" s="1">
        <f>'[1]Forward Ranks'!T23</f>
        <v>0.79912663755458513</v>
      </c>
      <c r="J23" s="1">
        <f>'[1]Forward Ranks'!U23</f>
        <v>0.8733624454148472</v>
      </c>
      <c r="K23" s="1">
        <f>'[1]Forward Ranks'!V23</f>
        <v>0.75545851528384278</v>
      </c>
      <c r="L23">
        <f>'[1]Forward Ranks'!X23</f>
        <v>0</v>
      </c>
      <c r="M23" s="1">
        <f>'[1]Forward Ranks'!AC23</f>
        <v>0.50436681222707425</v>
      </c>
      <c r="N23" s="1">
        <f>'[1]Forward Ranks'!AD23</f>
        <v>0.13755458515283842</v>
      </c>
      <c r="O23" s="1">
        <f>'[1]Forward Ranks'!AE23</f>
        <v>0.36462882096069871</v>
      </c>
      <c r="P23" s="1">
        <f>'[1]Forward Ranks'!AF23</f>
        <v>0.14847161572052403</v>
      </c>
      <c r="Q23">
        <f>'[1]Forward Ranks'!AH23</f>
        <v>0</v>
      </c>
      <c r="R23" s="1">
        <f>'[1]Forward Ranks'!AM23</f>
        <v>0.54803493449781659</v>
      </c>
      <c r="S23" s="1">
        <f>'[1]Forward Ranks'!AN23</f>
        <v>0.23144104803493451</v>
      </c>
      <c r="T23" s="1">
        <f>'[1]Forward Ranks'!AO23</f>
        <v>0.21179039301310043</v>
      </c>
      <c r="U23" s="1">
        <f>'[1]Forward Ranks'!AP23</f>
        <v>0.37772925764192139</v>
      </c>
      <c r="V23">
        <f>'[1]Forward Ranks'!AR23</f>
        <v>0</v>
      </c>
      <c r="W23" s="1">
        <f>'[1]Forward Ranks'!AW23</f>
        <v>8.296943231441048E-2</v>
      </c>
      <c r="X23" s="1">
        <f>'[1]Forward Ranks'!AX23</f>
        <v>2.6200873362445413E-2</v>
      </c>
      <c r="Y23" s="1">
        <f>'[1]Forward Ranks'!AY23</f>
        <v>0.1091703056768559</v>
      </c>
      <c r="Z23" s="1">
        <f>'[1]Forward Ranks'!AZ23</f>
        <v>1.9650655021834062E-2</v>
      </c>
      <c r="AA23">
        <f>'[1]Forward Ranks'!BB23</f>
        <v>0</v>
      </c>
      <c r="AB23" s="1">
        <f>'[1]Forward Ranks'!BG23</f>
        <v>0.75982532751091703</v>
      </c>
      <c r="AC23" s="1">
        <f>'[1]Forward Ranks'!BH23</f>
        <v>0.68340611353711789</v>
      </c>
      <c r="AD23" s="1">
        <f>'[1]Forward Ranks'!BI23</f>
        <v>0.59170305676855894</v>
      </c>
      <c r="AE23" s="1">
        <f>'[1]Forward Ranks'!BJ23</f>
        <v>0.41484716157205243</v>
      </c>
      <c r="AF23">
        <f>'[1]Forward Ranks'!BL23</f>
        <v>0</v>
      </c>
      <c r="AG23" s="1">
        <f>'[1]Forward Ranks'!BQ23</f>
        <v>0.57423580786026196</v>
      </c>
      <c r="AH23" s="1">
        <f>'[1]Forward Ranks'!BR23</f>
        <v>0.10043668122270742</v>
      </c>
      <c r="AI23" s="1">
        <f>'[1]Forward Ranks'!BS23</f>
        <v>0.48471615720524019</v>
      </c>
      <c r="AJ23" s="1">
        <f>'[1]Forward Ranks'!BT23</f>
        <v>0.23144104803493451</v>
      </c>
      <c r="AL23" s="2">
        <f>'[1]Forward Ranks'!BX23</f>
        <v>0.33842794759825329</v>
      </c>
      <c r="AN23" t="str">
        <f>'[1]Forward Ranks'!B23</f>
        <v>SEA</v>
      </c>
      <c r="AO23">
        <f>'[1]F on ice'!E23</f>
        <v>49</v>
      </c>
      <c r="AP23" s="2">
        <f>'[1]Impact Score Math'!E23</f>
        <v>0.4849699398797595</v>
      </c>
      <c r="AQ23">
        <f>'[1]Impact Score Math'!G23</f>
        <v>258</v>
      </c>
      <c r="AT23" s="1">
        <f>'[1]Forward Ranks'!CJ23</f>
        <v>0.57641921397379914</v>
      </c>
      <c r="AU23" s="1">
        <f>'[1]Forward Ranks'!CK23</f>
        <v>0.46724890829694321</v>
      </c>
    </row>
    <row r="24" spans="1:47" x14ac:dyDescent="0.3">
      <c r="A24" t="str">
        <f>'[1]Forward Ranks'!A24</f>
        <v>Andreas Athanasiou</v>
      </c>
      <c r="B24">
        <f>'[1]Forward Ranks'!D24</f>
        <v>0</v>
      </c>
      <c r="C24" s="1">
        <f>'[1]Forward Ranks'!I24</f>
        <v>0.27510917030567683</v>
      </c>
      <c r="D24" s="1">
        <f>'[1]Forward Ranks'!J24</f>
        <v>0.26200873362445415</v>
      </c>
      <c r="E24" s="1">
        <f>'[1]Forward Ranks'!K24</f>
        <v>0.26637554585152839</v>
      </c>
      <c r="F24" s="1">
        <f>'[1]Forward Ranks'!L24</f>
        <v>0.23362445414847161</v>
      </c>
      <c r="G24">
        <f>'[1]Forward Ranks'!N24</f>
        <v>0</v>
      </c>
      <c r="H24" s="1">
        <f>'[1]Forward Ranks'!S24</f>
        <v>0.63318777292576423</v>
      </c>
      <c r="I24" s="1">
        <f>'[1]Forward Ranks'!T24</f>
        <v>0.2816593886462882</v>
      </c>
      <c r="J24" s="1">
        <f>'[1]Forward Ranks'!U24</f>
        <v>0.34934497816593885</v>
      </c>
      <c r="K24" s="1">
        <f>'[1]Forward Ranks'!V24</f>
        <v>0.41484716157205243</v>
      </c>
      <c r="L24">
        <f>'[1]Forward Ranks'!X24</f>
        <v>0</v>
      </c>
      <c r="M24" s="1">
        <f>'[1]Forward Ranks'!AC24</f>
        <v>8.296943231441048E-2</v>
      </c>
      <c r="N24" s="1">
        <f>'[1]Forward Ranks'!AD24</f>
        <v>0.14410480349344978</v>
      </c>
      <c r="O24" s="1">
        <f>'[1]Forward Ranks'!AE24</f>
        <v>0.16375545851528384</v>
      </c>
      <c r="P24" s="1">
        <f>'[1]Forward Ranks'!AF24</f>
        <v>0.11353711790393013</v>
      </c>
      <c r="Q24">
        <f>'[1]Forward Ranks'!AH24</f>
        <v>0</v>
      </c>
      <c r="R24" s="1">
        <f>'[1]Forward Ranks'!AM24</f>
        <v>0.75545851528384278</v>
      </c>
      <c r="S24" s="1">
        <f>'[1]Forward Ranks'!AN24</f>
        <v>0.78384279475982532</v>
      </c>
      <c r="T24" s="1">
        <f>'[1]Forward Ranks'!AO24</f>
        <v>0.58515283842794763</v>
      </c>
      <c r="U24" s="1">
        <f>'[1]Forward Ranks'!AP24</f>
        <v>0.71179039301310043</v>
      </c>
      <c r="V24">
        <f>'[1]Forward Ranks'!AR24</f>
        <v>0</v>
      </c>
      <c r="W24" s="1">
        <f>'[1]Forward Ranks'!AW24</f>
        <v>0.15283842794759825</v>
      </c>
      <c r="X24" s="1">
        <f>'[1]Forward Ranks'!AX24</f>
        <v>0.25327510917030566</v>
      </c>
      <c r="Y24" s="1">
        <f>'[1]Forward Ranks'!AY24</f>
        <v>0.39737991266375544</v>
      </c>
      <c r="Z24" s="1">
        <f>'[1]Forward Ranks'!AZ24</f>
        <v>0.16375545851528384</v>
      </c>
      <c r="AA24">
        <f>'[1]Forward Ranks'!BB24</f>
        <v>0</v>
      </c>
      <c r="AB24" s="1">
        <f>'[1]Forward Ranks'!BG24</f>
        <v>0.78165938864628826</v>
      </c>
      <c r="AC24" s="1">
        <f>'[1]Forward Ranks'!BH24</f>
        <v>0.55458515283842791</v>
      </c>
      <c r="AD24" s="1">
        <f>'[1]Forward Ranks'!BI24</f>
        <v>0.32751091703056767</v>
      </c>
      <c r="AE24" s="1">
        <f>'[1]Forward Ranks'!BJ24</f>
        <v>0.31877729257641924</v>
      </c>
      <c r="AF24">
        <f>'[1]Forward Ranks'!BL24</f>
        <v>0</v>
      </c>
      <c r="AG24" s="1">
        <f>'[1]Forward Ranks'!BQ24</f>
        <v>0.1222707423580786</v>
      </c>
      <c r="AH24" s="1">
        <f>'[1]Forward Ranks'!BR24</f>
        <v>0.18340611353711792</v>
      </c>
      <c r="AI24" s="1">
        <f>'[1]Forward Ranks'!BS24</f>
        <v>0.14410480349344978</v>
      </c>
      <c r="AJ24" s="1">
        <f>'[1]Forward Ranks'!BT24</f>
        <v>0.11572052401746726</v>
      </c>
      <c r="AL24" s="2">
        <f>'[1]Forward Ranks'!BX24</f>
        <v>0.22270742358078602</v>
      </c>
      <c r="AN24" t="str">
        <f>'[1]Forward Ranks'!B24</f>
        <v>CHI</v>
      </c>
      <c r="AO24">
        <f>'[1]F on ice'!E24</f>
        <v>81</v>
      </c>
      <c r="AP24" s="2">
        <f>'[1]Impact Score Math'!E24</f>
        <v>0.38877755511022044</v>
      </c>
      <c r="AQ24">
        <f>'[1]Impact Score Math'!G24</f>
        <v>306</v>
      </c>
      <c r="AT24" s="1">
        <f>'[1]Forward Ranks'!CJ24</f>
        <v>0.73362445414847166</v>
      </c>
      <c r="AU24" s="1">
        <f>'[1]Forward Ranks'!CK24</f>
        <v>0.36244541484716158</v>
      </c>
    </row>
    <row r="25" spans="1:47" x14ac:dyDescent="0.3">
      <c r="A25" t="str">
        <f>'[1]Forward Ranks'!A25</f>
        <v>Andrei Kuzmenko</v>
      </c>
      <c r="B25">
        <f>'[1]Forward Ranks'!D25</f>
        <v>0</v>
      </c>
      <c r="C25" s="1">
        <f>'[1]Forward Ranks'!I25</f>
        <v>0.41703056768558949</v>
      </c>
      <c r="D25" s="1">
        <f>'[1]Forward Ranks'!J25</f>
        <v>0.57860262008733621</v>
      </c>
      <c r="E25" s="1">
        <f>'[1]Forward Ranks'!K25</f>
        <v>0.96724890829694321</v>
      </c>
      <c r="F25" s="1">
        <f>'[1]Forward Ranks'!L25</f>
        <v>0.62445414847161573</v>
      </c>
      <c r="G25">
        <f>'[1]Forward Ranks'!N25</f>
        <v>0</v>
      </c>
      <c r="H25" s="1">
        <f>'[1]Forward Ranks'!S25</f>
        <v>0.93449781659388642</v>
      </c>
      <c r="I25" s="1">
        <f>'[1]Forward Ranks'!T25</f>
        <v>0.95851528384279472</v>
      </c>
      <c r="J25" s="1">
        <f>'[1]Forward Ranks'!U25</f>
        <v>0.61790393013100442</v>
      </c>
      <c r="K25" s="1">
        <f>'[1]Forward Ranks'!V25</f>
        <v>0.97816593886462877</v>
      </c>
      <c r="L25">
        <f>'[1]Forward Ranks'!X25</f>
        <v>0</v>
      </c>
      <c r="M25" s="1">
        <f>'[1]Forward Ranks'!AC25</f>
        <v>0.88646288209606983</v>
      </c>
      <c r="N25" s="1">
        <f>'[1]Forward Ranks'!AD25</f>
        <v>0.55676855895196509</v>
      </c>
      <c r="O25" s="1">
        <f>'[1]Forward Ranks'!AE25</f>
        <v>0.35371179039301309</v>
      </c>
      <c r="P25" s="1">
        <f>'[1]Forward Ranks'!AF25</f>
        <v>0.78602620087336239</v>
      </c>
      <c r="Q25">
        <f>'[1]Forward Ranks'!AH25</f>
        <v>0</v>
      </c>
      <c r="R25" s="1">
        <f>'[1]Forward Ranks'!AM25</f>
        <v>0.74672489082969429</v>
      </c>
      <c r="S25" s="1">
        <f>'[1]Forward Ranks'!AN25</f>
        <v>0.75109170305676853</v>
      </c>
      <c r="T25" s="1">
        <f>'[1]Forward Ranks'!AO25</f>
        <v>0.97816593886462877</v>
      </c>
      <c r="U25" s="1">
        <f>'[1]Forward Ranks'!AP25</f>
        <v>0.83842794759825323</v>
      </c>
      <c r="V25">
        <f>'[1]Forward Ranks'!AR25</f>
        <v>0</v>
      </c>
      <c r="W25" s="1">
        <f>'[1]Forward Ranks'!AW25</f>
        <v>0.9606986899563319</v>
      </c>
      <c r="X25" s="1">
        <f>'[1]Forward Ranks'!AX25</f>
        <v>0.75982532751091703</v>
      </c>
      <c r="Y25" s="1">
        <f>'[1]Forward Ranks'!AY25</f>
        <v>0.63537117903930129</v>
      </c>
      <c r="Z25" s="1">
        <f>'[1]Forward Ranks'!AZ25</f>
        <v>0.93231441048034935</v>
      </c>
      <c r="AA25">
        <f>'[1]Forward Ranks'!BB25</f>
        <v>0</v>
      </c>
      <c r="AB25" s="1">
        <f>'[1]Forward Ranks'!BG25</f>
        <v>0.59825327510917026</v>
      </c>
      <c r="AC25" s="1">
        <f>'[1]Forward Ranks'!BH25</f>
        <v>0.75764192139737996</v>
      </c>
      <c r="AD25" s="1">
        <f>'[1]Forward Ranks'!BI25</f>
        <v>0.99126637554585151</v>
      </c>
      <c r="AE25" s="1">
        <f>'[1]Forward Ranks'!BJ25</f>
        <v>0.87991266375545851</v>
      </c>
      <c r="AF25">
        <f>'[1]Forward Ranks'!BL25</f>
        <v>0</v>
      </c>
      <c r="AG25" s="1">
        <f>'[1]Forward Ranks'!BQ25</f>
        <v>0.66375545851528384</v>
      </c>
      <c r="AH25" s="1">
        <f>'[1]Forward Ranks'!BR25</f>
        <v>0.55458515283842791</v>
      </c>
      <c r="AI25" s="1">
        <f>'[1]Forward Ranks'!BS25</f>
        <v>0.83842794759825323</v>
      </c>
      <c r="AJ25" s="1">
        <f>'[1]Forward Ranks'!BT25</f>
        <v>0.76637554585152834</v>
      </c>
      <c r="AL25" s="2">
        <f>'[1]Forward Ranks'!BX25</f>
        <v>0.9606986899563319</v>
      </c>
      <c r="AN25" t="str">
        <f>'[1]Forward Ranks'!B25</f>
        <v>VAN</v>
      </c>
      <c r="AO25">
        <f>'[1]F on ice'!E25</f>
        <v>81</v>
      </c>
      <c r="AP25" s="2">
        <f>'[1]Impact Score Math'!E25</f>
        <v>0.92785571142284573</v>
      </c>
      <c r="AQ25">
        <f>'[1]Impact Score Math'!G25</f>
        <v>37</v>
      </c>
      <c r="AT25" s="1">
        <f>'[1]Forward Ranks'!CJ25</f>
        <v>0.96724890829694321</v>
      </c>
      <c r="AU25" s="1">
        <f>'[1]Forward Ranks'!CK25</f>
        <v>0.24017467248908297</v>
      </c>
    </row>
    <row r="26" spans="1:47" x14ac:dyDescent="0.3">
      <c r="A26" t="str">
        <f>'[1]Forward Ranks'!A26</f>
        <v>Andrei Svechnikov</v>
      </c>
      <c r="B26">
        <f>'[1]Forward Ranks'!D26</f>
        <v>0</v>
      </c>
      <c r="C26" s="1">
        <f>'[1]Forward Ranks'!I26</f>
        <v>0.98689956331877726</v>
      </c>
      <c r="D26" s="1">
        <f>'[1]Forward Ranks'!J26</f>
        <v>0.9606986899563319</v>
      </c>
      <c r="E26" s="1">
        <f>'[1]Forward Ranks'!K26</f>
        <v>0.77510917030567683</v>
      </c>
      <c r="F26" s="1">
        <f>'[1]Forward Ranks'!L26</f>
        <v>0.94323144104803491</v>
      </c>
      <c r="G26">
        <f>'[1]Forward Ranks'!N26</f>
        <v>0</v>
      </c>
      <c r="H26" s="1">
        <f>'[1]Forward Ranks'!S26</f>
        <v>0.888646288209607</v>
      </c>
      <c r="I26" s="1">
        <f>'[1]Forward Ranks'!T26</f>
        <v>0.63755458515283847</v>
      </c>
      <c r="J26" s="1">
        <f>'[1]Forward Ranks'!U26</f>
        <v>0.65938864628820959</v>
      </c>
      <c r="K26" s="1">
        <f>'[1]Forward Ranks'!V26</f>
        <v>0.85152838427947597</v>
      </c>
      <c r="L26">
        <f>'[1]Forward Ranks'!X26</f>
        <v>0</v>
      </c>
      <c r="M26" s="1">
        <f>'[1]Forward Ranks'!AC26</f>
        <v>0.91921397379912662</v>
      </c>
      <c r="N26" s="1">
        <f>'[1]Forward Ranks'!AD26</f>
        <v>0.79257641921397382</v>
      </c>
      <c r="O26" s="1">
        <f>'[1]Forward Ranks'!AE26</f>
        <v>0.69213973799126638</v>
      </c>
      <c r="P26" s="1">
        <f>'[1]Forward Ranks'!AF26</f>
        <v>0.9126637554585153</v>
      </c>
      <c r="Q26">
        <f>'[1]Forward Ranks'!AH26</f>
        <v>0</v>
      </c>
      <c r="R26" s="1">
        <f>'[1]Forward Ranks'!AM26</f>
        <v>0.87117903930131002</v>
      </c>
      <c r="S26" s="1">
        <f>'[1]Forward Ranks'!AN26</f>
        <v>0.8493449781659389</v>
      </c>
      <c r="T26" s="1">
        <f>'[1]Forward Ranks'!AO26</f>
        <v>0.73799126637554591</v>
      </c>
      <c r="U26" s="1">
        <f>'[1]Forward Ranks'!AP26</f>
        <v>0.77729257641921401</v>
      </c>
      <c r="V26">
        <f>'[1]Forward Ranks'!AR26</f>
        <v>0</v>
      </c>
      <c r="W26" s="1">
        <f>'[1]Forward Ranks'!AW26</f>
        <v>0.10043668122270742</v>
      </c>
      <c r="X26" s="1">
        <f>'[1]Forward Ranks'!AX26</f>
        <v>0.29257641921397382</v>
      </c>
      <c r="Y26" s="1">
        <f>'[1]Forward Ranks'!AY26</f>
        <v>0.24017467248908297</v>
      </c>
      <c r="Z26" s="1">
        <f>'[1]Forward Ranks'!AZ26</f>
        <v>0.22707423580786026</v>
      </c>
      <c r="AA26">
        <f>'[1]Forward Ranks'!BB26</f>
        <v>0</v>
      </c>
      <c r="AB26" s="1">
        <f>'[1]Forward Ranks'!BG26</f>
        <v>0.86899563318777295</v>
      </c>
      <c r="AC26" s="1">
        <f>'[1]Forward Ranks'!BH26</f>
        <v>0.85807860262008728</v>
      </c>
      <c r="AD26" s="1">
        <f>'[1]Forward Ranks'!BI26</f>
        <v>0.51091703056768556</v>
      </c>
      <c r="AE26" s="1">
        <f>'[1]Forward Ranks'!BJ26</f>
        <v>0.53711790393013104</v>
      </c>
      <c r="AF26">
        <f>'[1]Forward Ranks'!BL26</f>
        <v>0</v>
      </c>
      <c r="AG26" s="1">
        <f>'[1]Forward Ranks'!BQ26</f>
        <v>0.97161572052401746</v>
      </c>
      <c r="AH26" s="1">
        <f>'[1]Forward Ranks'!BR26</f>
        <v>0.96288209606986896</v>
      </c>
      <c r="AI26" s="1">
        <f>'[1]Forward Ranks'!BS26</f>
        <v>0.84061135371179041</v>
      </c>
      <c r="AJ26" s="1">
        <f>'[1]Forward Ranks'!BT26</f>
        <v>0.97816593886462877</v>
      </c>
      <c r="AL26" s="2">
        <f>'[1]Forward Ranks'!BX26</f>
        <v>0.94541484716157209</v>
      </c>
      <c r="AN26" t="str">
        <f>'[1]Forward Ranks'!B26</f>
        <v>CAR</v>
      </c>
      <c r="AO26">
        <f>'[1]F on ice'!E26</f>
        <v>64</v>
      </c>
      <c r="AP26" s="2">
        <f>'[1]Impact Score Math'!E26</f>
        <v>0.96392785571142281</v>
      </c>
      <c r="AQ26">
        <f>'[1]Impact Score Math'!G26</f>
        <v>19</v>
      </c>
      <c r="AT26" s="1">
        <f>'[1]Forward Ranks'!CJ26</f>
        <v>0.10262008733624454</v>
      </c>
      <c r="AU26" s="1">
        <f>'[1]Forward Ranks'!CK26</f>
        <v>0.82751091703056767</v>
      </c>
    </row>
    <row r="27" spans="1:47" x14ac:dyDescent="0.3">
      <c r="A27" t="str">
        <f>'[1]Forward Ranks'!A27</f>
        <v>Andrew Cogliano</v>
      </c>
      <c r="B27">
        <f>'[1]Forward Ranks'!D27</f>
        <v>0</v>
      </c>
      <c r="C27" s="1">
        <f>'[1]Forward Ranks'!I27</f>
        <v>0.11790393013100436</v>
      </c>
      <c r="D27" s="1">
        <f>'[1]Forward Ranks'!J27</f>
        <v>0.10043668122270742</v>
      </c>
      <c r="E27" s="1">
        <f>'[1]Forward Ranks'!K27</f>
        <v>0.30349344978165937</v>
      </c>
      <c r="F27" s="1">
        <f>'[1]Forward Ranks'!L27</f>
        <v>5.458515283842795E-2</v>
      </c>
      <c r="G27">
        <f>'[1]Forward Ranks'!N27</f>
        <v>0</v>
      </c>
      <c r="H27" s="1">
        <f>'[1]Forward Ranks'!S27</f>
        <v>0.5873362445414847</v>
      </c>
      <c r="I27" s="1">
        <f>'[1]Forward Ranks'!T27</f>
        <v>0.11572052401746726</v>
      </c>
      <c r="J27" s="1">
        <f>'[1]Forward Ranks'!U27</f>
        <v>0.11135371179039301</v>
      </c>
      <c r="K27" s="1">
        <f>'[1]Forward Ranks'!V27</f>
        <v>0.21397379912663755</v>
      </c>
      <c r="L27">
        <f>'[1]Forward Ranks'!X27</f>
        <v>0</v>
      </c>
      <c r="M27" s="1">
        <f>'[1]Forward Ranks'!AC27</f>
        <v>0.65720524017467252</v>
      </c>
      <c r="N27" s="1">
        <f>'[1]Forward Ranks'!AD27</f>
        <v>0.57641921397379914</v>
      </c>
      <c r="O27" s="1">
        <f>'[1]Forward Ranks'!AE27</f>
        <v>0.92358078602620086</v>
      </c>
      <c r="P27" s="1">
        <f>'[1]Forward Ranks'!AF27</f>
        <v>0.78602620087336239</v>
      </c>
      <c r="Q27">
        <f>'[1]Forward Ranks'!AH27</f>
        <v>0</v>
      </c>
      <c r="R27" s="1">
        <f>'[1]Forward Ranks'!AM27</f>
        <v>2.1834061135371178E-2</v>
      </c>
      <c r="S27" s="1">
        <f>'[1]Forward Ranks'!AN27</f>
        <v>9.8253275109170299E-2</v>
      </c>
      <c r="T27" s="1">
        <f>'[1]Forward Ranks'!AO27</f>
        <v>0.2423580786026201</v>
      </c>
      <c r="U27" s="1">
        <f>'[1]Forward Ranks'!AP27</f>
        <v>3.9301310043668124E-2</v>
      </c>
      <c r="V27">
        <f>'[1]Forward Ranks'!AR27</f>
        <v>0</v>
      </c>
      <c r="W27" s="1">
        <f>'[1]Forward Ranks'!AW27</f>
        <v>0.59606986899563319</v>
      </c>
      <c r="X27" s="1">
        <f>'[1]Forward Ranks'!AX27</f>
        <v>0.54148471615720528</v>
      </c>
      <c r="Y27" s="1">
        <f>'[1]Forward Ranks'!AY27</f>
        <v>0.85589519650655022</v>
      </c>
      <c r="Z27" s="1">
        <f>'[1]Forward Ranks'!AZ27</f>
        <v>0.63100436681222705</v>
      </c>
      <c r="AA27">
        <f>'[1]Forward Ranks'!BB27</f>
        <v>0</v>
      </c>
      <c r="AB27" s="1">
        <f>'[1]Forward Ranks'!BG27</f>
        <v>0.20524017467248909</v>
      </c>
      <c r="AC27" s="1">
        <f>'[1]Forward Ranks'!BH27</f>
        <v>7.2052401746724892E-2</v>
      </c>
      <c r="AD27" s="1">
        <f>'[1]Forward Ranks'!BI27</f>
        <v>0.45633187772925765</v>
      </c>
      <c r="AE27" s="1">
        <f>'[1]Forward Ranks'!BJ27</f>
        <v>0.8493449781659389</v>
      </c>
      <c r="AF27">
        <f>'[1]Forward Ranks'!BL27</f>
        <v>0</v>
      </c>
      <c r="AG27" s="1">
        <f>'[1]Forward Ranks'!BQ27</f>
        <v>0.27947598253275108</v>
      </c>
      <c r="AH27" s="1">
        <f>'[1]Forward Ranks'!BR27</f>
        <v>0.20087336244541484</v>
      </c>
      <c r="AI27" s="1">
        <f>'[1]Forward Ranks'!BS27</f>
        <v>0.75982532751091703</v>
      </c>
      <c r="AJ27" s="1">
        <f>'[1]Forward Ranks'!BT27</f>
        <v>0.22270742358078602</v>
      </c>
      <c r="AL27" s="2">
        <f>'[1]Forward Ranks'!BX27</f>
        <v>0.17248908296943233</v>
      </c>
      <c r="AN27" t="str">
        <f>'[1]Forward Ranks'!B27</f>
        <v>COL</v>
      </c>
      <c r="AO27">
        <f>'[1]F on ice'!E27</f>
        <v>79</v>
      </c>
      <c r="AP27" s="2">
        <f>'[1]Impact Score Math'!E27</f>
        <v>0.23246492985971945</v>
      </c>
      <c r="AQ27">
        <f>'[1]Impact Score Math'!G27</f>
        <v>384</v>
      </c>
      <c r="AT27" s="1">
        <f>'[1]Forward Ranks'!CJ27</f>
        <v>0.22925764192139739</v>
      </c>
      <c r="AU27" s="1">
        <f>'[1]Forward Ranks'!CK27</f>
        <v>0.68340611353711789</v>
      </c>
    </row>
    <row r="28" spans="1:47" x14ac:dyDescent="0.3">
      <c r="A28" t="str">
        <f>'[1]Forward Ranks'!A28</f>
        <v>Andrew Copp</v>
      </c>
      <c r="B28">
        <f>'[1]Forward Ranks'!D28</f>
        <v>0</v>
      </c>
      <c r="C28" s="1">
        <f>'[1]Forward Ranks'!I28</f>
        <v>7.8602620087336247E-2</v>
      </c>
      <c r="D28" s="1">
        <f>'[1]Forward Ranks'!J28</f>
        <v>8.296943231441048E-2</v>
      </c>
      <c r="E28" s="1">
        <f>'[1]Forward Ranks'!K28</f>
        <v>0.34934497816593885</v>
      </c>
      <c r="F28" s="1">
        <f>'[1]Forward Ranks'!L28</f>
        <v>0.10262008733624454</v>
      </c>
      <c r="G28">
        <f>'[1]Forward Ranks'!N28</f>
        <v>0</v>
      </c>
      <c r="H28" s="1">
        <f>'[1]Forward Ranks'!S28</f>
        <v>6.9868995633187769E-2</v>
      </c>
      <c r="I28" s="1">
        <f>'[1]Forward Ranks'!T28</f>
        <v>0.72052401746724892</v>
      </c>
      <c r="J28" s="1">
        <f>'[1]Forward Ranks'!U28</f>
        <v>0.79475982532751088</v>
      </c>
      <c r="K28" s="1">
        <f>'[1]Forward Ranks'!V28</f>
        <v>0.39082969432314413</v>
      </c>
      <c r="L28">
        <f>'[1]Forward Ranks'!X28</f>
        <v>0</v>
      </c>
      <c r="M28" s="1">
        <f>'[1]Forward Ranks'!AC28</f>
        <v>0.22707423580786026</v>
      </c>
      <c r="N28" s="1">
        <f>'[1]Forward Ranks'!AD28</f>
        <v>0.20524017467248909</v>
      </c>
      <c r="O28" s="1">
        <f>'[1]Forward Ranks'!AE28</f>
        <v>0.66812227074235808</v>
      </c>
      <c r="P28" s="1">
        <f>'[1]Forward Ranks'!AF28</f>
        <v>0.28384279475982532</v>
      </c>
      <c r="Q28">
        <f>'[1]Forward Ranks'!AH28</f>
        <v>0</v>
      </c>
      <c r="R28" s="1">
        <f>'[1]Forward Ranks'!AM28</f>
        <v>0.27510917030567683</v>
      </c>
      <c r="S28" s="1">
        <f>'[1]Forward Ranks'!AN28</f>
        <v>0.32532751091703055</v>
      </c>
      <c r="T28" s="1">
        <f>'[1]Forward Ranks'!AO28</f>
        <v>0.5393013100436681</v>
      </c>
      <c r="U28" s="1">
        <f>'[1]Forward Ranks'!AP28</f>
        <v>0.34061135371179041</v>
      </c>
      <c r="V28">
        <f>'[1]Forward Ranks'!AR28</f>
        <v>0</v>
      </c>
      <c r="W28" s="1">
        <f>'[1]Forward Ranks'!AW28</f>
        <v>0.12882096069868995</v>
      </c>
      <c r="X28" s="1">
        <f>'[1]Forward Ranks'!AX28</f>
        <v>0.19213973799126638</v>
      </c>
      <c r="Y28" s="1">
        <f>'[1]Forward Ranks'!AY28</f>
        <v>0.89519650655021832</v>
      </c>
      <c r="Z28" s="1">
        <f>'[1]Forward Ranks'!AZ28</f>
        <v>0.16375545851528384</v>
      </c>
      <c r="AA28">
        <f>'[1]Forward Ranks'!BB28</f>
        <v>0</v>
      </c>
      <c r="AB28" s="1">
        <f>'[1]Forward Ranks'!BG28</f>
        <v>0.65938864628820959</v>
      </c>
      <c r="AC28" s="1">
        <f>'[1]Forward Ranks'!BH28</f>
        <v>0.33842794759825329</v>
      </c>
      <c r="AD28" s="1">
        <f>'[1]Forward Ranks'!BI28</f>
        <v>0.68558951965065507</v>
      </c>
      <c r="AE28" s="1">
        <f>'[1]Forward Ranks'!BJ28</f>
        <v>0.80349344978165937</v>
      </c>
      <c r="AF28">
        <f>'[1]Forward Ranks'!BL28</f>
        <v>0</v>
      </c>
      <c r="AG28" s="1">
        <f>'[1]Forward Ranks'!BQ28</f>
        <v>9.1703056768558958E-2</v>
      </c>
      <c r="AH28" s="1">
        <f>'[1]Forward Ranks'!BR28</f>
        <v>8.0786026200873357E-2</v>
      </c>
      <c r="AI28" s="1">
        <f>'[1]Forward Ranks'!BS28</f>
        <v>0.48471615720524019</v>
      </c>
      <c r="AJ28" s="1">
        <f>'[1]Forward Ranks'!BT28</f>
        <v>0.11135371179039301</v>
      </c>
      <c r="AL28" s="2">
        <f>'[1]Forward Ranks'!BX28</f>
        <v>6.9868995633187769E-2</v>
      </c>
      <c r="AN28" t="str">
        <f>'[1]Forward Ranks'!B28</f>
        <v>DET</v>
      </c>
      <c r="AO28">
        <f>'[1]F on ice'!E28</f>
        <v>82</v>
      </c>
      <c r="AP28" s="2">
        <f>'[1]Impact Score Math'!E28</f>
        <v>0.19839679358717435</v>
      </c>
      <c r="AQ28">
        <f>'[1]Impact Score Math'!G28</f>
        <v>401</v>
      </c>
      <c r="AT28" s="1">
        <f>'[1]Forward Ranks'!CJ28</f>
        <v>0.78602620087336239</v>
      </c>
      <c r="AU28" s="1">
        <f>'[1]Forward Ranks'!CK28</f>
        <v>0.12445414847161572</v>
      </c>
    </row>
    <row r="29" spans="1:47" x14ac:dyDescent="0.3">
      <c r="A29" t="str">
        <f>'[1]Forward Ranks'!A29</f>
        <v>Andrew Mangiapane</v>
      </c>
      <c r="B29">
        <f>'[1]Forward Ranks'!D29</f>
        <v>0</v>
      </c>
      <c r="C29" s="1">
        <f>'[1]Forward Ranks'!I29</f>
        <v>0.98034934497816595</v>
      </c>
      <c r="D29" s="1">
        <f>'[1]Forward Ranks'!J29</f>
        <v>0.84716157205240172</v>
      </c>
      <c r="E29" s="1">
        <f>'[1]Forward Ranks'!K29</f>
        <v>0.86899563318777295</v>
      </c>
      <c r="F29" s="1">
        <f>'[1]Forward Ranks'!L29</f>
        <v>0.96943231441048039</v>
      </c>
      <c r="G29">
        <f>'[1]Forward Ranks'!N29</f>
        <v>0</v>
      </c>
      <c r="H29" s="1">
        <f>'[1]Forward Ranks'!S29</f>
        <v>0.70960698689956336</v>
      </c>
      <c r="I29" s="1">
        <f>'[1]Forward Ranks'!T29</f>
        <v>0.66812227074235808</v>
      </c>
      <c r="J29" s="1">
        <f>'[1]Forward Ranks'!U29</f>
        <v>0.72052401746724892</v>
      </c>
      <c r="K29" s="1">
        <f>'[1]Forward Ranks'!V29</f>
        <v>0.72707423580786024</v>
      </c>
      <c r="L29">
        <f>'[1]Forward Ranks'!X29</f>
        <v>0</v>
      </c>
      <c r="M29" s="1">
        <f>'[1]Forward Ranks'!AC29</f>
        <v>0.82096069868995636</v>
      </c>
      <c r="N29" s="1">
        <f>'[1]Forward Ranks'!AD29</f>
        <v>0.55240174672489084</v>
      </c>
      <c r="O29" s="1">
        <f>'[1]Forward Ranks'!AE29</f>
        <v>0.5393013100436681</v>
      </c>
      <c r="P29" s="1">
        <f>'[1]Forward Ranks'!AF29</f>
        <v>0.62008733624454149</v>
      </c>
      <c r="Q29">
        <f>'[1]Forward Ranks'!AH29</f>
        <v>0</v>
      </c>
      <c r="R29" s="1">
        <f>'[1]Forward Ranks'!AM29</f>
        <v>0.88209606986899558</v>
      </c>
      <c r="S29" s="1">
        <f>'[1]Forward Ranks'!AN29</f>
        <v>0.90393013100436681</v>
      </c>
      <c r="T29" s="1">
        <f>'[1]Forward Ranks'!AO29</f>
        <v>0.80131004366812231</v>
      </c>
      <c r="U29" s="1">
        <f>'[1]Forward Ranks'!AP29</f>
        <v>0.94759825327510916</v>
      </c>
      <c r="V29">
        <f>'[1]Forward Ranks'!AR29</f>
        <v>0</v>
      </c>
      <c r="W29" s="1">
        <f>'[1]Forward Ranks'!AW29</f>
        <v>0.27292576419213976</v>
      </c>
      <c r="X29" s="1">
        <f>'[1]Forward Ranks'!AX29</f>
        <v>0.17903930131004367</v>
      </c>
      <c r="Y29" s="1">
        <f>'[1]Forward Ranks'!AY29</f>
        <v>0.6026200873362445</v>
      </c>
      <c r="Z29" s="1">
        <f>'[1]Forward Ranks'!AZ29</f>
        <v>0.26637554585152839</v>
      </c>
      <c r="AA29">
        <f>'[1]Forward Ranks'!BB29</f>
        <v>0</v>
      </c>
      <c r="AB29" s="1">
        <f>'[1]Forward Ranks'!BG29</f>
        <v>0.6746724890829694</v>
      </c>
      <c r="AC29" s="1">
        <f>'[1]Forward Ranks'!BH29</f>
        <v>0.60698689956331875</v>
      </c>
      <c r="AD29" s="1">
        <f>'[1]Forward Ranks'!BI29</f>
        <v>0.56113537117903933</v>
      </c>
      <c r="AE29" s="1">
        <f>'[1]Forward Ranks'!BJ29</f>
        <v>0.388646288209607</v>
      </c>
      <c r="AF29">
        <f>'[1]Forward Ranks'!BL29</f>
        <v>0</v>
      </c>
      <c r="AG29" s="1">
        <f>'[1]Forward Ranks'!BQ29</f>
        <v>0.95851528384279472</v>
      </c>
      <c r="AH29" s="1">
        <f>'[1]Forward Ranks'!BR29</f>
        <v>0.80349344978165937</v>
      </c>
      <c r="AI29" s="1">
        <f>'[1]Forward Ranks'!BS29</f>
        <v>0.81004366812227069</v>
      </c>
      <c r="AJ29" s="1">
        <f>'[1]Forward Ranks'!BT29</f>
        <v>0.93886462882096067</v>
      </c>
      <c r="AL29" s="2">
        <f>'[1]Forward Ranks'!BX29</f>
        <v>0.94323144104803491</v>
      </c>
      <c r="AN29" t="str">
        <f>'[1]Forward Ranks'!B29</f>
        <v>CGY</v>
      </c>
      <c r="AO29">
        <f>'[1]F on ice'!E29</f>
        <v>82</v>
      </c>
      <c r="AP29" s="2">
        <f>'[1]Impact Score Math'!E29</f>
        <v>0.91983967935871747</v>
      </c>
      <c r="AQ29">
        <f>'[1]Impact Score Math'!G29</f>
        <v>41</v>
      </c>
      <c r="AT29" s="1">
        <f>'[1]Forward Ranks'!CJ29</f>
        <v>0.40393013100436681</v>
      </c>
      <c r="AU29" s="1">
        <f>'[1]Forward Ranks'!CK29</f>
        <v>0.60698689956331875</v>
      </c>
    </row>
    <row r="30" spans="1:47" x14ac:dyDescent="0.3">
      <c r="A30" t="str">
        <f>'[1]Forward Ranks'!A30</f>
        <v>Anthony Beauvillier</v>
      </c>
      <c r="B30">
        <f>'[1]Forward Ranks'!D30</f>
        <v>0</v>
      </c>
      <c r="C30" s="1">
        <f>'[1]Forward Ranks'!I30</f>
        <v>0.51091703056768556</v>
      </c>
      <c r="D30" s="1">
        <f>'[1]Forward Ranks'!J30</f>
        <v>0.69213973799126638</v>
      </c>
      <c r="E30" s="1">
        <f>'[1]Forward Ranks'!K30</f>
        <v>0.5873362445414847</v>
      </c>
      <c r="F30" s="1">
        <f>'[1]Forward Ranks'!L30</f>
        <v>0.51528384279475981</v>
      </c>
      <c r="G30">
        <f>'[1]Forward Ranks'!N30</f>
        <v>0</v>
      </c>
      <c r="H30" s="1">
        <f>'[1]Forward Ranks'!S30</f>
        <v>0.46724890829694321</v>
      </c>
      <c r="I30" s="1">
        <f>'[1]Forward Ranks'!T30</f>
        <v>0.5</v>
      </c>
      <c r="J30" s="1">
        <f>'[1]Forward Ranks'!U30</f>
        <v>0.49563318777292575</v>
      </c>
      <c r="K30" s="1">
        <f>'[1]Forward Ranks'!V30</f>
        <v>0.48908296943231439</v>
      </c>
      <c r="L30">
        <f>'[1]Forward Ranks'!X30</f>
        <v>0</v>
      </c>
      <c r="M30" s="1">
        <f>'[1]Forward Ranks'!AC30</f>
        <v>0.25545851528384278</v>
      </c>
      <c r="N30" s="1">
        <f>'[1]Forward Ranks'!AD30</f>
        <v>0.17248908296943233</v>
      </c>
      <c r="O30" s="1">
        <f>'[1]Forward Ranks'!AE30</f>
        <v>0.20742358078602621</v>
      </c>
      <c r="P30" s="1">
        <f>'[1]Forward Ranks'!AF30</f>
        <v>0.23580786026200873</v>
      </c>
      <c r="Q30">
        <f>'[1]Forward Ranks'!AH30</f>
        <v>0</v>
      </c>
      <c r="R30" s="1">
        <f>'[1]Forward Ranks'!AM30</f>
        <v>0.611353711790393</v>
      </c>
      <c r="S30" s="1">
        <f>'[1]Forward Ranks'!AN30</f>
        <v>0.68340611353711789</v>
      </c>
      <c r="T30" s="1">
        <f>'[1]Forward Ranks'!AO30</f>
        <v>0.62008733624454149</v>
      </c>
      <c r="U30" s="1">
        <f>'[1]Forward Ranks'!AP30</f>
        <v>0.57641921397379914</v>
      </c>
      <c r="V30">
        <f>'[1]Forward Ranks'!AR30</f>
        <v>0</v>
      </c>
      <c r="W30" s="1">
        <f>'[1]Forward Ranks'!AW30</f>
        <v>0.19213973799126638</v>
      </c>
      <c r="X30" s="1">
        <f>'[1]Forward Ranks'!AX30</f>
        <v>0.19868995633187772</v>
      </c>
      <c r="Y30" s="1">
        <f>'[1]Forward Ranks'!AY30</f>
        <v>2.1834061135371178E-2</v>
      </c>
      <c r="Z30" s="1">
        <f>'[1]Forward Ranks'!AZ30</f>
        <v>0.22707423580786026</v>
      </c>
      <c r="AA30">
        <f>'[1]Forward Ranks'!BB30</f>
        <v>0</v>
      </c>
      <c r="AB30" s="1">
        <f>'[1]Forward Ranks'!BG30</f>
        <v>0.77074235807860259</v>
      </c>
      <c r="AC30" s="1">
        <f>'[1]Forward Ranks'!BH30</f>
        <v>0.79694323144104806</v>
      </c>
      <c r="AD30" s="1">
        <f>'[1]Forward Ranks'!BI30</f>
        <v>0.67248908296943233</v>
      </c>
      <c r="AE30" s="1">
        <f>'[1]Forward Ranks'!BJ30</f>
        <v>0.41484716157205243</v>
      </c>
      <c r="AF30">
        <f>'[1]Forward Ranks'!BL30</f>
        <v>0</v>
      </c>
      <c r="AG30" s="1">
        <f>'[1]Forward Ranks'!BQ30</f>
        <v>0.35589519650655022</v>
      </c>
      <c r="AH30" s="1">
        <f>'[1]Forward Ranks'!BR30</f>
        <v>0.43886462882096072</v>
      </c>
      <c r="AI30" s="1">
        <f>'[1]Forward Ranks'!BS30</f>
        <v>0.36899563318777295</v>
      </c>
      <c r="AJ30" s="1">
        <f>'[1]Forward Ranks'!BT30</f>
        <v>0.36462882096069871</v>
      </c>
      <c r="AL30" s="2">
        <f>'[1]Forward Ranks'!BX30</f>
        <v>0.34061135371179041</v>
      </c>
      <c r="AN30" t="str">
        <f>'[1]Forward Ranks'!B30</f>
        <v>NYI, VAN</v>
      </c>
      <c r="AO30">
        <f>'[1]F on ice'!E30</f>
        <v>82</v>
      </c>
      <c r="AP30" s="2">
        <f>'[1]Impact Score Math'!E30</f>
        <v>0.48897795591182364</v>
      </c>
      <c r="AQ30">
        <f>'[1]Impact Score Math'!G30</f>
        <v>256</v>
      </c>
      <c r="AT30" s="1">
        <f>'[1]Forward Ranks'!CJ30</f>
        <v>0.79475982532751088</v>
      </c>
      <c r="AU30" s="1">
        <f>'[1]Forward Ranks'!CK30</f>
        <v>0.20305676855895197</v>
      </c>
    </row>
    <row r="31" spans="1:47" x14ac:dyDescent="0.3">
      <c r="A31" t="str">
        <f>'[1]Forward Ranks'!A31</f>
        <v>Anthony Cirelli</v>
      </c>
      <c r="B31">
        <f>'[1]Forward Ranks'!D31</f>
        <v>0</v>
      </c>
      <c r="C31" s="1">
        <f>'[1]Forward Ranks'!I31</f>
        <v>0.65938864628820959</v>
      </c>
      <c r="D31" s="1">
        <f>'[1]Forward Ranks'!J31</f>
        <v>0.91048034934497812</v>
      </c>
      <c r="E31" s="1">
        <f>'[1]Forward Ranks'!K31</f>
        <v>0.67685589519650657</v>
      </c>
      <c r="F31" s="1">
        <f>'[1]Forward Ranks'!L31</f>
        <v>0.79475982532751088</v>
      </c>
      <c r="G31">
        <f>'[1]Forward Ranks'!N31</f>
        <v>0</v>
      </c>
      <c r="H31" s="1">
        <f>'[1]Forward Ranks'!S31</f>
        <v>0.34934497816593885</v>
      </c>
      <c r="I31" s="1">
        <f>'[1]Forward Ranks'!T31</f>
        <v>0.68122270742358082</v>
      </c>
      <c r="J31" s="1">
        <f>'[1]Forward Ranks'!U31</f>
        <v>0.81441048034934493</v>
      </c>
      <c r="K31" s="1">
        <f>'[1]Forward Ranks'!V31</f>
        <v>0.5633187772925764</v>
      </c>
      <c r="L31">
        <f>'[1]Forward Ranks'!X31</f>
        <v>0</v>
      </c>
      <c r="M31" s="1">
        <f>'[1]Forward Ranks'!AC31</f>
        <v>0.40829694323144106</v>
      </c>
      <c r="N31" s="1">
        <f>'[1]Forward Ranks'!AD31</f>
        <v>0.34716157205240172</v>
      </c>
      <c r="O31" s="1">
        <f>'[1]Forward Ranks'!AE31</f>
        <v>0.91703056768558955</v>
      </c>
      <c r="P31" s="1">
        <f>'[1]Forward Ranks'!AF31</f>
        <v>0.36244541484716158</v>
      </c>
      <c r="Q31">
        <f>'[1]Forward Ranks'!AH31</f>
        <v>0</v>
      </c>
      <c r="R31" s="1">
        <f>'[1]Forward Ranks'!AM31</f>
        <v>0.46724890829694321</v>
      </c>
      <c r="S31" s="1">
        <f>'[1]Forward Ranks'!AN31</f>
        <v>0.78820960698689957</v>
      </c>
      <c r="T31" s="1">
        <f>'[1]Forward Ranks'!AO31</f>
        <v>0.60043668122270744</v>
      </c>
      <c r="U31" s="1">
        <f>'[1]Forward Ranks'!AP31</f>
        <v>0.60917030567685593</v>
      </c>
      <c r="V31">
        <f>'[1]Forward Ranks'!AR31</f>
        <v>0</v>
      </c>
      <c r="W31" s="1">
        <f>'[1]Forward Ranks'!AW31</f>
        <v>0.33624454148471616</v>
      </c>
      <c r="X31" s="1">
        <f>'[1]Forward Ranks'!AX31</f>
        <v>0.2205240174672489</v>
      </c>
      <c r="Y31" s="1">
        <f>'[1]Forward Ranks'!AY31</f>
        <v>0.91703056768558955</v>
      </c>
      <c r="Z31" s="1">
        <f>'[1]Forward Ranks'!AZ31</f>
        <v>0.32532751091703055</v>
      </c>
      <c r="AA31">
        <f>'[1]Forward Ranks'!BB31</f>
        <v>0</v>
      </c>
      <c r="AB31" s="1">
        <f>'[1]Forward Ranks'!BG31</f>
        <v>0.62227074235807855</v>
      </c>
      <c r="AC31" s="1">
        <f>'[1]Forward Ranks'!BH31</f>
        <v>0.26855895196506552</v>
      </c>
      <c r="AD31" s="1">
        <f>'[1]Forward Ranks'!BI31</f>
        <v>0.69213973799126638</v>
      </c>
      <c r="AE31" s="1">
        <f>'[1]Forward Ranks'!BJ31</f>
        <v>0.90174672489082974</v>
      </c>
      <c r="AF31">
        <f>'[1]Forward Ranks'!BL31</f>
        <v>0</v>
      </c>
      <c r="AG31" s="1">
        <f>'[1]Forward Ranks'!BQ31</f>
        <v>0.55458515283842791</v>
      </c>
      <c r="AH31" s="1">
        <f>'[1]Forward Ranks'!BR31</f>
        <v>0.79694323144104806</v>
      </c>
      <c r="AI31" s="1">
        <f>'[1]Forward Ranks'!BS31</f>
        <v>0.91703056768558955</v>
      </c>
      <c r="AJ31" s="1">
        <f>'[1]Forward Ranks'!BT31</f>
        <v>0.65938864628820959</v>
      </c>
      <c r="AL31" s="2">
        <f>'[1]Forward Ranks'!BX31</f>
        <v>0.52183406113537123</v>
      </c>
      <c r="AN31" t="str">
        <f>'[1]Forward Ranks'!B31</f>
        <v>T.B</v>
      </c>
      <c r="AO31">
        <f>'[1]F on ice'!E31</f>
        <v>58</v>
      </c>
      <c r="AP31" s="2">
        <f>'[1]Impact Score Math'!E31</f>
        <v>0.61523046092184364</v>
      </c>
      <c r="AQ31">
        <f>'[1]Impact Score Math'!G31</f>
        <v>193</v>
      </c>
      <c r="AT31" s="1">
        <f>'[1]Forward Ranks'!CJ31</f>
        <v>0.43886462882096072</v>
      </c>
      <c r="AU31" s="1">
        <f>'[1]Forward Ranks'!CK31</f>
        <v>0.79257641921397382</v>
      </c>
    </row>
    <row r="32" spans="1:47" x14ac:dyDescent="0.3">
      <c r="A32" t="str">
        <f>'[1]Forward Ranks'!A32</f>
        <v>Anthony Duclair</v>
      </c>
      <c r="B32">
        <f>'[1]Forward Ranks'!D32</f>
        <v>0</v>
      </c>
      <c r="C32" s="1">
        <f>'[1]Forward Ranks'!I32</f>
        <v>0.93231441048034935</v>
      </c>
      <c r="D32" s="1">
        <f>'[1]Forward Ranks'!J32</f>
        <v>0.99781659388646293</v>
      </c>
      <c r="E32" s="1">
        <f>'[1]Forward Ranks'!K32</f>
        <v>0.86462882096069871</v>
      </c>
      <c r="F32" s="1">
        <f>'[1]Forward Ranks'!L32</f>
        <v>0.95633187772925765</v>
      </c>
      <c r="G32">
        <f>'[1]Forward Ranks'!N32</f>
        <v>0</v>
      </c>
      <c r="H32" s="1">
        <f>'[1]Forward Ranks'!S32</f>
        <v>4.5851528384279479E-2</v>
      </c>
      <c r="I32" s="1">
        <f>'[1]Forward Ranks'!T32</f>
        <v>0.95196506550218341</v>
      </c>
      <c r="J32" s="1">
        <f>'[1]Forward Ranks'!U32</f>
        <v>0.97379912663755464</v>
      </c>
      <c r="K32" s="1">
        <f>'[1]Forward Ranks'!V32</f>
        <v>0.64410480349344978</v>
      </c>
      <c r="L32">
        <f>'[1]Forward Ranks'!X32</f>
        <v>0</v>
      </c>
      <c r="M32" s="1">
        <f>'[1]Forward Ranks'!AC32</f>
        <v>1.7467248908296942E-2</v>
      </c>
      <c r="N32" s="1">
        <f>'[1]Forward Ranks'!AD32</f>
        <v>6.5502183406113534E-3</v>
      </c>
      <c r="O32" s="1">
        <f>'[1]Forward Ranks'!AE32</f>
        <v>0.6266375545851528</v>
      </c>
      <c r="P32" s="1">
        <f>'[1]Forward Ranks'!AF32</f>
        <v>1.9650655021834062E-2</v>
      </c>
      <c r="Q32">
        <f>'[1]Forward Ranks'!AH32</f>
        <v>0</v>
      </c>
      <c r="R32" s="1">
        <f>'[1]Forward Ranks'!AM32</f>
        <v>0.55240174672489084</v>
      </c>
      <c r="S32" s="1">
        <f>'[1]Forward Ranks'!AN32</f>
        <v>0.95851528384279472</v>
      </c>
      <c r="T32" s="1">
        <f>'[1]Forward Ranks'!AO32</f>
        <v>0.54585152838427953</v>
      </c>
      <c r="U32" s="1">
        <f>'[1]Forward Ranks'!AP32</f>
        <v>0.79257641921397382</v>
      </c>
      <c r="V32">
        <f>'[1]Forward Ranks'!AR32</f>
        <v>0</v>
      </c>
      <c r="W32" s="1">
        <f>'[1]Forward Ranks'!AW32</f>
        <v>2.1834061135371178E-3</v>
      </c>
      <c r="X32" s="1">
        <f>'[1]Forward Ranks'!AX32</f>
        <v>2.1834061135371178E-3</v>
      </c>
      <c r="Y32" s="1">
        <f>'[1]Forward Ranks'!AY32</f>
        <v>0.15065502183406113</v>
      </c>
      <c r="Z32" s="1">
        <f>'[1]Forward Ranks'!AZ32</f>
        <v>2.1834061135371178E-3</v>
      </c>
      <c r="AA32">
        <f>'[1]Forward Ranks'!BB32</f>
        <v>0</v>
      </c>
      <c r="AB32" s="1">
        <f>'[1]Forward Ranks'!BG32</f>
        <v>0.64628820960698685</v>
      </c>
      <c r="AC32" s="1">
        <f>'[1]Forward Ranks'!BH32</f>
        <v>0.63973799126637554</v>
      </c>
      <c r="AD32" s="1">
        <f>'[1]Forward Ranks'!BI32</f>
        <v>0.61353711790393017</v>
      </c>
      <c r="AE32" s="1">
        <f>'[1]Forward Ranks'!BJ32</f>
        <v>0.85589519650655022</v>
      </c>
      <c r="AF32">
        <f>'[1]Forward Ranks'!BL32</f>
        <v>0</v>
      </c>
      <c r="AG32" s="1">
        <f>'[1]Forward Ranks'!BQ32</f>
        <v>0.43886462882096072</v>
      </c>
      <c r="AH32" s="1">
        <f>'[1]Forward Ranks'!BR32</f>
        <v>0.611353711790393</v>
      </c>
      <c r="AI32" s="1">
        <f>'[1]Forward Ranks'!BS32</f>
        <v>0.85807860262008728</v>
      </c>
      <c r="AJ32" s="1">
        <f>'[1]Forward Ranks'!BT32</f>
        <v>0.51310043668122274</v>
      </c>
      <c r="AL32" s="2">
        <f>'[1]Forward Ranks'!BX32</f>
        <v>0.26637554585152839</v>
      </c>
      <c r="AN32" t="str">
        <f>'[1]Forward Ranks'!B32</f>
        <v>FLA</v>
      </c>
      <c r="AO32">
        <f>'[1]F on ice'!E32</f>
        <v>20</v>
      </c>
      <c r="AP32" s="2">
        <f>'[1]Impact Score Math'!E32</f>
        <v>0.41082164328657317</v>
      </c>
      <c r="AQ32">
        <f>'[1]Impact Score Math'!G32</f>
        <v>295</v>
      </c>
      <c r="AT32" s="1">
        <f>'[1]Forward Ranks'!CJ32</f>
        <v>0.92358078602620086</v>
      </c>
      <c r="AU32" s="1">
        <f>'[1]Forward Ranks'!CK32</f>
        <v>0.34497816593886466</v>
      </c>
    </row>
    <row r="33" spans="1:47" x14ac:dyDescent="0.3">
      <c r="A33" t="str">
        <f>'[1]Forward Ranks'!A33</f>
        <v>Anthony Mantha</v>
      </c>
      <c r="B33">
        <f>'[1]Forward Ranks'!D33</f>
        <v>0</v>
      </c>
      <c r="C33" s="1">
        <f>'[1]Forward Ranks'!I33</f>
        <v>0.60480349344978168</v>
      </c>
      <c r="D33" s="1">
        <f>'[1]Forward Ranks'!J33</f>
        <v>0.53056768558951961</v>
      </c>
      <c r="E33" s="1">
        <f>'[1]Forward Ranks'!K33</f>
        <v>0.4606986899563319</v>
      </c>
      <c r="F33" s="1">
        <f>'[1]Forward Ranks'!L33</f>
        <v>0.56550218340611358</v>
      </c>
      <c r="G33">
        <f>'[1]Forward Ranks'!N33</f>
        <v>0</v>
      </c>
      <c r="H33" s="1">
        <f>'[1]Forward Ranks'!S33</f>
        <v>0.55676855895196509</v>
      </c>
      <c r="I33" s="1">
        <f>'[1]Forward Ranks'!T33</f>
        <v>0.40393013100436681</v>
      </c>
      <c r="J33" s="1">
        <f>'[1]Forward Ranks'!U33</f>
        <v>0.52183406113537123</v>
      </c>
      <c r="K33" s="1">
        <f>'[1]Forward Ranks'!V33</f>
        <v>0.4606986899563319</v>
      </c>
      <c r="L33">
        <f>'[1]Forward Ranks'!X33</f>
        <v>0</v>
      </c>
      <c r="M33" s="1">
        <f>'[1]Forward Ranks'!AC33</f>
        <v>0.71179039301310043</v>
      </c>
      <c r="N33" s="1">
        <f>'[1]Forward Ranks'!AD33</f>
        <v>0.90393013100436681</v>
      </c>
      <c r="O33" s="1">
        <f>'[1]Forward Ranks'!AE33</f>
        <v>0.32314410480349343</v>
      </c>
      <c r="P33" s="1">
        <f>'[1]Forward Ranks'!AF33</f>
        <v>0.75109170305676853</v>
      </c>
      <c r="Q33">
        <f>'[1]Forward Ranks'!AH33</f>
        <v>0</v>
      </c>
      <c r="R33" s="1">
        <f>'[1]Forward Ranks'!AM33</f>
        <v>0.56768558951965065</v>
      </c>
      <c r="S33" s="1">
        <f>'[1]Forward Ranks'!AN33</f>
        <v>0.49126637554585151</v>
      </c>
      <c r="T33" s="1">
        <f>'[1]Forward Ranks'!AO33</f>
        <v>0.43449781659388648</v>
      </c>
      <c r="U33" s="1">
        <f>'[1]Forward Ranks'!AP33</f>
        <v>0.51528384279475981</v>
      </c>
      <c r="V33">
        <f>'[1]Forward Ranks'!AR33</f>
        <v>0</v>
      </c>
      <c r="W33" s="1">
        <f>'[1]Forward Ranks'!AW33</f>
        <v>0.85807860262008728</v>
      </c>
      <c r="X33" s="1">
        <f>'[1]Forward Ranks'!AX33</f>
        <v>0.95196506550218341</v>
      </c>
      <c r="Y33" s="1">
        <f>'[1]Forward Ranks'!AY33</f>
        <v>0.31441048034934499</v>
      </c>
      <c r="Z33" s="1">
        <f>'[1]Forward Ranks'!AZ33</f>
        <v>0.84279475982532748</v>
      </c>
      <c r="AA33">
        <f>'[1]Forward Ranks'!BB33</f>
        <v>0</v>
      </c>
      <c r="AB33" s="1">
        <f>'[1]Forward Ranks'!BG33</f>
        <v>0.62008733624454149</v>
      </c>
      <c r="AC33" s="1">
        <f>'[1]Forward Ranks'!BH33</f>
        <v>0.31441048034934499</v>
      </c>
      <c r="AD33" s="1">
        <f>'[1]Forward Ranks'!BI33</f>
        <v>0.39519650655021832</v>
      </c>
      <c r="AE33" s="1">
        <f>'[1]Forward Ranks'!BJ33</f>
        <v>0.13537117903930132</v>
      </c>
      <c r="AF33">
        <f>'[1]Forward Ranks'!BL33</f>
        <v>0</v>
      </c>
      <c r="AG33" s="1">
        <f>'[1]Forward Ranks'!BQ33</f>
        <v>0.66812227074235808</v>
      </c>
      <c r="AH33" s="1">
        <f>'[1]Forward Ranks'!BR33</f>
        <v>0.76200873362445409</v>
      </c>
      <c r="AI33" s="1">
        <f>'[1]Forward Ranks'!BS33</f>
        <v>0.36899563318777295</v>
      </c>
      <c r="AJ33" s="1">
        <f>'[1]Forward Ranks'!BT33</f>
        <v>0.72489082969432317</v>
      </c>
      <c r="AL33" s="2">
        <f>'[1]Forward Ranks'!BX33</f>
        <v>0.74672489082969429</v>
      </c>
      <c r="AN33" t="str">
        <f>'[1]Forward Ranks'!B33</f>
        <v>WSH</v>
      </c>
      <c r="AO33">
        <f>'[1]F on ice'!E33</f>
        <v>67</v>
      </c>
      <c r="AP33" s="2">
        <f>'[1]Impact Score Math'!E33</f>
        <v>0.76352705410821642</v>
      </c>
      <c r="AQ33">
        <f>'[1]Impact Score Math'!G33</f>
        <v>119</v>
      </c>
      <c r="AT33" s="1">
        <f>'[1]Forward Ranks'!CJ33</f>
        <v>0.46506550218340609</v>
      </c>
      <c r="AU33" s="1">
        <f>'[1]Forward Ranks'!CK33</f>
        <v>0.53056768558951961</v>
      </c>
    </row>
    <row r="34" spans="1:47" x14ac:dyDescent="0.3">
      <c r="A34" t="str">
        <f>'[1]Forward Ranks'!A34</f>
        <v>Anton Lundell</v>
      </c>
      <c r="B34">
        <f>'[1]Forward Ranks'!D34</f>
        <v>0</v>
      </c>
      <c r="C34" s="1">
        <f>'[1]Forward Ranks'!I34</f>
        <v>0.85807860262008728</v>
      </c>
      <c r="D34" s="1">
        <f>'[1]Forward Ranks'!J34</f>
        <v>0.8253275109170306</v>
      </c>
      <c r="E34" s="1">
        <f>'[1]Forward Ranks'!K34</f>
        <v>0.59170305676855894</v>
      </c>
      <c r="F34" s="1">
        <f>'[1]Forward Ranks'!L34</f>
        <v>0.80786026200873362</v>
      </c>
      <c r="G34">
        <f>'[1]Forward Ranks'!N34</f>
        <v>0</v>
      </c>
      <c r="H34" s="1">
        <f>'[1]Forward Ranks'!S34</f>
        <v>0.42358078602620086</v>
      </c>
      <c r="I34" s="1">
        <f>'[1]Forward Ranks'!T34</f>
        <v>0.25982532751091703</v>
      </c>
      <c r="J34" s="1">
        <f>'[1]Forward Ranks'!U34</f>
        <v>0.21615720524017468</v>
      </c>
      <c r="K34" s="1">
        <f>'[1]Forward Ranks'!V34</f>
        <v>0.26637554585152839</v>
      </c>
      <c r="L34">
        <f>'[1]Forward Ranks'!X34</f>
        <v>0</v>
      </c>
      <c r="M34" s="1">
        <f>'[1]Forward Ranks'!AC34</f>
        <v>0.68340611353711789</v>
      </c>
      <c r="N34" s="1">
        <f>'[1]Forward Ranks'!AD34</f>
        <v>0.20305676855895197</v>
      </c>
      <c r="O34" s="1">
        <f>'[1]Forward Ranks'!AE34</f>
        <v>0.57860262008733621</v>
      </c>
      <c r="P34" s="1">
        <f>'[1]Forward Ranks'!AF34</f>
        <v>0.5873362445414847</v>
      </c>
      <c r="Q34">
        <f>'[1]Forward Ranks'!AH34</f>
        <v>0</v>
      </c>
      <c r="R34" s="1">
        <f>'[1]Forward Ranks'!AM34</f>
        <v>0.36899563318777295</v>
      </c>
      <c r="S34" s="1">
        <f>'[1]Forward Ranks'!AN34</f>
        <v>0.39737991266375544</v>
      </c>
      <c r="T34" s="1">
        <f>'[1]Forward Ranks'!AO34</f>
        <v>0.3056768558951965</v>
      </c>
      <c r="U34" s="1">
        <f>'[1]Forward Ranks'!AP34</f>
        <v>0.29257641921397382</v>
      </c>
      <c r="V34">
        <f>'[1]Forward Ranks'!AR34</f>
        <v>0</v>
      </c>
      <c r="W34" s="1">
        <f>'[1]Forward Ranks'!AW34</f>
        <v>0.82969432314410485</v>
      </c>
      <c r="X34" s="1">
        <f>'[1]Forward Ranks'!AX34</f>
        <v>0.35589519650655022</v>
      </c>
      <c r="Y34" s="1">
        <f>'[1]Forward Ranks'!AY34</f>
        <v>0.6026200873362445</v>
      </c>
      <c r="Z34" s="1">
        <f>'[1]Forward Ranks'!AZ34</f>
        <v>0.76200873362445409</v>
      </c>
      <c r="AA34">
        <f>'[1]Forward Ranks'!BB34</f>
        <v>0</v>
      </c>
      <c r="AB34" s="1">
        <f>'[1]Forward Ranks'!BG34</f>
        <v>0.44541484716157204</v>
      </c>
      <c r="AC34" s="1">
        <f>'[1]Forward Ranks'!BH34</f>
        <v>0.65283842794759828</v>
      </c>
      <c r="AD34" s="1">
        <f>'[1]Forward Ranks'!BI34</f>
        <v>0.34716157205240172</v>
      </c>
      <c r="AE34" s="1">
        <f>'[1]Forward Ranks'!BJ34</f>
        <v>0.35807860262008734</v>
      </c>
      <c r="AF34">
        <f>'[1]Forward Ranks'!BL34</f>
        <v>0</v>
      </c>
      <c r="AG34" s="1">
        <f>'[1]Forward Ranks'!BQ34</f>
        <v>0.86026200873362446</v>
      </c>
      <c r="AH34" s="1">
        <f>'[1]Forward Ranks'!BR34</f>
        <v>0.6026200873362445</v>
      </c>
      <c r="AI34" s="1">
        <f>'[1]Forward Ranks'!BS34</f>
        <v>0.61790393013100442</v>
      </c>
      <c r="AJ34" s="1">
        <f>'[1]Forward Ranks'!BT34</f>
        <v>0.78820960698689957</v>
      </c>
      <c r="AL34" s="2">
        <f>'[1]Forward Ranks'!BX34</f>
        <v>0.6506550218340611</v>
      </c>
      <c r="AN34" t="str">
        <f>'[1]Forward Ranks'!B34</f>
        <v>FLA</v>
      </c>
      <c r="AO34">
        <f>'[1]F on ice'!E34</f>
        <v>73</v>
      </c>
      <c r="AP34" s="2">
        <f>'[1]Impact Score Math'!E34</f>
        <v>0.66132264529058116</v>
      </c>
      <c r="AQ34">
        <f>'[1]Impact Score Math'!G34</f>
        <v>170</v>
      </c>
      <c r="AT34" s="1">
        <f>'[1]Forward Ranks'!CJ34</f>
        <v>0.25109170305676853</v>
      </c>
      <c r="AU34" s="1">
        <f>'[1]Forward Ranks'!CK34</f>
        <v>0.65502183406113534</v>
      </c>
    </row>
    <row r="35" spans="1:47" x14ac:dyDescent="0.3">
      <c r="A35" t="str">
        <f>'[1]Forward Ranks'!A35</f>
        <v>Anze Kopitar</v>
      </c>
      <c r="B35">
        <f>'[1]Forward Ranks'!D35</f>
        <v>0</v>
      </c>
      <c r="C35" s="1">
        <f>'[1]Forward Ranks'!I35</f>
        <v>0.71615720524017468</v>
      </c>
      <c r="D35" s="1">
        <f>'[1]Forward Ranks'!J35</f>
        <v>0.69213973799126638</v>
      </c>
      <c r="E35" s="1">
        <f>'[1]Forward Ranks'!K35</f>
        <v>0.80349344978165937</v>
      </c>
      <c r="F35" s="1">
        <f>'[1]Forward Ranks'!L35</f>
        <v>0.59825327510917026</v>
      </c>
      <c r="G35">
        <f>'[1]Forward Ranks'!N35</f>
        <v>0</v>
      </c>
      <c r="H35" s="1">
        <f>'[1]Forward Ranks'!S35</f>
        <v>0.73580786026200873</v>
      </c>
      <c r="I35" s="1">
        <f>'[1]Forward Ranks'!T35</f>
        <v>0.89519650655021832</v>
      </c>
      <c r="J35" s="1">
        <f>'[1]Forward Ranks'!U35</f>
        <v>0.8253275109170306</v>
      </c>
      <c r="K35" s="1">
        <f>'[1]Forward Ranks'!V35</f>
        <v>0.89082969432314407</v>
      </c>
      <c r="L35">
        <f>'[1]Forward Ranks'!X35</f>
        <v>0</v>
      </c>
      <c r="M35" s="1">
        <f>'[1]Forward Ranks'!AC35</f>
        <v>0.84716157205240172</v>
      </c>
      <c r="N35" s="1">
        <f>'[1]Forward Ranks'!AD35</f>
        <v>0.57641921397379914</v>
      </c>
      <c r="O35" s="1">
        <f>'[1]Forward Ranks'!AE35</f>
        <v>0.71179039301310043</v>
      </c>
      <c r="P35" s="1">
        <f>'[1]Forward Ranks'!AF35</f>
        <v>0.69868995633187769</v>
      </c>
      <c r="Q35">
        <f>'[1]Forward Ranks'!AH35</f>
        <v>0</v>
      </c>
      <c r="R35" s="1">
        <f>'[1]Forward Ranks'!AM35</f>
        <v>0.56986899563318782</v>
      </c>
      <c r="S35" s="1">
        <f>'[1]Forward Ranks'!AN35</f>
        <v>0.5</v>
      </c>
      <c r="T35" s="1">
        <f>'[1]Forward Ranks'!AO35</f>
        <v>0.82969432314410485</v>
      </c>
      <c r="U35" s="1">
        <f>'[1]Forward Ranks'!AP35</f>
        <v>0.55021834061135366</v>
      </c>
      <c r="V35">
        <f>'[1]Forward Ranks'!AR35</f>
        <v>0</v>
      </c>
      <c r="W35" s="1">
        <f>'[1]Forward Ranks'!AW35</f>
        <v>0.42576419213973798</v>
      </c>
      <c r="X35" s="1">
        <f>'[1]Forward Ranks'!AX35</f>
        <v>0.2205240174672489</v>
      </c>
      <c r="Y35" s="1">
        <f>'[1]Forward Ranks'!AY35</f>
        <v>0.67903930131004364</v>
      </c>
      <c r="Z35" s="1">
        <f>'[1]Forward Ranks'!AZ35</f>
        <v>0.31441048034934499</v>
      </c>
      <c r="AA35">
        <f>'[1]Forward Ranks'!BB35</f>
        <v>0</v>
      </c>
      <c r="AB35" s="1">
        <f>'[1]Forward Ranks'!BG35</f>
        <v>0.90829694323144106</v>
      </c>
      <c r="AC35" s="1">
        <f>'[1]Forward Ranks'!BH35</f>
        <v>0.37336244541484714</v>
      </c>
      <c r="AD35" s="1">
        <f>'[1]Forward Ranks'!BI35</f>
        <v>0.78165938864628826</v>
      </c>
      <c r="AE35" s="1">
        <f>'[1]Forward Ranks'!BJ35</f>
        <v>0.70960698689956336</v>
      </c>
      <c r="AF35">
        <f>'[1]Forward Ranks'!BL35</f>
        <v>0</v>
      </c>
      <c r="AG35" s="1">
        <f>'[1]Forward Ranks'!BQ35</f>
        <v>0.8253275109170306</v>
      </c>
      <c r="AH35" s="1">
        <f>'[1]Forward Ranks'!BR35</f>
        <v>0.68558951965065507</v>
      </c>
      <c r="AI35" s="1">
        <f>'[1]Forward Ranks'!BS35</f>
        <v>0.85589519650655022</v>
      </c>
      <c r="AJ35" s="1">
        <f>'[1]Forward Ranks'!BT35</f>
        <v>0.69432314410480345</v>
      </c>
      <c r="AL35" s="2">
        <f>'[1]Forward Ranks'!BX35</f>
        <v>0.81441048034934493</v>
      </c>
      <c r="AN35" t="str">
        <f>'[1]Forward Ranks'!B35</f>
        <v>L.A</v>
      </c>
      <c r="AO35">
        <f>'[1]F on ice'!E35</f>
        <v>82</v>
      </c>
      <c r="AP35" s="2">
        <f>'[1]Impact Score Math'!E35</f>
        <v>0.8997995991983968</v>
      </c>
      <c r="AQ35">
        <f>'[1]Impact Score Math'!G35</f>
        <v>51</v>
      </c>
      <c r="AT35" s="1">
        <f>'[1]Forward Ranks'!CJ35</f>
        <v>0.97379912663755464</v>
      </c>
      <c r="AU35" s="1">
        <f>'[1]Forward Ranks'!CK35</f>
        <v>9.606986899563319E-2</v>
      </c>
    </row>
    <row r="36" spans="1:47" x14ac:dyDescent="0.3">
      <c r="A36" t="str">
        <f>'[1]Forward Ranks'!A36</f>
        <v>Artemi Panarin</v>
      </c>
      <c r="B36">
        <f>'[1]Forward Ranks'!D36</f>
        <v>0</v>
      </c>
      <c r="C36" s="1">
        <f>'[1]Forward Ranks'!I36</f>
        <v>0.66157205240174677</v>
      </c>
      <c r="D36" s="1">
        <f>'[1]Forward Ranks'!J36</f>
        <v>0.59388646288209612</v>
      </c>
      <c r="E36" s="1">
        <f>'[1]Forward Ranks'!K36</f>
        <v>0.80349344978165937</v>
      </c>
      <c r="F36" s="1">
        <f>'[1]Forward Ranks'!L36</f>
        <v>0.56550218340611358</v>
      </c>
      <c r="G36">
        <f>'[1]Forward Ranks'!N36</f>
        <v>0</v>
      </c>
      <c r="H36" s="1">
        <f>'[1]Forward Ranks'!S36</f>
        <v>0.78384279475982532</v>
      </c>
      <c r="I36" s="1">
        <f>'[1]Forward Ranks'!T36</f>
        <v>0.91484716157205237</v>
      </c>
      <c r="J36" s="1">
        <f>'[1]Forward Ranks'!U36</f>
        <v>0.89519650655021832</v>
      </c>
      <c r="K36" s="1">
        <f>'[1]Forward Ranks'!V36</f>
        <v>0.92139737991266379</v>
      </c>
      <c r="L36">
        <f>'[1]Forward Ranks'!X36</f>
        <v>0</v>
      </c>
      <c r="M36" s="1">
        <f>'[1]Forward Ranks'!AC36</f>
        <v>0.78165938864628826</v>
      </c>
      <c r="N36" s="1">
        <f>'[1]Forward Ranks'!AD36</f>
        <v>0.26637554585152839</v>
      </c>
      <c r="O36" s="1">
        <f>'[1]Forward Ranks'!AE36</f>
        <v>0.44541484716157204</v>
      </c>
      <c r="P36" s="1">
        <f>'[1]Forward Ranks'!AF36</f>
        <v>0.4606986899563319</v>
      </c>
      <c r="Q36">
        <f>'[1]Forward Ranks'!AH36</f>
        <v>0</v>
      </c>
      <c r="R36" s="1">
        <f>'[1]Forward Ranks'!AM36</f>
        <v>0.80349344978165937</v>
      </c>
      <c r="S36" s="1">
        <f>'[1]Forward Ranks'!AN36</f>
        <v>0.63973799126637554</v>
      </c>
      <c r="T36" s="1">
        <f>'[1]Forward Ranks'!AO36</f>
        <v>0.78384279475982532</v>
      </c>
      <c r="U36" s="1">
        <f>'[1]Forward Ranks'!AP36</f>
        <v>0.67248908296943233</v>
      </c>
      <c r="V36">
        <f>'[1]Forward Ranks'!AR36</f>
        <v>0</v>
      </c>
      <c r="W36" s="1">
        <f>'[1]Forward Ranks'!AW36</f>
        <v>0.70087336244541487</v>
      </c>
      <c r="X36" s="1">
        <f>'[1]Forward Ranks'!AX36</f>
        <v>0.32096069868995636</v>
      </c>
      <c r="Y36" s="1">
        <f>'[1]Forward Ranks'!AY36</f>
        <v>0.16812227074235808</v>
      </c>
      <c r="Z36" s="1">
        <f>'[1]Forward Ranks'!AZ36</f>
        <v>0.44978165938864628</v>
      </c>
      <c r="AA36">
        <f>'[1]Forward Ranks'!BB36</f>
        <v>0</v>
      </c>
      <c r="AB36" s="1">
        <f>'[1]Forward Ranks'!BG36</f>
        <v>0.94978165938864634</v>
      </c>
      <c r="AC36" s="1">
        <f>'[1]Forward Ranks'!BH36</f>
        <v>0.388646288209607</v>
      </c>
      <c r="AD36" s="1">
        <f>'[1]Forward Ranks'!BI36</f>
        <v>0.83624454148471616</v>
      </c>
      <c r="AE36" s="1">
        <f>'[1]Forward Ranks'!BJ36</f>
        <v>0.61790393013100442</v>
      </c>
      <c r="AF36">
        <f>'[1]Forward Ranks'!BL36</f>
        <v>0</v>
      </c>
      <c r="AG36" s="1">
        <f>'[1]Forward Ranks'!BQ36</f>
        <v>0.76855895196506552</v>
      </c>
      <c r="AH36" s="1">
        <f>'[1]Forward Ranks'!BR36</f>
        <v>0.42794759825327511</v>
      </c>
      <c r="AI36" s="1">
        <f>'[1]Forward Ranks'!BS36</f>
        <v>0.68558951965065507</v>
      </c>
      <c r="AJ36" s="1">
        <f>'[1]Forward Ranks'!BT36</f>
        <v>0.53056768558951961</v>
      </c>
      <c r="AL36" s="2">
        <f>'[1]Forward Ranks'!BX36</f>
        <v>0.86681222707423577</v>
      </c>
      <c r="AN36" t="str">
        <f>'[1]Forward Ranks'!B36</f>
        <v>NYR</v>
      </c>
      <c r="AO36">
        <f>'[1]F on ice'!E36</f>
        <v>82</v>
      </c>
      <c r="AP36" s="2">
        <f>'[1]Impact Score Math'!E36</f>
        <v>0.94388777555110226</v>
      </c>
      <c r="AQ36">
        <f>'[1]Impact Score Math'!G36</f>
        <v>29</v>
      </c>
      <c r="AT36" s="1">
        <f>'[1]Forward Ranks'!CJ36</f>
        <v>0.61572052401746724</v>
      </c>
      <c r="AU36" s="1">
        <f>'[1]Forward Ranks'!CK36</f>
        <v>0.3296943231441048</v>
      </c>
    </row>
    <row r="37" spans="1:47" x14ac:dyDescent="0.3">
      <c r="A37" t="str">
        <f>'[1]Forward Ranks'!A37</f>
        <v>Arthur Kaliyev</v>
      </c>
      <c r="B37">
        <f>'[1]Forward Ranks'!D37</f>
        <v>0</v>
      </c>
      <c r="C37" s="1">
        <f>'[1]Forward Ranks'!I37</f>
        <v>0.80786026200873362</v>
      </c>
      <c r="D37" s="1">
        <f>'[1]Forward Ranks'!J37</f>
        <v>0.888646288209607</v>
      </c>
      <c r="E37" s="1">
        <f>'[1]Forward Ranks'!K37</f>
        <v>0.68995633187772931</v>
      </c>
      <c r="F37" s="1">
        <f>'[1]Forward Ranks'!L37</f>
        <v>0.70524017467248912</v>
      </c>
      <c r="G37">
        <f>'[1]Forward Ranks'!N37</f>
        <v>0</v>
      </c>
      <c r="H37" s="1">
        <f>'[1]Forward Ranks'!S37</f>
        <v>0.34934497816593885</v>
      </c>
      <c r="I37" s="1">
        <f>'[1]Forward Ranks'!T37</f>
        <v>0.68995633187772931</v>
      </c>
      <c r="J37" s="1">
        <f>'[1]Forward Ranks'!U37</f>
        <v>0.38646288209606988</v>
      </c>
      <c r="K37" s="1">
        <f>'[1]Forward Ranks'!V37</f>
        <v>0.57641921397379914</v>
      </c>
      <c r="L37">
        <f>'[1]Forward Ranks'!X37</f>
        <v>0</v>
      </c>
      <c r="M37" s="1">
        <f>'[1]Forward Ranks'!AC37</f>
        <v>0.81004366812227069</v>
      </c>
      <c r="N37" s="1">
        <f>'[1]Forward Ranks'!AD37</f>
        <v>0.36026200873362446</v>
      </c>
      <c r="O37" s="1">
        <f>'[1]Forward Ranks'!AE37</f>
        <v>0.37554585152838427</v>
      </c>
      <c r="P37" s="1">
        <f>'[1]Forward Ranks'!AF37</f>
        <v>0.47816593886462883</v>
      </c>
      <c r="Q37">
        <f>'[1]Forward Ranks'!AH37</f>
        <v>0</v>
      </c>
      <c r="R37" s="1">
        <f>'[1]Forward Ranks'!AM37</f>
        <v>0.6506550218340611</v>
      </c>
      <c r="S37" s="1">
        <f>'[1]Forward Ranks'!AN37</f>
        <v>0.87117903930131002</v>
      </c>
      <c r="T37" s="1">
        <f>'[1]Forward Ranks'!AO37</f>
        <v>0.73362445414847166</v>
      </c>
      <c r="U37" s="1">
        <f>'[1]Forward Ranks'!AP37</f>
        <v>0.63973799126637554</v>
      </c>
      <c r="V37">
        <f>'[1]Forward Ranks'!AR37</f>
        <v>0</v>
      </c>
      <c r="W37" s="1">
        <f>'[1]Forward Ranks'!AW37</f>
        <v>0.39519650655021832</v>
      </c>
      <c r="X37" s="1">
        <f>'[1]Forward Ranks'!AX37</f>
        <v>8.0786026200873357E-2</v>
      </c>
      <c r="Y37" s="1">
        <f>'[1]Forward Ranks'!AY37</f>
        <v>0.17467248908296942</v>
      </c>
      <c r="Z37" s="1">
        <f>'[1]Forward Ranks'!AZ37</f>
        <v>0.10480349344978165</v>
      </c>
      <c r="AA37">
        <f>'[1]Forward Ranks'!BB37</f>
        <v>0</v>
      </c>
      <c r="AB37" s="1">
        <f>'[1]Forward Ranks'!BG37</f>
        <v>8.296943231441048E-2</v>
      </c>
      <c r="AC37" s="1">
        <f>'[1]Forward Ranks'!BH37</f>
        <v>0.91703056768558955</v>
      </c>
      <c r="AD37" s="1">
        <f>'[1]Forward Ranks'!BI37</f>
        <v>0.60480349344978168</v>
      </c>
      <c r="AE37" s="1">
        <f>'[1]Forward Ranks'!BJ37</f>
        <v>0.27510917030567683</v>
      </c>
      <c r="AF37">
        <f>'[1]Forward Ranks'!BL37</f>
        <v>0</v>
      </c>
      <c r="AG37" s="1">
        <f>'[1]Forward Ranks'!BQ37</f>
        <v>0.8493449781659389</v>
      </c>
      <c r="AH37" s="1">
        <f>'[1]Forward Ranks'!BR37</f>
        <v>0.76855895196506552</v>
      </c>
      <c r="AI37" s="1">
        <f>'[1]Forward Ranks'!BS37</f>
        <v>0.55458515283842791</v>
      </c>
      <c r="AJ37" s="1">
        <f>'[1]Forward Ranks'!BT37</f>
        <v>0.63755458515283847</v>
      </c>
      <c r="AL37" s="2">
        <f>'[1]Forward Ranks'!BX37</f>
        <v>0.65938864628820959</v>
      </c>
      <c r="AN37" t="str">
        <f>'[1]Forward Ranks'!B37</f>
        <v>L.A</v>
      </c>
      <c r="AO37">
        <f>'[1]F on ice'!E37</f>
        <v>56</v>
      </c>
      <c r="AP37" s="2">
        <f>'[1]Impact Score Math'!E37</f>
        <v>0.49298597194388777</v>
      </c>
      <c r="AQ37">
        <f>'[1]Impact Score Math'!G37</f>
        <v>254</v>
      </c>
      <c r="AT37" s="1">
        <f>'[1]Forward Ranks'!CJ37</f>
        <v>0.6506550218340611</v>
      </c>
      <c r="AU37" s="1">
        <f>'[1]Forward Ranks'!CK37</f>
        <v>0.32751091703056767</v>
      </c>
    </row>
    <row r="38" spans="1:47" x14ac:dyDescent="0.3">
      <c r="A38" t="str">
        <f>'[1]Forward Ranks'!A38</f>
        <v>Artturi Lehkonen</v>
      </c>
      <c r="B38">
        <f>'[1]Forward Ranks'!D38</f>
        <v>0</v>
      </c>
      <c r="C38" s="1">
        <f>'[1]Forward Ranks'!I38</f>
        <v>0.87772925764192145</v>
      </c>
      <c r="D38" s="1">
        <f>'[1]Forward Ranks'!J38</f>
        <v>0.76637554585152834</v>
      </c>
      <c r="E38" s="1">
        <f>'[1]Forward Ranks'!K38</f>
        <v>0.80786026200873362</v>
      </c>
      <c r="F38" s="1">
        <f>'[1]Forward Ranks'!L38</f>
        <v>0.79475982532751088</v>
      </c>
      <c r="G38">
        <f>'[1]Forward Ranks'!N38</f>
        <v>0</v>
      </c>
      <c r="H38" s="1">
        <f>'[1]Forward Ranks'!S38</f>
        <v>0.46724890829694321</v>
      </c>
      <c r="I38" s="1">
        <f>'[1]Forward Ranks'!T38</f>
        <v>0.6506550218340611</v>
      </c>
      <c r="J38" s="1">
        <f>'[1]Forward Ranks'!U38</f>
        <v>0.46943231441048033</v>
      </c>
      <c r="K38" s="1">
        <f>'[1]Forward Ranks'!V38</f>
        <v>0.59606986899563319</v>
      </c>
      <c r="L38">
        <f>'[1]Forward Ranks'!X38</f>
        <v>0</v>
      </c>
      <c r="M38" s="1">
        <f>'[1]Forward Ranks'!AC38</f>
        <v>0.46288209606986902</v>
      </c>
      <c r="N38" s="1">
        <f>'[1]Forward Ranks'!AD38</f>
        <v>0.27074235807860264</v>
      </c>
      <c r="O38" s="1">
        <f>'[1]Forward Ranks'!AE38</f>
        <v>0.5</v>
      </c>
      <c r="P38" s="1">
        <f>'[1]Forward Ranks'!AF38</f>
        <v>0.54585152838427953</v>
      </c>
      <c r="Q38">
        <f>'[1]Forward Ranks'!AH38</f>
        <v>0</v>
      </c>
      <c r="R38" s="1">
        <f>'[1]Forward Ranks'!AM38</f>
        <v>0.93231441048034935</v>
      </c>
      <c r="S38" s="1">
        <f>'[1]Forward Ranks'!AN38</f>
        <v>0.92139737991266379</v>
      </c>
      <c r="T38" s="1">
        <f>'[1]Forward Ranks'!AO38</f>
        <v>0.81877729257641918</v>
      </c>
      <c r="U38" s="1">
        <f>'[1]Forward Ranks'!AP38</f>
        <v>0.88646288209606983</v>
      </c>
      <c r="V38">
        <f>'[1]Forward Ranks'!AR38</f>
        <v>0</v>
      </c>
      <c r="W38" s="1">
        <f>'[1]Forward Ranks'!AW38</f>
        <v>0.30131004366812225</v>
      </c>
      <c r="X38" s="1">
        <f>'[1]Forward Ranks'!AX38</f>
        <v>0.17903930131004367</v>
      </c>
      <c r="Y38" s="1">
        <f>'[1]Forward Ranks'!AY38</f>
        <v>0.20742358078602621</v>
      </c>
      <c r="Z38" s="1">
        <f>'[1]Forward Ranks'!AZ38</f>
        <v>0.28820960698689957</v>
      </c>
      <c r="AA38">
        <f>'[1]Forward Ranks'!BB38</f>
        <v>0</v>
      </c>
      <c r="AB38" s="1">
        <f>'[1]Forward Ranks'!BG38</f>
        <v>0.92794759825327511</v>
      </c>
      <c r="AC38" s="1">
        <f>'[1]Forward Ranks'!BH38</f>
        <v>0.82096069868995636</v>
      </c>
      <c r="AD38" s="1">
        <f>'[1]Forward Ranks'!BI38</f>
        <v>0.57423580786026196</v>
      </c>
      <c r="AE38" s="1">
        <f>'[1]Forward Ranks'!BJ38</f>
        <v>0.64628820960698685</v>
      </c>
      <c r="AF38">
        <f>'[1]Forward Ranks'!BL38</f>
        <v>0</v>
      </c>
      <c r="AG38" s="1">
        <f>'[1]Forward Ranks'!BQ38</f>
        <v>0.79475982532751088</v>
      </c>
      <c r="AH38" s="1">
        <f>'[1]Forward Ranks'!BR38</f>
        <v>0.57860262008733621</v>
      </c>
      <c r="AI38" s="1">
        <f>'[1]Forward Ranks'!BS38</f>
        <v>0.74672489082969429</v>
      </c>
      <c r="AJ38" s="1">
        <f>'[1]Forward Ranks'!BT38</f>
        <v>0.76200873362445409</v>
      </c>
      <c r="AL38" s="2">
        <f>'[1]Forward Ranks'!BX38</f>
        <v>0.79694323144104806</v>
      </c>
      <c r="AN38" t="str">
        <f>'[1]Forward Ranks'!B38</f>
        <v>COL</v>
      </c>
      <c r="AO38">
        <f>'[1]F on ice'!E38</f>
        <v>64</v>
      </c>
      <c r="AP38" s="2">
        <f>'[1]Impact Score Math'!E38</f>
        <v>0.90781563126252507</v>
      </c>
      <c r="AQ38">
        <f>'[1]Impact Score Math'!G38</f>
        <v>47</v>
      </c>
      <c r="AT38" s="1">
        <f>'[1]Forward Ranks'!CJ38</f>
        <v>0.63100436681222705</v>
      </c>
      <c r="AU38" s="1">
        <f>'[1]Forward Ranks'!CK38</f>
        <v>7.6419213973799124E-2</v>
      </c>
    </row>
    <row r="39" spans="1:47" x14ac:dyDescent="0.3">
      <c r="A39" t="str">
        <f>'[1]Forward Ranks'!A39</f>
        <v>Austin Czarnik</v>
      </c>
      <c r="B39">
        <f>'[1]Forward Ranks'!D39</f>
        <v>0</v>
      </c>
      <c r="C39" s="1">
        <f>'[1]Forward Ranks'!I39</f>
        <v>0.1331877729257642</v>
      </c>
      <c r="D39" s="1">
        <f>'[1]Forward Ranks'!J39</f>
        <v>8.5152838427947602E-2</v>
      </c>
      <c r="E39" s="1">
        <f>'[1]Forward Ranks'!K39</f>
        <v>0.16593886462882096</v>
      </c>
      <c r="F39" s="1">
        <f>'[1]Forward Ranks'!L39</f>
        <v>0.15283842794759825</v>
      </c>
      <c r="G39">
        <f>'[1]Forward Ranks'!N39</f>
        <v>0</v>
      </c>
      <c r="H39" s="1">
        <f>'[1]Forward Ranks'!S39</f>
        <v>0.4126637554585153</v>
      </c>
      <c r="I39" s="1">
        <f>'[1]Forward Ranks'!T39</f>
        <v>2.1834061135371178E-2</v>
      </c>
      <c r="J39" s="1">
        <f>'[1]Forward Ranks'!U39</f>
        <v>9.1703056768558958E-2</v>
      </c>
      <c r="K39" s="1">
        <f>'[1]Forward Ranks'!V39</f>
        <v>5.458515283842795E-2</v>
      </c>
      <c r="L39">
        <f>'[1]Forward Ranks'!X39</f>
        <v>0</v>
      </c>
      <c r="M39" s="1">
        <f>'[1]Forward Ranks'!AC39</f>
        <v>0.71834061135371174</v>
      </c>
      <c r="N39" s="1">
        <f>'[1]Forward Ranks'!AD39</f>
        <v>0.70087336244541487</v>
      </c>
      <c r="O39" s="1">
        <f>'[1]Forward Ranks'!AE39</f>
        <v>0.82314410480349343</v>
      </c>
      <c r="P39" s="1">
        <f>'[1]Forward Ranks'!AF39</f>
        <v>0.87772925764192145</v>
      </c>
      <c r="Q39">
        <f>'[1]Forward Ranks'!AH39</f>
        <v>0</v>
      </c>
      <c r="R39" s="1">
        <f>'[1]Forward Ranks'!AM39</f>
        <v>0.5873362445414847</v>
      </c>
      <c r="S39" s="1">
        <f>'[1]Forward Ranks'!AN39</f>
        <v>0.59825327510917026</v>
      </c>
      <c r="T39" s="1">
        <f>'[1]Forward Ranks'!AO39</f>
        <v>0.63973799126637554</v>
      </c>
      <c r="U39" s="1">
        <f>'[1]Forward Ranks'!AP39</f>
        <v>0.65502183406113534</v>
      </c>
      <c r="V39">
        <f>'[1]Forward Ranks'!AR39</f>
        <v>0</v>
      </c>
      <c r="W39" s="1">
        <f>'[1]Forward Ranks'!AW39</f>
        <v>0.71615720524017468</v>
      </c>
      <c r="X39" s="1">
        <f>'[1]Forward Ranks'!AX39</f>
        <v>0.91921397379912662</v>
      </c>
      <c r="Y39" s="1">
        <f>'[1]Forward Ranks'!AY39</f>
        <v>0.99563318777292575</v>
      </c>
      <c r="Z39" s="1">
        <f>'[1]Forward Ranks'!AZ39</f>
        <v>0.91921397379912662</v>
      </c>
      <c r="AA39">
        <f>'[1]Forward Ranks'!BB39</f>
        <v>0</v>
      </c>
      <c r="AB39" s="1">
        <f>'[1]Forward Ranks'!BG39</f>
        <v>0.17903930131004367</v>
      </c>
      <c r="AC39" s="1">
        <f>'[1]Forward Ranks'!BH39</f>
        <v>0.77074235807860259</v>
      </c>
      <c r="AD39" s="1">
        <f>'[1]Forward Ranks'!BI39</f>
        <v>0.2576419213973799</v>
      </c>
      <c r="AE39" s="1">
        <f>'[1]Forward Ranks'!BJ39</f>
        <v>0.44323144104803491</v>
      </c>
      <c r="AF39">
        <f>'[1]Forward Ranks'!BL39</f>
        <v>0</v>
      </c>
      <c r="AG39" s="1">
        <f>'[1]Forward Ranks'!BQ39</f>
        <v>0.32314410480349343</v>
      </c>
      <c r="AH39" s="1">
        <f>'[1]Forward Ranks'!BR39</f>
        <v>0.2205240174672489</v>
      </c>
      <c r="AI39" s="1">
        <f>'[1]Forward Ranks'!BS39</f>
        <v>0.39737991266375544</v>
      </c>
      <c r="AJ39" s="1">
        <f>'[1]Forward Ranks'!BT39</f>
        <v>0.41048034934497818</v>
      </c>
      <c r="AL39" s="2">
        <f>'[1]Forward Ranks'!BX39</f>
        <v>0.48689956331877732</v>
      </c>
      <c r="AN39" t="str">
        <f>'[1]Forward Ranks'!B39</f>
        <v>DET</v>
      </c>
      <c r="AO39">
        <f>'[1]F on ice'!E39</f>
        <v>29</v>
      </c>
      <c r="AP39" s="2">
        <f>'[1]Impact Score Math'!E39</f>
        <v>0.44889779559118237</v>
      </c>
      <c r="AQ39">
        <f>'[1]Impact Score Math'!G39</f>
        <v>276</v>
      </c>
      <c r="AT39" s="1">
        <f>'[1]Forward Ranks'!CJ39</f>
        <v>0.43886462882096072</v>
      </c>
      <c r="AU39" s="1">
        <f>'[1]Forward Ranks'!CK39</f>
        <v>0.81877729257641918</v>
      </c>
    </row>
    <row r="40" spans="1:47" x14ac:dyDescent="0.3">
      <c r="A40" t="str">
        <f>'[1]Forward Ranks'!A40</f>
        <v>Austin Watson</v>
      </c>
      <c r="B40">
        <f>'[1]Forward Ranks'!D40</f>
        <v>0</v>
      </c>
      <c r="C40" s="1">
        <f>'[1]Forward Ranks'!I40</f>
        <v>0.1965065502183406</v>
      </c>
      <c r="D40" s="1">
        <f>'[1]Forward Ranks'!J40</f>
        <v>0.24017467248908297</v>
      </c>
      <c r="E40" s="1">
        <f>'[1]Forward Ranks'!K40</f>
        <v>2.8384279475982533E-2</v>
      </c>
      <c r="F40" s="1">
        <f>'[1]Forward Ranks'!L40</f>
        <v>6.768558951965066E-2</v>
      </c>
      <c r="G40">
        <f>'[1]Forward Ranks'!N40</f>
        <v>0</v>
      </c>
      <c r="H40" s="1">
        <f>'[1]Forward Ranks'!S40</f>
        <v>0.388646288209607</v>
      </c>
      <c r="I40" s="1">
        <f>'[1]Forward Ranks'!T40</f>
        <v>2.1834061135371178E-2</v>
      </c>
      <c r="J40" s="1">
        <f>'[1]Forward Ranks'!U40</f>
        <v>3.4934497816593885E-2</v>
      </c>
      <c r="K40" s="1">
        <f>'[1]Forward Ranks'!V40</f>
        <v>5.0218340611353711E-2</v>
      </c>
      <c r="L40">
        <f>'[1]Forward Ranks'!X40</f>
        <v>0</v>
      </c>
      <c r="M40" s="1">
        <f>'[1]Forward Ranks'!AC40</f>
        <v>0.58296943231441045</v>
      </c>
      <c r="N40" s="1">
        <f>'[1]Forward Ranks'!AD40</f>
        <v>0.66157205240174677</v>
      </c>
      <c r="O40" s="1">
        <f>'[1]Forward Ranks'!AE40</f>
        <v>0.63755458515283847</v>
      </c>
      <c r="P40" s="1">
        <f>'[1]Forward Ranks'!AF40</f>
        <v>0.63755458515283847</v>
      </c>
      <c r="Q40">
        <f>'[1]Forward Ranks'!AH40</f>
        <v>0</v>
      </c>
      <c r="R40" s="1">
        <f>'[1]Forward Ranks'!AM40</f>
        <v>1.9650655021834062E-2</v>
      </c>
      <c r="S40" s="1">
        <f>'[1]Forward Ranks'!AN40</f>
        <v>9.3886462882096067E-2</v>
      </c>
      <c r="T40" s="1">
        <f>'[1]Forward Ranks'!AO40</f>
        <v>6.3318777292576414E-2</v>
      </c>
      <c r="U40" s="1">
        <f>'[1]Forward Ranks'!AP40</f>
        <v>1.0917030567685589E-2</v>
      </c>
      <c r="V40">
        <f>'[1]Forward Ranks'!AR40</f>
        <v>0</v>
      </c>
      <c r="W40" s="1">
        <f>'[1]Forward Ranks'!AW40</f>
        <v>0.62445414847161573</v>
      </c>
      <c r="X40" s="1">
        <f>'[1]Forward Ranks'!AX40</f>
        <v>0.71834061135371174</v>
      </c>
      <c r="Y40" s="1">
        <f>'[1]Forward Ranks'!AY40</f>
        <v>0.89519650655021832</v>
      </c>
      <c r="Z40" s="1">
        <f>'[1]Forward Ranks'!AZ40</f>
        <v>0.74454148471615722</v>
      </c>
      <c r="AA40">
        <f>'[1]Forward Ranks'!BB40</f>
        <v>0</v>
      </c>
      <c r="AB40" s="1">
        <f>'[1]Forward Ranks'!BG40</f>
        <v>4.3668122270742356E-3</v>
      </c>
      <c r="AC40" s="1">
        <f>'[1]Forward Ranks'!BH40</f>
        <v>3.2751091703056769E-2</v>
      </c>
      <c r="AD40" s="1">
        <f>'[1]Forward Ranks'!BI40</f>
        <v>3.0567685589519649E-2</v>
      </c>
      <c r="AE40" s="1">
        <f>'[1]Forward Ranks'!BJ40</f>
        <v>6.3318777292576414E-2</v>
      </c>
      <c r="AF40">
        <f>'[1]Forward Ranks'!BL40</f>
        <v>0</v>
      </c>
      <c r="AG40" s="1">
        <f>'[1]Forward Ranks'!BQ40</f>
        <v>0.31877729257641924</v>
      </c>
      <c r="AH40" s="1">
        <f>'[1]Forward Ranks'!BR40</f>
        <v>0.37554585152838427</v>
      </c>
      <c r="AI40" s="1">
        <f>'[1]Forward Ranks'!BS40</f>
        <v>7.4235807860262015E-2</v>
      </c>
      <c r="AJ40" s="1">
        <f>'[1]Forward Ranks'!BT40</f>
        <v>0.17903930131004367</v>
      </c>
      <c r="AL40" s="2">
        <f>'[1]Forward Ranks'!BX40</f>
        <v>0.11135371179039301</v>
      </c>
      <c r="AN40" t="str">
        <f>'[1]Forward Ranks'!B40</f>
        <v>OTT</v>
      </c>
      <c r="AO40">
        <f>'[1]F on ice'!E40</f>
        <v>75</v>
      </c>
      <c r="AP40" s="2">
        <f>'[1]Impact Score Math'!E40</f>
        <v>0.12825651302605209</v>
      </c>
      <c r="AQ40">
        <f>'[1]Impact Score Math'!G40</f>
        <v>436</v>
      </c>
      <c r="AT40" s="1">
        <f>'[1]Forward Ranks'!CJ40</f>
        <v>8.7336244541484712E-3</v>
      </c>
      <c r="AU40" s="1">
        <f>'[1]Forward Ranks'!CK40</f>
        <v>0.97379912663755464</v>
      </c>
    </row>
    <row r="41" spans="1:47" x14ac:dyDescent="0.3">
      <c r="A41" t="str">
        <f>'[1]Forward Ranks'!A41</f>
        <v>Auston Matthews</v>
      </c>
      <c r="B41">
        <f>'[1]Forward Ranks'!D41</f>
        <v>0</v>
      </c>
      <c r="C41" s="1">
        <f>'[1]Forward Ranks'!I41</f>
        <v>0.90829694323144106</v>
      </c>
      <c r="D41" s="1">
        <f>'[1]Forward Ranks'!J41</f>
        <v>0.98471615720524019</v>
      </c>
      <c r="E41" s="1">
        <f>'[1]Forward Ranks'!K41</f>
        <v>0.98908296943231444</v>
      </c>
      <c r="F41" s="1">
        <f>'[1]Forward Ranks'!L41</f>
        <v>0.98034934497816595</v>
      </c>
      <c r="G41">
        <f>'[1]Forward Ranks'!N41</f>
        <v>0</v>
      </c>
      <c r="H41" s="1">
        <f>'[1]Forward Ranks'!S41</f>
        <v>0.96506550218340614</v>
      </c>
      <c r="I41" s="1">
        <f>'[1]Forward Ranks'!T41</f>
        <v>0.85589519650655022</v>
      </c>
      <c r="J41" s="1">
        <f>'[1]Forward Ranks'!U41</f>
        <v>0.92576419213973804</v>
      </c>
      <c r="K41" s="1">
        <f>'[1]Forward Ranks'!V41</f>
        <v>0.9606986899563319</v>
      </c>
      <c r="L41">
        <f>'[1]Forward Ranks'!X41</f>
        <v>0</v>
      </c>
      <c r="M41" s="1">
        <f>'[1]Forward Ranks'!AC41</f>
        <v>0.611353711790393</v>
      </c>
      <c r="N41" s="1">
        <f>'[1]Forward Ranks'!AD41</f>
        <v>0.36026200873362446</v>
      </c>
      <c r="O41" s="1">
        <f>'[1]Forward Ranks'!AE41</f>
        <v>0.85807860262008728</v>
      </c>
      <c r="P41" s="1">
        <f>'[1]Forward Ranks'!AF41</f>
        <v>0.49563318777292575</v>
      </c>
      <c r="Q41">
        <f>'[1]Forward Ranks'!AH41</f>
        <v>0</v>
      </c>
      <c r="R41" s="1">
        <f>'[1]Forward Ranks'!AM41</f>
        <v>0.97161572052401746</v>
      </c>
      <c r="S41" s="1">
        <f>'[1]Forward Ranks'!AN41</f>
        <v>0.98253275109170302</v>
      </c>
      <c r="T41" s="1">
        <f>'[1]Forward Ranks'!AO41</f>
        <v>0.9759825327510917</v>
      </c>
      <c r="U41" s="1">
        <f>'[1]Forward Ranks'!AP41</f>
        <v>0.99126637554585151</v>
      </c>
      <c r="V41">
        <f>'[1]Forward Ranks'!AR41</f>
        <v>0</v>
      </c>
      <c r="W41" s="1">
        <f>'[1]Forward Ranks'!AW41</f>
        <v>0.38209606986899564</v>
      </c>
      <c r="X41" s="1">
        <f>'[1]Forward Ranks'!AX41</f>
        <v>0.23144104803493451</v>
      </c>
      <c r="Y41" s="1">
        <f>'[1]Forward Ranks'!AY41</f>
        <v>0.66157205240174677</v>
      </c>
      <c r="Z41" s="1">
        <f>'[1]Forward Ranks'!AZ41</f>
        <v>0.31441048034934499</v>
      </c>
      <c r="AA41">
        <f>'[1]Forward Ranks'!BB41</f>
        <v>0</v>
      </c>
      <c r="AB41" s="1">
        <f>'[1]Forward Ranks'!BG41</f>
        <v>0.98253275109170302</v>
      </c>
      <c r="AC41" s="1">
        <f>'[1]Forward Ranks'!BH41</f>
        <v>0.98034934497816595</v>
      </c>
      <c r="AD41" s="1">
        <f>'[1]Forward Ranks'!BI41</f>
        <v>0.94323144104803491</v>
      </c>
      <c r="AE41" s="1">
        <f>'[1]Forward Ranks'!BJ41</f>
        <v>0.97816593886462877</v>
      </c>
      <c r="AF41">
        <f>'[1]Forward Ranks'!BL41</f>
        <v>0</v>
      </c>
      <c r="AG41" s="1">
        <f>'[1]Forward Ranks'!BQ41</f>
        <v>0.88646288209606983</v>
      </c>
      <c r="AH41" s="1">
        <f>'[1]Forward Ranks'!BR41</f>
        <v>0.89082969432314407</v>
      </c>
      <c r="AI41" s="1">
        <f>'[1]Forward Ranks'!BS41</f>
        <v>0.98034934497816595</v>
      </c>
      <c r="AJ41" s="1">
        <f>'[1]Forward Ranks'!BT41</f>
        <v>0.93013100436681218</v>
      </c>
      <c r="AL41" s="2">
        <f>'[1]Forward Ranks'!BX41</f>
        <v>0.96724890829694321</v>
      </c>
      <c r="AN41" t="str">
        <f>'[1]Forward Ranks'!B41</f>
        <v>TOR</v>
      </c>
      <c r="AO41">
        <f>'[1]F on ice'!E41</f>
        <v>74</v>
      </c>
      <c r="AP41" s="2">
        <f>'[1]Impact Score Math'!E41</f>
        <v>0.9939879759519038</v>
      </c>
      <c r="AQ41">
        <f>'[1]Impact Score Math'!G41</f>
        <v>4</v>
      </c>
      <c r="AT41" s="1">
        <f>'[1]Forward Ranks'!CJ41</f>
        <v>0.85152838427947597</v>
      </c>
      <c r="AU41" s="1">
        <f>'[1]Forward Ranks'!CK41</f>
        <v>0.84497816593886466</v>
      </c>
    </row>
    <row r="42" spans="1:47" x14ac:dyDescent="0.3">
      <c r="A42" t="str">
        <f>'[1]Forward Ranks'!A42</f>
        <v>Axel Jonsson-Fjallby</v>
      </c>
      <c r="B42">
        <f>'[1]Forward Ranks'!D42</f>
        <v>0</v>
      </c>
      <c r="C42" s="1">
        <f>'[1]Forward Ranks'!I42</f>
        <v>0.31877729257641924</v>
      </c>
      <c r="D42" s="1">
        <f>'[1]Forward Ranks'!J42</f>
        <v>6.768558951965066E-2</v>
      </c>
      <c r="E42" s="1">
        <f>'[1]Forward Ranks'!K42</f>
        <v>0.25109170305676853</v>
      </c>
      <c r="F42" s="1">
        <f>'[1]Forward Ranks'!L42</f>
        <v>0.20087336244541484</v>
      </c>
      <c r="G42">
        <f>'[1]Forward Ranks'!N42</f>
        <v>0</v>
      </c>
      <c r="H42" s="1">
        <f>'[1]Forward Ranks'!S42</f>
        <v>0.63318777292576423</v>
      </c>
      <c r="I42" s="1">
        <f>'[1]Forward Ranks'!T42</f>
        <v>0.4606986899563319</v>
      </c>
      <c r="J42" s="1">
        <f>'[1]Forward Ranks'!U42</f>
        <v>0.26637554585152839</v>
      </c>
      <c r="K42" s="1">
        <f>'[1]Forward Ranks'!V42</f>
        <v>0.53711790393013104</v>
      </c>
      <c r="L42">
        <f>'[1]Forward Ranks'!X42</f>
        <v>0</v>
      </c>
      <c r="M42" s="1">
        <f>'[1]Forward Ranks'!AC42</f>
        <v>0.79912663755458513</v>
      </c>
      <c r="N42" s="1">
        <f>'[1]Forward Ranks'!AD42</f>
        <v>0.82969432314410485</v>
      </c>
      <c r="O42" s="1">
        <f>'[1]Forward Ranks'!AE42</f>
        <v>0.73799126637554591</v>
      </c>
      <c r="P42" s="1">
        <f>'[1]Forward Ranks'!AF42</f>
        <v>0.79912663755458513</v>
      </c>
      <c r="Q42">
        <f>'[1]Forward Ranks'!AH42</f>
        <v>0</v>
      </c>
      <c r="R42" s="1">
        <f>'[1]Forward Ranks'!AM42</f>
        <v>0.31659388646288211</v>
      </c>
      <c r="S42" s="1">
        <f>'[1]Forward Ranks'!AN42</f>
        <v>4.8034934497816595E-2</v>
      </c>
      <c r="T42" s="1">
        <f>'[1]Forward Ranks'!AO42</f>
        <v>0.27074235807860264</v>
      </c>
      <c r="U42" s="1">
        <f>'[1]Forward Ranks'!AP42</f>
        <v>0.19213973799126638</v>
      </c>
      <c r="V42">
        <f>'[1]Forward Ranks'!AR42</f>
        <v>0</v>
      </c>
      <c r="W42" s="1">
        <f>'[1]Forward Ranks'!AW42</f>
        <v>0.89519650655021832</v>
      </c>
      <c r="X42" s="1">
        <f>'[1]Forward Ranks'!AX42</f>
        <v>0.88646288209606983</v>
      </c>
      <c r="Y42" s="1">
        <f>'[1]Forward Ranks'!AY42</f>
        <v>0.55021834061135366</v>
      </c>
      <c r="Z42" s="1">
        <f>'[1]Forward Ranks'!AZ42</f>
        <v>0.90393013100436681</v>
      </c>
      <c r="AA42">
        <f>'[1]Forward Ranks'!BB42</f>
        <v>0</v>
      </c>
      <c r="AB42" s="1">
        <f>'[1]Forward Ranks'!BG42</f>
        <v>7.8602620087336247E-2</v>
      </c>
      <c r="AC42" s="1">
        <f>'[1]Forward Ranks'!BH42</f>
        <v>0.31222707423580787</v>
      </c>
      <c r="AD42" s="1">
        <f>'[1]Forward Ranks'!BI42</f>
        <v>0.31659388646288211</v>
      </c>
      <c r="AE42" s="1">
        <f>'[1]Forward Ranks'!BJ42</f>
        <v>0.44323144104803491</v>
      </c>
      <c r="AF42">
        <f>'[1]Forward Ranks'!BL42</f>
        <v>0</v>
      </c>
      <c r="AG42" s="1">
        <f>'[1]Forward Ranks'!BQ42</f>
        <v>0.53056768558951961</v>
      </c>
      <c r="AH42" s="1">
        <f>'[1]Forward Ranks'!BR42</f>
        <v>0.25982532751091703</v>
      </c>
      <c r="AI42" s="1">
        <f>'[1]Forward Ranks'!BS42</f>
        <v>0.43013100436681223</v>
      </c>
      <c r="AJ42" s="1">
        <f>'[1]Forward Ranks'!BT42</f>
        <v>0.39737991266375544</v>
      </c>
      <c r="AL42" s="2">
        <f>'[1]Forward Ranks'!BX42</f>
        <v>0.56768558951965065</v>
      </c>
      <c r="AN42" t="str">
        <f>'[1]Forward Ranks'!B42</f>
        <v>WPG</v>
      </c>
      <c r="AO42">
        <f>'[1]F on ice'!E42</f>
        <v>50</v>
      </c>
      <c r="AP42" s="2">
        <f>'[1]Impact Score Math'!E42</f>
        <v>0.45090180360721444</v>
      </c>
      <c r="AQ42">
        <f>'[1]Impact Score Math'!G42</f>
        <v>275</v>
      </c>
      <c r="AT42" s="1">
        <f>'[1]Forward Ranks'!CJ42</f>
        <v>0.71834061135371174</v>
      </c>
      <c r="AU42" s="1">
        <f>'[1]Forward Ranks'!CK42</f>
        <v>0.27729257641921395</v>
      </c>
    </row>
    <row r="43" spans="1:47" x14ac:dyDescent="0.3">
      <c r="A43" t="str">
        <f>'[1]Forward Ranks'!A43</f>
        <v>Barclay Goodrow</v>
      </c>
      <c r="B43">
        <f>'[1]Forward Ranks'!D43</f>
        <v>0</v>
      </c>
      <c r="C43" s="1">
        <f>'[1]Forward Ranks'!I43</f>
        <v>0.32096069868995636</v>
      </c>
      <c r="D43" s="1">
        <f>'[1]Forward Ranks'!J43</f>
        <v>0.49563318777292575</v>
      </c>
      <c r="E43" s="1">
        <f>'[1]Forward Ranks'!K43</f>
        <v>0.45851528384279477</v>
      </c>
      <c r="F43" s="1">
        <f>'[1]Forward Ranks'!L43</f>
        <v>0.34061135371179041</v>
      </c>
      <c r="G43">
        <f>'[1]Forward Ranks'!N43</f>
        <v>0</v>
      </c>
      <c r="H43" s="1">
        <f>'[1]Forward Ranks'!S43</f>
        <v>0.44323144104803491</v>
      </c>
      <c r="I43" s="1">
        <f>'[1]Forward Ranks'!T43</f>
        <v>0.6266375545851528</v>
      </c>
      <c r="J43" s="1">
        <f>'[1]Forward Ranks'!U43</f>
        <v>0.53711790393013104</v>
      </c>
      <c r="K43" s="1">
        <f>'[1]Forward Ranks'!V43</f>
        <v>0.5633187772925764</v>
      </c>
      <c r="L43">
        <f>'[1]Forward Ranks'!X43</f>
        <v>0</v>
      </c>
      <c r="M43" s="1">
        <f>'[1]Forward Ranks'!AC43</f>
        <v>0.36026200873362446</v>
      </c>
      <c r="N43" s="1">
        <f>'[1]Forward Ranks'!AD43</f>
        <v>0.18340611353711792</v>
      </c>
      <c r="O43" s="1">
        <f>'[1]Forward Ranks'!AE43</f>
        <v>0.55240174672489084</v>
      </c>
      <c r="P43" s="1">
        <f>'[1]Forward Ranks'!AF43</f>
        <v>0.19213973799126638</v>
      </c>
      <c r="Q43">
        <f>'[1]Forward Ranks'!AH43</f>
        <v>0</v>
      </c>
      <c r="R43" s="1">
        <f>'[1]Forward Ranks'!AM43</f>
        <v>0.35807860262008734</v>
      </c>
      <c r="S43" s="1">
        <f>'[1]Forward Ranks'!AN43</f>
        <v>0.50873362445414849</v>
      </c>
      <c r="T43" s="1">
        <f>'[1]Forward Ranks'!AO43</f>
        <v>0.40393013100436681</v>
      </c>
      <c r="U43" s="1">
        <f>'[1]Forward Ranks'!AP43</f>
        <v>0.388646288209607</v>
      </c>
      <c r="V43">
        <f>'[1]Forward Ranks'!AR43</f>
        <v>0</v>
      </c>
      <c r="W43" s="1">
        <f>'[1]Forward Ranks'!AW43</f>
        <v>0.11353711790393013</v>
      </c>
      <c r="X43" s="1">
        <f>'[1]Forward Ranks'!AX43</f>
        <v>0.20087336244541484</v>
      </c>
      <c r="Y43" s="1">
        <f>'[1]Forward Ranks'!AY43</f>
        <v>0.33406113537117904</v>
      </c>
      <c r="Z43" s="1">
        <f>'[1]Forward Ranks'!AZ43</f>
        <v>0.10480349344978165</v>
      </c>
      <c r="AA43">
        <f>'[1]Forward Ranks'!BB43</f>
        <v>0</v>
      </c>
      <c r="AB43" s="1">
        <f>'[1]Forward Ranks'!BG43</f>
        <v>0.40174672489082969</v>
      </c>
      <c r="AC43" s="1">
        <f>'[1]Forward Ranks'!BH43</f>
        <v>0.24454148471615719</v>
      </c>
      <c r="AD43" s="1">
        <f>'[1]Forward Ranks'!BI43</f>
        <v>0.57641921397379914</v>
      </c>
      <c r="AE43" s="1">
        <f>'[1]Forward Ranks'!BJ43</f>
        <v>0.61790393013100442</v>
      </c>
      <c r="AF43">
        <f>'[1]Forward Ranks'!BL43</f>
        <v>0</v>
      </c>
      <c r="AG43" s="1">
        <f>'[1]Forward Ranks'!BQ43</f>
        <v>0.31441048034934499</v>
      </c>
      <c r="AH43" s="1">
        <f>'[1]Forward Ranks'!BR43</f>
        <v>0.32532751091703055</v>
      </c>
      <c r="AI43" s="1">
        <f>'[1]Forward Ranks'!BS43</f>
        <v>0.48471615720524019</v>
      </c>
      <c r="AJ43" s="1">
        <f>'[1]Forward Ranks'!BT43</f>
        <v>0.25109170305676853</v>
      </c>
      <c r="AL43" s="2">
        <f>'[1]Forward Ranks'!BX43</f>
        <v>0.1943231441048035</v>
      </c>
      <c r="AN43" t="str">
        <f>'[1]Forward Ranks'!B43</f>
        <v>NYR</v>
      </c>
      <c r="AO43">
        <f>'[1]F on ice'!E43</f>
        <v>82</v>
      </c>
      <c r="AP43" s="2">
        <f>'[1]Impact Score Math'!E43</f>
        <v>0.28256513026052105</v>
      </c>
      <c r="AQ43">
        <f>'[1]Impact Score Math'!G43</f>
        <v>359</v>
      </c>
      <c r="AT43" s="1">
        <f>'[1]Forward Ranks'!CJ43</f>
        <v>0.24672489082969432</v>
      </c>
      <c r="AU43" s="1">
        <f>'[1]Forward Ranks'!CK43</f>
        <v>0.63318777292576423</v>
      </c>
    </row>
    <row r="44" spans="1:47" x14ac:dyDescent="0.3">
      <c r="A44" t="str">
        <f>'[1]Forward Ranks'!A44</f>
        <v>Barrett Hayton</v>
      </c>
      <c r="B44">
        <f>'[1]Forward Ranks'!D44</f>
        <v>0</v>
      </c>
      <c r="C44" s="1">
        <f>'[1]Forward Ranks'!I44</f>
        <v>0.47161572052401746</v>
      </c>
      <c r="D44" s="1">
        <f>'[1]Forward Ranks'!J44</f>
        <v>0.44978165938864628</v>
      </c>
      <c r="E44" s="1">
        <f>'[1]Forward Ranks'!K44</f>
        <v>0.69213973799126638</v>
      </c>
      <c r="F44" s="1">
        <f>'[1]Forward Ranks'!L44</f>
        <v>0.44323144104803491</v>
      </c>
      <c r="G44">
        <f>'[1]Forward Ranks'!N44</f>
        <v>0</v>
      </c>
      <c r="H44" s="1">
        <f>'[1]Forward Ranks'!S44</f>
        <v>0.51528384279475981</v>
      </c>
      <c r="I44" s="1">
        <f>'[1]Forward Ranks'!T44</f>
        <v>0.34716157205240172</v>
      </c>
      <c r="J44" s="1">
        <f>'[1]Forward Ranks'!U44</f>
        <v>0.36244541484716158</v>
      </c>
      <c r="K44" s="1">
        <f>'[1]Forward Ranks'!V44</f>
        <v>0.37117903930131002</v>
      </c>
      <c r="L44">
        <f>'[1]Forward Ranks'!X44</f>
        <v>0</v>
      </c>
      <c r="M44" s="1">
        <f>'[1]Forward Ranks'!AC44</f>
        <v>0.49126637554585151</v>
      </c>
      <c r="N44" s="1">
        <f>'[1]Forward Ranks'!AD44</f>
        <v>0.56768558951965065</v>
      </c>
      <c r="O44" s="1">
        <f>'[1]Forward Ranks'!AE44</f>
        <v>0.24672489082969432</v>
      </c>
      <c r="P44" s="1">
        <f>'[1]Forward Ranks'!AF44</f>
        <v>0.50436681222707425</v>
      </c>
      <c r="Q44">
        <f>'[1]Forward Ranks'!AH44</f>
        <v>0</v>
      </c>
      <c r="R44" s="1">
        <f>'[1]Forward Ranks'!AM44</f>
        <v>0.90174672489082974</v>
      </c>
      <c r="S44" s="1">
        <f>'[1]Forward Ranks'!AN44</f>
        <v>0.85152838427947597</v>
      </c>
      <c r="T44" s="1">
        <f>'[1]Forward Ranks'!AO44</f>
        <v>0.82751091703056767</v>
      </c>
      <c r="U44" s="1">
        <f>'[1]Forward Ranks'!AP44</f>
        <v>0.84716157205240172</v>
      </c>
      <c r="V44">
        <f>'[1]Forward Ranks'!AR44</f>
        <v>0</v>
      </c>
      <c r="W44" s="1">
        <f>'[1]Forward Ranks'!AW44</f>
        <v>0.89519650655021832</v>
      </c>
      <c r="X44" s="1">
        <f>'[1]Forward Ranks'!AX44</f>
        <v>0.88209606986899558</v>
      </c>
      <c r="Y44" s="1">
        <f>'[1]Forward Ranks'!AY44</f>
        <v>0.32751091703056767</v>
      </c>
      <c r="Z44" s="1">
        <f>'[1]Forward Ranks'!AZ44</f>
        <v>0.79694323144104806</v>
      </c>
      <c r="AA44">
        <f>'[1]Forward Ranks'!BB44</f>
        <v>0</v>
      </c>
      <c r="AB44" s="1">
        <f>'[1]Forward Ranks'!BG44</f>
        <v>0.70305676855895194</v>
      </c>
      <c r="AC44" s="1">
        <f>'[1]Forward Ranks'!BH44</f>
        <v>0.19213973799126638</v>
      </c>
      <c r="AD44" s="1">
        <f>'[1]Forward Ranks'!BI44</f>
        <v>0.80567685589519655</v>
      </c>
      <c r="AE44" s="1">
        <f>'[1]Forward Ranks'!BJ44</f>
        <v>0.52183406113537123</v>
      </c>
      <c r="AF44">
        <f>'[1]Forward Ranks'!BL44</f>
        <v>0</v>
      </c>
      <c r="AG44" s="1">
        <f>'[1]Forward Ranks'!BQ44</f>
        <v>0.46288209606986902</v>
      </c>
      <c r="AH44" s="1">
        <f>'[1]Forward Ranks'!BR44</f>
        <v>0.46943231441048033</v>
      </c>
      <c r="AI44" s="1">
        <f>'[1]Forward Ranks'!BS44</f>
        <v>0.45414847161572053</v>
      </c>
      <c r="AJ44" s="1">
        <f>'[1]Forward Ranks'!BT44</f>
        <v>0.4759825327510917</v>
      </c>
      <c r="AL44" s="2">
        <f>'[1]Forward Ranks'!BX44</f>
        <v>0.64192139737991272</v>
      </c>
      <c r="AN44" t="str">
        <f>'[1]Forward Ranks'!B44</f>
        <v>ARI</v>
      </c>
      <c r="AO44">
        <f>'[1]F on ice'!E44</f>
        <v>82</v>
      </c>
      <c r="AP44" s="2">
        <f>'[1]Impact Score Math'!E44</f>
        <v>0.71743486973947901</v>
      </c>
      <c r="AQ44">
        <f>'[1]Impact Score Math'!G44</f>
        <v>142</v>
      </c>
      <c r="AT44" s="1">
        <f>'[1]Forward Ranks'!CJ44</f>
        <v>0.36899563318777295</v>
      </c>
      <c r="AU44" s="1">
        <f>'[1]Forward Ranks'!CK44</f>
        <v>0.93449781659388642</v>
      </c>
    </row>
    <row r="45" spans="1:47" x14ac:dyDescent="0.3">
      <c r="A45" t="str">
        <f>'[1]Forward Ranks'!A45</f>
        <v>Ben Meyers</v>
      </c>
      <c r="B45">
        <f>'[1]Forward Ranks'!D45</f>
        <v>0</v>
      </c>
      <c r="C45" s="1">
        <f>'[1]Forward Ranks'!I45</f>
        <v>0.2205240174672489</v>
      </c>
      <c r="D45" s="1">
        <f>'[1]Forward Ranks'!J45</f>
        <v>0.29475982532751094</v>
      </c>
      <c r="E45" s="1">
        <f>'[1]Forward Ranks'!K45</f>
        <v>5.2401746724890827E-2</v>
      </c>
      <c r="F45" s="1">
        <f>'[1]Forward Ranks'!L45</f>
        <v>0.388646288209607</v>
      </c>
      <c r="G45">
        <f>'[1]Forward Ranks'!N45</f>
        <v>0</v>
      </c>
      <c r="H45" s="1">
        <f>'[1]Forward Ranks'!S45</f>
        <v>0.51528384279475981</v>
      </c>
      <c r="I45" s="1">
        <f>'[1]Forward Ranks'!T45</f>
        <v>2.1834061135371178E-3</v>
      </c>
      <c r="J45" s="1">
        <f>'[1]Forward Ranks'!U45</f>
        <v>2.1834061135371178E-3</v>
      </c>
      <c r="K45" s="1">
        <f>'[1]Forward Ranks'!V45</f>
        <v>3.2751091703056769E-2</v>
      </c>
      <c r="L45">
        <f>'[1]Forward Ranks'!X45</f>
        <v>0</v>
      </c>
      <c r="M45" s="1">
        <f>'[1]Forward Ranks'!AC45</f>
        <v>0.88209606986899558</v>
      </c>
      <c r="N45" s="1">
        <f>'[1]Forward Ranks'!AD45</f>
        <v>0.95851528384279472</v>
      </c>
      <c r="O45" s="1">
        <f>'[1]Forward Ranks'!AE45</f>
        <v>0.51528384279475981</v>
      </c>
      <c r="P45" s="1">
        <f>'[1]Forward Ranks'!AF45</f>
        <v>0.98908296943231444</v>
      </c>
      <c r="Q45">
        <f>'[1]Forward Ranks'!AH45</f>
        <v>0</v>
      </c>
      <c r="R45" s="1">
        <f>'[1]Forward Ranks'!AM45</f>
        <v>6.768558951965066E-2</v>
      </c>
      <c r="S45" s="1">
        <f>'[1]Forward Ranks'!AN45</f>
        <v>0.44104803493449779</v>
      </c>
      <c r="T45" s="1">
        <f>'[1]Forward Ranks'!AO45</f>
        <v>2.6200873362445413E-2</v>
      </c>
      <c r="U45" s="1">
        <f>'[1]Forward Ranks'!AP45</f>
        <v>0.39737991266375544</v>
      </c>
      <c r="V45">
        <f>'[1]Forward Ranks'!AR45</f>
        <v>0</v>
      </c>
      <c r="W45" s="1">
        <f>'[1]Forward Ranks'!AW45</f>
        <v>0.87991266375545851</v>
      </c>
      <c r="X45" s="1">
        <f>'[1]Forward Ranks'!AX45</f>
        <v>0.94104803493449785</v>
      </c>
      <c r="Y45" s="1">
        <f>'[1]Forward Ranks'!AY45</f>
        <v>0.33406113537117904</v>
      </c>
      <c r="Z45" s="1">
        <f>'[1]Forward Ranks'!AZ45</f>
        <v>0.94759825327510916</v>
      </c>
      <c r="AA45">
        <f>'[1]Forward Ranks'!BB45</f>
        <v>0</v>
      </c>
      <c r="AB45" s="1">
        <f>'[1]Forward Ranks'!BG45</f>
        <v>7.2052401746724892E-2</v>
      </c>
      <c r="AC45" s="1">
        <f>'[1]Forward Ranks'!BH45</f>
        <v>0.3056768558951965</v>
      </c>
      <c r="AD45" s="1">
        <f>'[1]Forward Ranks'!BI45</f>
        <v>5.2401746724890827E-2</v>
      </c>
      <c r="AE45" s="1">
        <f>'[1]Forward Ranks'!BJ45</f>
        <v>0.1091703056768559</v>
      </c>
      <c r="AF45">
        <f>'[1]Forward Ranks'!BL45</f>
        <v>0</v>
      </c>
      <c r="AG45" s="1">
        <f>'[1]Forward Ranks'!BQ45</f>
        <v>0.51746724890829698</v>
      </c>
      <c r="AH45" s="1">
        <f>'[1]Forward Ranks'!BR45</f>
        <v>0.67030567685589515</v>
      </c>
      <c r="AI45" s="1">
        <f>'[1]Forward Ranks'!BS45</f>
        <v>9.3886462882096067E-2</v>
      </c>
      <c r="AJ45" s="1">
        <f>'[1]Forward Ranks'!BT45</f>
        <v>0.86899563318777295</v>
      </c>
      <c r="AL45" s="2">
        <f>'[1]Forward Ranks'!BX45</f>
        <v>0.52620087336244536</v>
      </c>
      <c r="AN45" t="str">
        <f>'[1]Forward Ranks'!B45</f>
        <v>COL</v>
      </c>
      <c r="AO45">
        <f>'[1]F on ice'!E45</f>
        <v>39</v>
      </c>
      <c r="AP45" s="2">
        <f>'[1]Impact Score Math'!E45</f>
        <v>0.4088176352705411</v>
      </c>
      <c r="AQ45">
        <f>'[1]Impact Score Math'!G45</f>
        <v>296</v>
      </c>
      <c r="AT45" s="1">
        <f>'[1]Forward Ranks'!CJ45</f>
        <v>0.73362445414847166</v>
      </c>
      <c r="AU45" s="1">
        <f>'[1]Forward Ranks'!CK45</f>
        <v>0.32096069868995636</v>
      </c>
    </row>
    <row r="46" spans="1:47" x14ac:dyDescent="0.3">
      <c r="A46" t="str">
        <f>'[1]Forward Ranks'!A46</f>
        <v>Blake Coleman</v>
      </c>
      <c r="B46">
        <f>'[1]Forward Ranks'!D46</f>
        <v>0</v>
      </c>
      <c r="C46" s="1">
        <f>'[1]Forward Ranks'!I46</f>
        <v>0.96506550218340614</v>
      </c>
      <c r="D46" s="1">
        <f>'[1]Forward Ranks'!J46</f>
        <v>0.87991266375545851</v>
      </c>
      <c r="E46" s="1">
        <f>'[1]Forward Ranks'!K46</f>
        <v>0.42358078602620086</v>
      </c>
      <c r="F46" s="1">
        <f>'[1]Forward Ranks'!L46</f>
        <v>0.9126637554585153</v>
      </c>
      <c r="G46">
        <f>'[1]Forward Ranks'!N46</f>
        <v>0</v>
      </c>
      <c r="H46" s="1">
        <f>'[1]Forward Ranks'!S46</f>
        <v>0.46724890829694321</v>
      </c>
      <c r="I46" s="1">
        <f>'[1]Forward Ranks'!T46</f>
        <v>0.64410480349344978</v>
      </c>
      <c r="J46" s="1">
        <f>'[1]Forward Ranks'!U46</f>
        <v>0.64192139737991272</v>
      </c>
      <c r="K46" s="1">
        <f>'[1]Forward Ranks'!V46</f>
        <v>0.58951965065502188</v>
      </c>
      <c r="L46">
        <f>'[1]Forward Ranks'!X46</f>
        <v>0</v>
      </c>
      <c r="M46" s="1">
        <f>'[1]Forward Ranks'!AC46</f>
        <v>0.96506550218340614</v>
      </c>
      <c r="N46" s="1">
        <f>'[1]Forward Ranks'!AD46</f>
        <v>0.84497816593886466</v>
      </c>
      <c r="O46" s="1">
        <f>'[1]Forward Ranks'!AE46</f>
        <v>0.73799126637554591</v>
      </c>
      <c r="P46" s="1">
        <f>'[1]Forward Ranks'!AF46</f>
        <v>0.85371179039301315</v>
      </c>
      <c r="Q46">
        <f>'[1]Forward Ranks'!AH46</f>
        <v>0</v>
      </c>
      <c r="R46" s="1">
        <f>'[1]Forward Ranks'!AM46</f>
        <v>0.80567685589519655</v>
      </c>
      <c r="S46" s="1">
        <f>'[1]Forward Ranks'!AN46</f>
        <v>0.93231441048034935</v>
      </c>
      <c r="T46" s="1">
        <f>'[1]Forward Ranks'!AO46</f>
        <v>0.27074235807860264</v>
      </c>
      <c r="U46" s="1">
        <f>'[1]Forward Ranks'!AP46</f>
        <v>0.81659388646288211</v>
      </c>
      <c r="V46">
        <f>'[1]Forward Ranks'!AR46</f>
        <v>0</v>
      </c>
      <c r="W46" s="1">
        <f>'[1]Forward Ranks'!AW46</f>
        <v>0.74017467248908297</v>
      </c>
      <c r="X46" s="1">
        <f>'[1]Forward Ranks'!AX46</f>
        <v>0.64410480349344978</v>
      </c>
      <c r="Y46" s="1">
        <f>'[1]Forward Ranks'!AY46</f>
        <v>0.82751091703056767</v>
      </c>
      <c r="Z46" s="1">
        <f>'[1]Forward Ranks'!AZ46</f>
        <v>0.67248908296943233</v>
      </c>
      <c r="AA46">
        <f>'[1]Forward Ranks'!BB46</f>
        <v>0</v>
      </c>
      <c r="AB46" s="1">
        <f>'[1]Forward Ranks'!BG46</f>
        <v>0.77729257641921401</v>
      </c>
      <c r="AC46" s="1">
        <f>'[1]Forward Ranks'!BH46</f>
        <v>0.52838427947598254</v>
      </c>
      <c r="AD46" s="1">
        <f>'[1]Forward Ranks'!BI46</f>
        <v>0.12663755458515283</v>
      </c>
      <c r="AE46" s="1">
        <f>'[1]Forward Ranks'!BJ46</f>
        <v>0.14628820960698691</v>
      </c>
      <c r="AF46">
        <f>'[1]Forward Ranks'!BL46</f>
        <v>0</v>
      </c>
      <c r="AG46" s="1">
        <f>'[1]Forward Ranks'!BQ46</f>
        <v>0.97379912663755464</v>
      </c>
      <c r="AH46" s="1">
        <f>'[1]Forward Ranks'!BR46</f>
        <v>0.93013100436681218</v>
      </c>
      <c r="AI46" s="1">
        <f>'[1]Forward Ranks'!BS46</f>
        <v>0.60698689956331875</v>
      </c>
      <c r="AJ46" s="1">
        <f>'[1]Forward Ranks'!BT46</f>
        <v>0.95414847161572047</v>
      </c>
      <c r="AL46" s="2">
        <f>'[1]Forward Ranks'!BX46</f>
        <v>0.96288209606986896</v>
      </c>
      <c r="AN46" t="str">
        <f>'[1]Forward Ranks'!B46</f>
        <v>CGY</v>
      </c>
      <c r="AO46">
        <f>'[1]F on ice'!E46</f>
        <v>82</v>
      </c>
      <c r="AP46" s="2">
        <f>'[1]Impact Score Math'!E46</f>
        <v>0.96993987975951901</v>
      </c>
      <c r="AQ46">
        <f>'[1]Impact Score Math'!G46</f>
        <v>16</v>
      </c>
      <c r="AT46" s="1">
        <f>'[1]Forward Ranks'!CJ46</f>
        <v>0.18995633187772926</v>
      </c>
      <c r="AU46" s="1">
        <f>'[1]Forward Ranks'!CK46</f>
        <v>0.64192139737991272</v>
      </c>
    </row>
    <row r="47" spans="1:47" x14ac:dyDescent="0.3">
      <c r="A47" t="str">
        <f>'[1]Forward Ranks'!A47</f>
        <v>Blake Lizotte</v>
      </c>
      <c r="B47">
        <f>'[1]Forward Ranks'!D47</f>
        <v>0</v>
      </c>
      <c r="C47" s="1">
        <f>'[1]Forward Ranks'!I47</f>
        <v>0.73144104803493448</v>
      </c>
      <c r="D47" s="1">
        <f>'[1]Forward Ranks'!J47</f>
        <v>0.79257641921397382</v>
      </c>
      <c r="E47" s="1">
        <f>'[1]Forward Ranks'!K47</f>
        <v>0.67685589519650657</v>
      </c>
      <c r="F47" s="1">
        <f>'[1]Forward Ranks'!L47</f>
        <v>0.61353711790393017</v>
      </c>
      <c r="G47">
        <f>'[1]Forward Ranks'!N47</f>
        <v>0</v>
      </c>
      <c r="H47" s="1">
        <f>'[1]Forward Ranks'!S47</f>
        <v>0.50218340611353707</v>
      </c>
      <c r="I47" s="1">
        <f>'[1]Forward Ranks'!T47</f>
        <v>0.72052401746724892</v>
      </c>
      <c r="J47" s="1">
        <f>'[1]Forward Ranks'!U47</f>
        <v>0.88209606986899558</v>
      </c>
      <c r="K47" s="1">
        <f>'[1]Forward Ranks'!V47</f>
        <v>0.63318777292576423</v>
      </c>
      <c r="L47">
        <f>'[1]Forward Ranks'!X47</f>
        <v>0</v>
      </c>
      <c r="M47" s="1">
        <f>'[1]Forward Ranks'!AC47</f>
        <v>0.92139737991266379</v>
      </c>
      <c r="N47" s="1">
        <f>'[1]Forward Ranks'!AD47</f>
        <v>0.86026200873362446</v>
      </c>
      <c r="O47" s="1">
        <f>'[1]Forward Ranks'!AE47</f>
        <v>0.45851528384279477</v>
      </c>
      <c r="P47" s="1">
        <f>'[1]Forward Ranks'!AF47</f>
        <v>0.82096069868995636</v>
      </c>
      <c r="Q47">
        <f>'[1]Forward Ranks'!AH47</f>
        <v>0</v>
      </c>
      <c r="R47" s="1">
        <f>'[1]Forward Ranks'!AM47</f>
        <v>0.61572052401746724</v>
      </c>
      <c r="S47" s="1">
        <f>'[1]Forward Ranks'!AN47</f>
        <v>0.75109170305676853</v>
      </c>
      <c r="T47" s="1">
        <f>'[1]Forward Ranks'!AO47</f>
        <v>0.67685589519650657</v>
      </c>
      <c r="U47" s="1">
        <f>'[1]Forward Ranks'!AP47</f>
        <v>0.56986899563318782</v>
      </c>
      <c r="V47">
        <f>'[1]Forward Ranks'!AR47</f>
        <v>0</v>
      </c>
      <c r="W47" s="1">
        <f>'[1]Forward Ranks'!AW47</f>
        <v>0.64410480349344978</v>
      </c>
      <c r="X47" s="1">
        <f>'[1]Forward Ranks'!AX47</f>
        <v>0.68777292576419213</v>
      </c>
      <c r="Y47" s="1">
        <f>'[1]Forward Ranks'!AY47</f>
        <v>0.35589519650655022</v>
      </c>
      <c r="Z47" s="1">
        <f>'[1]Forward Ranks'!AZ47</f>
        <v>0.51091703056768556</v>
      </c>
      <c r="AA47">
        <f>'[1]Forward Ranks'!BB47</f>
        <v>0</v>
      </c>
      <c r="AB47" s="1">
        <f>'[1]Forward Ranks'!BG47</f>
        <v>0.33187772925764192</v>
      </c>
      <c r="AC47" s="1">
        <f>'[1]Forward Ranks'!BH47</f>
        <v>0.72489082969432317</v>
      </c>
      <c r="AD47" s="1">
        <f>'[1]Forward Ranks'!BI47</f>
        <v>0.5633187772925764</v>
      </c>
      <c r="AE47" s="1">
        <f>'[1]Forward Ranks'!BJ47</f>
        <v>0.2183406113537118</v>
      </c>
      <c r="AF47">
        <f>'[1]Forward Ranks'!BL47</f>
        <v>0</v>
      </c>
      <c r="AG47" s="1">
        <f>'[1]Forward Ranks'!BQ47</f>
        <v>0.89301310043668125</v>
      </c>
      <c r="AH47" s="1">
        <f>'[1]Forward Ranks'!BR47</f>
        <v>0.89301310043668125</v>
      </c>
      <c r="AI47" s="1">
        <f>'[1]Forward Ranks'!BS47</f>
        <v>0.611353711790393</v>
      </c>
      <c r="AJ47" s="1">
        <f>'[1]Forward Ranks'!BT47</f>
        <v>0.76855895196506552</v>
      </c>
      <c r="AL47" s="2">
        <f>'[1]Forward Ranks'!BX47</f>
        <v>0.84716157205240172</v>
      </c>
      <c r="AN47" t="str">
        <f>'[1]Forward Ranks'!B47</f>
        <v>L.A</v>
      </c>
      <c r="AO47">
        <f>'[1]F on ice'!E47</f>
        <v>81</v>
      </c>
      <c r="AP47" s="2">
        <f>'[1]Impact Score Math'!E47</f>
        <v>0.73947895791583163</v>
      </c>
      <c r="AQ47">
        <f>'[1]Impact Score Math'!G47</f>
        <v>131</v>
      </c>
      <c r="AT47" s="1">
        <f>'[1]Forward Ranks'!CJ47</f>
        <v>8.7336244541484712E-2</v>
      </c>
      <c r="AU47" s="1">
        <f>'[1]Forward Ranks'!CK47</f>
        <v>0.95851528384279472</v>
      </c>
    </row>
    <row r="48" spans="1:47" x14ac:dyDescent="0.3">
      <c r="A48" t="str">
        <f>'[1]Forward Ranks'!A48</f>
        <v>Blake Wheeler</v>
      </c>
      <c r="B48">
        <f>'[1]Forward Ranks'!D48</f>
        <v>0</v>
      </c>
      <c r="C48" s="1">
        <f>'[1]Forward Ranks'!I48</f>
        <v>0.74017467248908297</v>
      </c>
      <c r="D48" s="1">
        <f>'[1]Forward Ranks'!J48</f>
        <v>0.65502183406113534</v>
      </c>
      <c r="E48" s="1">
        <f>'[1]Forward Ranks'!K48</f>
        <v>0.59170305676855894</v>
      </c>
      <c r="F48" s="1">
        <f>'[1]Forward Ranks'!L48</f>
        <v>0.67030567685589515</v>
      </c>
      <c r="G48">
        <f>'[1]Forward Ranks'!N48</f>
        <v>0</v>
      </c>
      <c r="H48" s="1">
        <f>'[1]Forward Ranks'!S48</f>
        <v>0.2205240174672489</v>
      </c>
      <c r="I48" s="1">
        <f>'[1]Forward Ranks'!T48</f>
        <v>0.94104803493449785</v>
      </c>
      <c r="J48" s="1">
        <f>'[1]Forward Ranks'!U48</f>
        <v>0.90829694323144106</v>
      </c>
      <c r="K48" s="1">
        <f>'[1]Forward Ranks'!V48</f>
        <v>0.77510917030567683</v>
      </c>
      <c r="L48">
        <f>'[1]Forward Ranks'!X48</f>
        <v>0</v>
      </c>
      <c r="M48" s="1">
        <f>'[1]Forward Ranks'!AC48</f>
        <v>0.50218340611353707</v>
      </c>
      <c r="N48" s="1">
        <f>'[1]Forward Ranks'!AD48</f>
        <v>0.4606986899563319</v>
      </c>
      <c r="O48" s="1">
        <f>'[1]Forward Ranks'!AE48</f>
        <v>0.69213973799126638</v>
      </c>
      <c r="P48" s="1">
        <f>'[1]Forward Ranks'!AF48</f>
        <v>0.34934497816593885</v>
      </c>
      <c r="Q48">
        <f>'[1]Forward Ranks'!AH48</f>
        <v>0</v>
      </c>
      <c r="R48" s="1">
        <f>'[1]Forward Ranks'!AM48</f>
        <v>0.64192139737991272</v>
      </c>
      <c r="S48" s="1">
        <f>'[1]Forward Ranks'!AN48</f>
        <v>0.41048034934497818</v>
      </c>
      <c r="T48" s="1">
        <f>'[1]Forward Ranks'!AO48</f>
        <v>0.66157205240174677</v>
      </c>
      <c r="U48" s="1">
        <f>'[1]Forward Ranks'!AP48</f>
        <v>0.44759825327510916</v>
      </c>
      <c r="V48">
        <f>'[1]Forward Ranks'!AR48</f>
        <v>0</v>
      </c>
      <c r="W48" s="1">
        <f>'[1]Forward Ranks'!AW48</f>
        <v>0.31441048034934499</v>
      </c>
      <c r="X48" s="1">
        <f>'[1]Forward Ranks'!AX48</f>
        <v>0.34279475982532753</v>
      </c>
      <c r="Y48" s="1">
        <f>'[1]Forward Ranks'!AY48</f>
        <v>0.53711790393013104</v>
      </c>
      <c r="Z48" s="1">
        <f>'[1]Forward Ranks'!AZ48</f>
        <v>0.22707423580786026</v>
      </c>
      <c r="AA48">
        <f>'[1]Forward Ranks'!BB48</f>
        <v>0</v>
      </c>
      <c r="AB48" s="1">
        <f>'[1]Forward Ranks'!BG48</f>
        <v>0.68995633187772931</v>
      </c>
      <c r="AC48" s="1">
        <f>'[1]Forward Ranks'!BH48</f>
        <v>0.89956331877729256</v>
      </c>
      <c r="AD48" s="1">
        <f>'[1]Forward Ranks'!BI48</f>
        <v>0.65938864628820959</v>
      </c>
      <c r="AE48" s="1">
        <f>'[1]Forward Ranks'!BJ48</f>
        <v>0.77947598253275108</v>
      </c>
      <c r="AF48">
        <f>'[1]Forward Ranks'!BL48</f>
        <v>0</v>
      </c>
      <c r="AG48" s="1">
        <f>'[1]Forward Ranks'!BQ48</f>
        <v>0.66812227074235808</v>
      </c>
      <c r="AH48" s="1">
        <f>'[1]Forward Ranks'!BR48</f>
        <v>0.57205240174672489</v>
      </c>
      <c r="AI48" s="1">
        <f>'[1]Forward Ranks'!BS48</f>
        <v>0.69650655021834063</v>
      </c>
      <c r="AJ48" s="1">
        <f>'[1]Forward Ranks'!BT48</f>
        <v>0.53493449781659386</v>
      </c>
      <c r="AL48" s="2">
        <f>'[1]Forward Ranks'!BX48</f>
        <v>0.54148471615720528</v>
      </c>
      <c r="AN48" t="str">
        <f>'[1]Forward Ranks'!B48</f>
        <v>WPG</v>
      </c>
      <c r="AO48">
        <f>'[1]F on ice'!E48</f>
        <v>72</v>
      </c>
      <c r="AP48" s="2">
        <f>'[1]Impact Score Math'!E48</f>
        <v>0.64929859719438876</v>
      </c>
      <c r="AQ48">
        <f>'[1]Impact Score Math'!G48</f>
        <v>176</v>
      </c>
      <c r="AT48" s="1">
        <f>'[1]Forward Ranks'!CJ48</f>
        <v>0.23799126637554585</v>
      </c>
      <c r="AU48" s="1">
        <f>'[1]Forward Ranks'!CK48</f>
        <v>0.27729257641921395</v>
      </c>
    </row>
    <row r="49" spans="1:47" x14ac:dyDescent="0.3">
      <c r="A49" t="str">
        <f>'[1]Forward Ranks'!A49</f>
        <v>Bo Horvat</v>
      </c>
      <c r="B49">
        <f>'[1]Forward Ranks'!D49</f>
        <v>0</v>
      </c>
      <c r="C49" s="1">
        <f>'[1]Forward Ranks'!I49</f>
        <v>0.68558951965065507</v>
      </c>
      <c r="D49" s="1">
        <f>'[1]Forward Ranks'!J49</f>
        <v>0.611353711790393</v>
      </c>
      <c r="E49" s="1">
        <f>'[1]Forward Ranks'!K49</f>
        <v>0.64192139737991272</v>
      </c>
      <c r="F49" s="1">
        <f>'[1]Forward Ranks'!L49</f>
        <v>0.59825327510917026</v>
      </c>
      <c r="G49">
        <f>'[1]Forward Ranks'!N49</f>
        <v>0</v>
      </c>
      <c r="H49" s="1">
        <f>'[1]Forward Ranks'!S49</f>
        <v>0.81659388646288211</v>
      </c>
      <c r="I49" s="1">
        <f>'[1]Forward Ranks'!T49</f>
        <v>0.56113537117903933</v>
      </c>
      <c r="J49" s="1">
        <f>'[1]Forward Ranks'!U49</f>
        <v>0.67903930131004364</v>
      </c>
      <c r="K49" s="1">
        <f>'[1]Forward Ranks'!V49</f>
        <v>0.73580786026200873</v>
      </c>
      <c r="L49">
        <f>'[1]Forward Ranks'!X49</f>
        <v>0</v>
      </c>
      <c r="M49" s="1">
        <f>'[1]Forward Ranks'!AC49</f>
        <v>0.4126637554585153</v>
      </c>
      <c r="N49" s="1">
        <f>'[1]Forward Ranks'!AD49</f>
        <v>0.37991266375545851</v>
      </c>
      <c r="O49" s="1">
        <f>'[1]Forward Ranks'!AE49</f>
        <v>0.30131004366812225</v>
      </c>
      <c r="P49" s="1">
        <f>'[1]Forward Ranks'!AF49</f>
        <v>0.24017467248908297</v>
      </c>
      <c r="Q49">
        <f>'[1]Forward Ranks'!AH49</f>
        <v>0</v>
      </c>
      <c r="R49" s="1">
        <f>'[1]Forward Ranks'!AM49</f>
        <v>0.85152838427947597</v>
      </c>
      <c r="S49" s="1">
        <f>'[1]Forward Ranks'!AN49</f>
        <v>0.62882096069868998</v>
      </c>
      <c r="T49" s="1">
        <f>'[1]Forward Ranks'!AO49</f>
        <v>0.5633187772925764</v>
      </c>
      <c r="U49" s="1">
        <f>'[1]Forward Ranks'!AP49</f>
        <v>0.71179039301310043</v>
      </c>
      <c r="V49">
        <f>'[1]Forward Ranks'!AR49</f>
        <v>0</v>
      </c>
      <c r="W49" s="1">
        <f>'[1]Forward Ranks'!AW49</f>
        <v>0.45633187772925765</v>
      </c>
      <c r="X49" s="1">
        <f>'[1]Forward Ranks'!AX49</f>
        <v>0.54803493449781659</v>
      </c>
      <c r="Y49" s="1">
        <f>'[1]Forward Ranks'!AY49</f>
        <v>0.37117903930131002</v>
      </c>
      <c r="Z49" s="1">
        <f>'[1]Forward Ranks'!AZ49</f>
        <v>0.28820960698689957</v>
      </c>
      <c r="AA49">
        <f>'[1]Forward Ranks'!BB49</f>
        <v>0</v>
      </c>
      <c r="AB49" s="1">
        <f>'[1]Forward Ranks'!BG49</f>
        <v>0.93013100436681218</v>
      </c>
      <c r="AC49" s="1">
        <f>'[1]Forward Ranks'!BH49</f>
        <v>0.44759825327510916</v>
      </c>
      <c r="AD49" s="1">
        <f>'[1]Forward Ranks'!BI49</f>
        <v>0.60480349344978168</v>
      </c>
      <c r="AE49" s="1">
        <f>'[1]Forward Ranks'!BJ49</f>
        <v>0.42794759825327511</v>
      </c>
      <c r="AF49">
        <f>'[1]Forward Ranks'!BL49</f>
        <v>0</v>
      </c>
      <c r="AG49" s="1">
        <f>'[1]Forward Ranks'!BQ49</f>
        <v>0.5873362445414847</v>
      </c>
      <c r="AH49" s="1">
        <f>'[1]Forward Ranks'!BR49</f>
        <v>0.48253275109170307</v>
      </c>
      <c r="AI49" s="1">
        <f>'[1]Forward Ranks'!BS49</f>
        <v>0.45633187772925765</v>
      </c>
      <c r="AJ49" s="1">
        <f>'[1]Forward Ranks'!BT49</f>
        <v>0.40611353711790393</v>
      </c>
      <c r="AL49" s="2">
        <f>'[1]Forward Ranks'!BX49</f>
        <v>0.64410480349344978</v>
      </c>
      <c r="AN49" t="str">
        <f>'[1]Forward Ranks'!B49</f>
        <v>NYI, VAN</v>
      </c>
      <c r="AO49">
        <f>'[1]F on ice'!E49</f>
        <v>79</v>
      </c>
      <c r="AP49" s="2">
        <f>'[1]Impact Score Math'!E49</f>
        <v>0.80961923847695394</v>
      </c>
      <c r="AQ49">
        <f>'[1]Impact Score Math'!G49</f>
        <v>96</v>
      </c>
      <c r="AT49" s="1">
        <f>'[1]Forward Ranks'!CJ49</f>
        <v>0.76855895196506552</v>
      </c>
      <c r="AU49" s="1">
        <f>'[1]Forward Ranks'!CK49</f>
        <v>0.48471615720524019</v>
      </c>
    </row>
    <row r="50" spans="1:47" x14ac:dyDescent="0.3">
      <c r="A50" t="str">
        <f>'[1]Forward Ranks'!A50</f>
        <v>Boone Jenner</v>
      </c>
      <c r="B50">
        <f>'[1]Forward Ranks'!D50</f>
        <v>0</v>
      </c>
      <c r="C50" s="1">
        <f>'[1]Forward Ranks'!I50</f>
        <v>0.60917030567685593</v>
      </c>
      <c r="D50" s="1">
        <f>'[1]Forward Ranks'!J50</f>
        <v>0.34716157205240172</v>
      </c>
      <c r="E50" s="1">
        <f>'[1]Forward Ranks'!K50</f>
        <v>0.43231441048034935</v>
      </c>
      <c r="F50" s="1">
        <f>'[1]Forward Ranks'!L50</f>
        <v>0.58296943231441045</v>
      </c>
      <c r="G50">
        <f>'[1]Forward Ranks'!N50</f>
        <v>0</v>
      </c>
      <c r="H50" s="1">
        <f>'[1]Forward Ranks'!S50</f>
        <v>0.72707423580786024</v>
      </c>
      <c r="I50" s="1">
        <f>'[1]Forward Ranks'!T50</f>
        <v>0.1943231441048035</v>
      </c>
      <c r="J50" s="1">
        <f>'[1]Forward Ranks'!U50</f>
        <v>0.29475982532751094</v>
      </c>
      <c r="K50" s="1">
        <f>'[1]Forward Ranks'!V50</f>
        <v>0.39956331877729256</v>
      </c>
      <c r="L50">
        <f>'[1]Forward Ranks'!X50</f>
        <v>0</v>
      </c>
      <c r="M50" s="1">
        <f>'[1]Forward Ranks'!AC50</f>
        <v>0.10480349344978165</v>
      </c>
      <c r="N50" s="1">
        <f>'[1]Forward Ranks'!AD50</f>
        <v>0.33406113537117904</v>
      </c>
      <c r="O50" s="1">
        <f>'[1]Forward Ranks'!AE50</f>
        <v>5.2401746724890827E-2</v>
      </c>
      <c r="P50" s="1">
        <f>'[1]Forward Ranks'!AF50</f>
        <v>0.17248908296943233</v>
      </c>
      <c r="Q50">
        <f>'[1]Forward Ranks'!AH50</f>
        <v>0</v>
      </c>
      <c r="R50" s="1">
        <f>'[1]Forward Ranks'!AM50</f>
        <v>0.89301310043668125</v>
      </c>
      <c r="S50" s="1">
        <f>'[1]Forward Ranks'!AN50</f>
        <v>0.72925764192139741</v>
      </c>
      <c r="T50" s="1">
        <f>'[1]Forward Ranks'!AO50</f>
        <v>0.62008733624454149</v>
      </c>
      <c r="U50" s="1">
        <f>'[1]Forward Ranks'!AP50</f>
        <v>0.83842794759825323</v>
      </c>
      <c r="V50">
        <f>'[1]Forward Ranks'!AR50</f>
        <v>0</v>
      </c>
      <c r="W50" s="1">
        <f>'[1]Forward Ranks'!AW50</f>
        <v>0.71834061135371174</v>
      </c>
      <c r="X50" s="1">
        <f>'[1]Forward Ranks'!AX50</f>
        <v>0.70305676855895194</v>
      </c>
      <c r="Y50" s="1">
        <f>'[1]Forward Ranks'!AY50</f>
        <v>0.56986899563318782</v>
      </c>
      <c r="Z50" s="1">
        <f>'[1]Forward Ranks'!AZ50</f>
        <v>0.63100436681222705</v>
      </c>
      <c r="AA50">
        <f>'[1]Forward Ranks'!BB50</f>
        <v>0</v>
      </c>
      <c r="AB50" s="1">
        <f>'[1]Forward Ranks'!BG50</f>
        <v>0.98034934497816595</v>
      </c>
      <c r="AC50" s="1">
        <f>'[1]Forward Ranks'!BH50</f>
        <v>0.33624454148471616</v>
      </c>
      <c r="AD50" s="1">
        <f>'[1]Forward Ranks'!BI50</f>
        <v>0.38646288209606988</v>
      </c>
      <c r="AE50" s="1">
        <f>'[1]Forward Ranks'!BJ50</f>
        <v>0.11790393013100436</v>
      </c>
      <c r="AF50">
        <f>'[1]Forward Ranks'!BL50</f>
        <v>0</v>
      </c>
      <c r="AG50" s="1">
        <f>'[1]Forward Ranks'!BQ50</f>
        <v>0.32532751091703055</v>
      </c>
      <c r="AH50" s="1">
        <f>'[1]Forward Ranks'!BR50</f>
        <v>0.29039301310043669</v>
      </c>
      <c r="AI50" s="1">
        <f>'[1]Forward Ranks'!BS50</f>
        <v>0.16812227074235808</v>
      </c>
      <c r="AJ50" s="1">
        <f>'[1]Forward Ranks'!BT50</f>
        <v>0.35589519650655022</v>
      </c>
      <c r="AL50" s="2">
        <f>'[1]Forward Ranks'!BX50</f>
        <v>0.53493449781659386</v>
      </c>
      <c r="AN50" t="str">
        <f>'[1]Forward Ranks'!B50</f>
        <v>CBJ</v>
      </c>
      <c r="AO50">
        <f>'[1]F on ice'!E50</f>
        <v>68</v>
      </c>
      <c r="AP50" s="2">
        <f>'[1]Impact Score Math'!E50</f>
        <v>0.75951903807615229</v>
      </c>
      <c r="AQ50">
        <f>'[1]Impact Score Math'!G50</f>
        <v>121</v>
      </c>
      <c r="AT50" s="1">
        <f>'[1]Forward Ranks'!CJ50</f>
        <v>0.25982532751091703</v>
      </c>
      <c r="AU50" s="1">
        <f>'[1]Forward Ranks'!CK50</f>
        <v>0.72270742358078599</v>
      </c>
    </row>
    <row r="51" spans="1:47" x14ac:dyDescent="0.3">
      <c r="A51" t="str">
        <f>'[1]Forward Ranks'!A51</f>
        <v>Boris Katchouk</v>
      </c>
      <c r="B51">
        <f>'[1]Forward Ranks'!D51</f>
        <v>0</v>
      </c>
      <c r="C51" s="1">
        <f>'[1]Forward Ranks'!I51</f>
        <v>0.23144104803493451</v>
      </c>
      <c r="D51" s="1">
        <f>'[1]Forward Ranks'!J51</f>
        <v>0.18340611353711792</v>
      </c>
      <c r="E51" s="1">
        <f>'[1]Forward Ranks'!K51</f>
        <v>0.15502183406113537</v>
      </c>
      <c r="F51" s="1">
        <f>'[1]Forward Ranks'!L51</f>
        <v>0.1222707423580786</v>
      </c>
      <c r="G51">
        <f>'[1]Forward Ranks'!N51</f>
        <v>0</v>
      </c>
      <c r="H51" s="1">
        <f>'[1]Forward Ranks'!S51</f>
        <v>0.26419213973799127</v>
      </c>
      <c r="I51" s="1">
        <f>'[1]Forward Ranks'!T51</f>
        <v>0.4606986899563319</v>
      </c>
      <c r="J51" s="1">
        <f>'[1]Forward Ranks'!U51</f>
        <v>0.55458515283842791</v>
      </c>
      <c r="K51" s="1">
        <f>'[1]Forward Ranks'!V51</f>
        <v>0.32096069868995636</v>
      </c>
      <c r="L51">
        <f>'[1]Forward Ranks'!X51</f>
        <v>0</v>
      </c>
      <c r="M51" s="1">
        <f>'[1]Forward Ranks'!AC51</f>
        <v>0.41921397379912662</v>
      </c>
      <c r="N51" s="1">
        <f>'[1]Forward Ranks'!AD51</f>
        <v>0.31659388646288211</v>
      </c>
      <c r="O51" s="1">
        <f>'[1]Forward Ranks'!AE51</f>
        <v>0.29039301310043669</v>
      </c>
      <c r="P51" s="1">
        <f>'[1]Forward Ranks'!AF51</f>
        <v>0.36244541484716158</v>
      </c>
      <c r="Q51">
        <f>'[1]Forward Ranks'!AH51</f>
        <v>0</v>
      </c>
      <c r="R51" s="1">
        <f>'[1]Forward Ranks'!AM51</f>
        <v>0.63537117903930129</v>
      </c>
      <c r="S51" s="1">
        <f>'[1]Forward Ranks'!AN51</f>
        <v>0.61572052401746724</v>
      </c>
      <c r="T51" s="1">
        <f>'[1]Forward Ranks'!AO51</f>
        <v>0.46724890829694321</v>
      </c>
      <c r="U51" s="1">
        <f>'[1]Forward Ranks'!AP51</f>
        <v>0.45196506550218341</v>
      </c>
      <c r="V51">
        <f>'[1]Forward Ranks'!AR51</f>
        <v>0</v>
      </c>
      <c r="W51" s="1">
        <f>'[1]Forward Ranks'!AW51</f>
        <v>0.86244541484716153</v>
      </c>
      <c r="X51" s="1">
        <f>'[1]Forward Ranks'!AX51</f>
        <v>0.66157205240174677</v>
      </c>
      <c r="Y51" s="1">
        <f>'[1]Forward Ranks'!AY51</f>
        <v>0.59170305676855894</v>
      </c>
      <c r="Z51" s="1">
        <f>'[1]Forward Ranks'!AZ51</f>
        <v>0.77947598253275108</v>
      </c>
      <c r="AA51">
        <f>'[1]Forward Ranks'!BB51</f>
        <v>0</v>
      </c>
      <c r="AB51" s="1">
        <f>'[1]Forward Ranks'!BG51</f>
        <v>0.20087336244541484</v>
      </c>
      <c r="AC51" s="1">
        <f>'[1]Forward Ranks'!BH51</f>
        <v>0.15502183406113537</v>
      </c>
      <c r="AD51" s="1">
        <f>'[1]Forward Ranks'!BI51</f>
        <v>0.21179039301310043</v>
      </c>
      <c r="AE51" s="1">
        <f>'[1]Forward Ranks'!BJ51</f>
        <v>0.18122270742358079</v>
      </c>
      <c r="AF51">
        <f>'[1]Forward Ranks'!BL51</f>
        <v>0</v>
      </c>
      <c r="AG51" s="1">
        <f>'[1]Forward Ranks'!BQ51</f>
        <v>0.28820960698689957</v>
      </c>
      <c r="AH51" s="1">
        <f>'[1]Forward Ranks'!BR51</f>
        <v>0.1965065502183406</v>
      </c>
      <c r="AI51" s="1">
        <f>'[1]Forward Ranks'!BS51</f>
        <v>0.10480349344978165</v>
      </c>
      <c r="AJ51" s="1">
        <f>'[1]Forward Ranks'!BT51</f>
        <v>0.16593886462882096</v>
      </c>
      <c r="AL51" s="2">
        <f>'[1]Forward Ranks'!BX51</f>
        <v>0.33406113537117904</v>
      </c>
      <c r="AN51" t="str">
        <f>'[1]Forward Ranks'!B51</f>
        <v>CHI</v>
      </c>
      <c r="AO51">
        <f>'[1]F on ice'!E51</f>
        <v>58</v>
      </c>
      <c r="AP51" s="2">
        <f>'[1]Impact Score Math'!E51</f>
        <v>0.33867735470941884</v>
      </c>
      <c r="AQ51">
        <f>'[1]Impact Score Math'!G51</f>
        <v>331</v>
      </c>
      <c r="AT51" s="1">
        <f>'[1]Forward Ranks'!CJ51</f>
        <v>0.36899563318777295</v>
      </c>
      <c r="AU51" s="1">
        <f>'[1]Forward Ranks'!CK51</f>
        <v>0.59170305676855894</v>
      </c>
    </row>
    <row r="52" spans="1:47" x14ac:dyDescent="0.3">
      <c r="A52" t="str">
        <f>'[1]Forward Ranks'!A52</f>
        <v>Brad Marchand</v>
      </c>
      <c r="B52">
        <f>'[1]Forward Ranks'!D52</f>
        <v>0</v>
      </c>
      <c r="C52" s="1">
        <f>'[1]Forward Ranks'!I52</f>
        <v>0.94759825327510916</v>
      </c>
      <c r="D52" s="1">
        <f>'[1]Forward Ranks'!J52</f>
        <v>0.92794759825327511</v>
      </c>
      <c r="E52" s="1">
        <f>'[1]Forward Ranks'!K52</f>
        <v>0.78602620087336239</v>
      </c>
      <c r="F52" s="1">
        <f>'[1]Forward Ranks'!L52</f>
        <v>0.92794759825327511</v>
      </c>
      <c r="G52">
        <f>'[1]Forward Ranks'!N52</f>
        <v>0</v>
      </c>
      <c r="H52" s="1">
        <f>'[1]Forward Ranks'!S52</f>
        <v>0.46724890829694321</v>
      </c>
      <c r="I52" s="1">
        <f>'[1]Forward Ranks'!T52</f>
        <v>0.87991266375545851</v>
      </c>
      <c r="J52" s="1">
        <f>'[1]Forward Ranks'!U52</f>
        <v>0.94541484716157209</v>
      </c>
      <c r="K52" s="1">
        <f>'[1]Forward Ranks'!V52</f>
        <v>0.79694323144104806</v>
      </c>
      <c r="L52">
        <f>'[1]Forward Ranks'!X52</f>
        <v>0</v>
      </c>
      <c r="M52" s="1">
        <f>'[1]Forward Ranks'!AC52</f>
        <v>0.73799126637554591</v>
      </c>
      <c r="N52" s="1">
        <f>'[1]Forward Ranks'!AD52</f>
        <v>0.65938864628820959</v>
      </c>
      <c r="O52" s="1">
        <f>'[1]Forward Ranks'!AE52</f>
        <v>0.99126637554585151</v>
      </c>
      <c r="P52" s="1">
        <f>'[1]Forward Ranks'!AF52</f>
        <v>0.82096069868995636</v>
      </c>
      <c r="Q52">
        <f>'[1]Forward Ranks'!AH52</f>
        <v>0</v>
      </c>
      <c r="R52" s="1">
        <f>'[1]Forward Ranks'!AM52</f>
        <v>0.98471615720524019</v>
      </c>
      <c r="S52" s="1">
        <f>'[1]Forward Ranks'!AN52</f>
        <v>0.9759825327510917</v>
      </c>
      <c r="T52" s="1">
        <f>'[1]Forward Ranks'!AO52</f>
        <v>0.51965065502183405</v>
      </c>
      <c r="U52" s="1">
        <f>'[1]Forward Ranks'!AP52</f>
        <v>0.97816593886462877</v>
      </c>
      <c r="V52">
        <f>'[1]Forward Ranks'!AR52</f>
        <v>0</v>
      </c>
      <c r="W52" s="1">
        <f>'[1]Forward Ranks'!AW52</f>
        <v>0.67248908296943233</v>
      </c>
      <c r="X52" s="1">
        <f>'[1]Forward Ranks'!AX52</f>
        <v>0.50436681222707425</v>
      </c>
      <c r="Y52" s="1">
        <f>'[1]Forward Ranks'!AY52</f>
        <v>0.81004366812227069</v>
      </c>
      <c r="Z52" s="1">
        <f>'[1]Forward Ranks'!AZ52</f>
        <v>0.68995633187772931</v>
      </c>
      <c r="AA52">
        <f>'[1]Forward Ranks'!BB52</f>
        <v>0</v>
      </c>
      <c r="AB52" s="1">
        <f>'[1]Forward Ranks'!BG52</f>
        <v>0.6026200873362445</v>
      </c>
      <c r="AC52" s="1">
        <f>'[1]Forward Ranks'!BH52</f>
        <v>0.70960698689956336</v>
      </c>
      <c r="AD52" s="1">
        <f>'[1]Forward Ranks'!BI52</f>
        <v>0.44104803493449779</v>
      </c>
      <c r="AE52" s="1">
        <f>'[1]Forward Ranks'!BJ52</f>
        <v>0.93886462882096067</v>
      </c>
      <c r="AF52">
        <f>'[1]Forward Ranks'!BL52</f>
        <v>0</v>
      </c>
      <c r="AG52" s="1">
        <f>'[1]Forward Ranks'!BQ52</f>
        <v>0.94323144104803491</v>
      </c>
      <c r="AH52" s="1">
        <f>'[1]Forward Ranks'!BR52</f>
        <v>0.92139737991266379</v>
      </c>
      <c r="AI52" s="1">
        <f>'[1]Forward Ranks'!BS52</f>
        <v>0.99344978165938869</v>
      </c>
      <c r="AJ52" s="1">
        <f>'[1]Forward Ranks'!BT52</f>
        <v>0.9606986899563319</v>
      </c>
      <c r="AL52" s="2">
        <f>'[1]Forward Ranks'!BX52</f>
        <v>0.97161572052401746</v>
      </c>
      <c r="AN52" t="str">
        <f>'[1]Forward Ranks'!B52</f>
        <v>BOS</v>
      </c>
      <c r="AO52">
        <f>'[1]F on ice'!E52</f>
        <v>73</v>
      </c>
      <c r="AP52" s="2">
        <f>'[1]Impact Score Math'!E52</f>
        <v>0.94589178356713421</v>
      </c>
      <c r="AQ52">
        <f>'[1]Impact Score Math'!G52</f>
        <v>28</v>
      </c>
      <c r="AT52" s="1">
        <f>'[1]Forward Ranks'!CJ52</f>
        <v>7.8602620087336247E-2</v>
      </c>
      <c r="AU52" s="1">
        <f>'[1]Forward Ranks'!CK52</f>
        <v>0.98689956331877726</v>
      </c>
    </row>
    <row r="53" spans="1:47" x14ac:dyDescent="0.3">
      <c r="A53" t="str">
        <f>'[1]Forward Ranks'!A53</f>
        <v>Brady Tkachuk</v>
      </c>
      <c r="B53">
        <f>'[1]Forward Ranks'!D53</f>
        <v>0</v>
      </c>
      <c r="C53" s="1">
        <f>'[1]Forward Ranks'!I53</f>
        <v>0.97379912663755464</v>
      </c>
      <c r="D53" s="1">
        <f>'[1]Forward Ranks'!J53</f>
        <v>0.95196506550218341</v>
      </c>
      <c r="E53" s="1">
        <f>'[1]Forward Ranks'!K53</f>
        <v>0.86899563318777295</v>
      </c>
      <c r="F53" s="1">
        <f>'[1]Forward Ranks'!L53</f>
        <v>0.98908296943231444</v>
      </c>
      <c r="G53">
        <f>'[1]Forward Ranks'!N53</f>
        <v>0</v>
      </c>
      <c r="H53" s="1">
        <f>'[1]Forward Ranks'!S53</f>
        <v>0.84716157205240172</v>
      </c>
      <c r="I53" s="1">
        <f>'[1]Forward Ranks'!T53</f>
        <v>0.85589519650655022</v>
      </c>
      <c r="J53" s="1">
        <f>'[1]Forward Ranks'!U53</f>
        <v>0.81441048034934493</v>
      </c>
      <c r="K53" s="1">
        <f>'[1]Forward Ranks'!V53</f>
        <v>0.91921397379912662</v>
      </c>
      <c r="L53">
        <f>'[1]Forward Ranks'!X53</f>
        <v>0</v>
      </c>
      <c r="M53" s="1">
        <f>'[1]Forward Ranks'!AC53</f>
        <v>0.48253275109170307</v>
      </c>
      <c r="N53" s="1">
        <f>'[1]Forward Ranks'!AD53</f>
        <v>0.4366812227074236</v>
      </c>
      <c r="O53" s="1">
        <f>'[1]Forward Ranks'!AE53</f>
        <v>0.1091703056768559</v>
      </c>
      <c r="P53" s="1">
        <f>'[1]Forward Ranks'!AF53</f>
        <v>0.36244541484716158</v>
      </c>
      <c r="Q53">
        <f>'[1]Forward Ranks'!AH53</f>
        <v>0</v>
      </c>
      <c r="R53" s="1">
        <f>'[1]Forward Ranks'!AM53</f>
        <v>0.98908296943231444</v>
      </c>
      <c r="S53" s="1">
        <f>'[1]Forward Ranks'!AN53</f>
        <v>0.99781659388646293</v>
      </c>
      <c r="T53" s="1">
        <f>'[1]Forward Ranks'!AO53</f>
        <v>0.94541484716157209</v>
      </c>
      <c r="U53" s="1">
        <f>'[1]Forward Ranks'!AP53</f>
        <v>0.99781659388646293</v>
      </c>
      <c r="V53">
        <f>'[1]Forward Ranks'!AR53</f>
        <v>0</v>
      </c>
      <c r="W53" s="1">
        <f>'[1]Forward Ranks'!AW53</f>
        <v>0.41484716157205243</v>
      </c>
      <c r="X53" s="1">
        <f>'[1]Forward Ranks'!AX53</f>
        <v>0.37336244541484714</v>
      </c>
      <c r="Y53" s="1">
        <f>'[1]Forward Ranks'!AY53</f>
        <v>8.5152838427947602E-2</v>
      </c>
      <c r="Z53" s="1">
        <f>'[1]Forward Ranks'!AZ53</f>
        <v>0.2816593886462882</v>
      </c>
      <c r="AA53">
        <f>'[1]Forward Ranks'!BB53</f>
        <v>0</v>
      </c>
      <c r="AB53" s="1">
        <f>'[1]Forward Ranks'!BG53</f>
        <v>0.78820960698689957</v>
      </c>
      <c r="AC53" s="1">
        <f>'[1]Forward Ranks'!BH53</f>
        <v>0.86899563318777295</v>
      </c>
      <c r="AD53" s="1">
        <f>'[1]Forward Ranks'!BI53</f>
        <v>0.63100436681222705</v>
      </c>
      <c r="AE53" s="1">
        <f>'[1]Forward Ranks'!BJ53</f>
        <v>0.20524017467248909</v>
      </c>
      <c r="AF53">
        <f>'[1]Forward Ranks'!BL53</f>
        <v>0</v>
      </c>
      <c r="AG53" s="1">
        <f>'[1]Forward Ranks'!BQ53</f>
        <v>0.92794759825327511</v>
      </c>
      <c r="AH53" s="1">
        <f>'[1]Forward Ranks'!BR53</f>
        <v>0.888646288209607</v>
      </c>
      <c r="AI53" s="1">
        <f>'[1]Forward Ranks'!BS53</f>
        <v>0.48253275109170307</v>
      </c>
      <c r="AJ53" s="1">
        <f>'[1]Forward Ranks'!BT53</f>
        <v>0.90611353711790388</v>
      </c>
      <c r="AL53" s="2">
        <f>'[1]Forward Ranks'!BX53</f>
        <v>0.95633187772925765</v>
      </c>
      <c r="AN53" t="str">
        <f>'[1]Forward Ranks'!B53</f>
        <v>OTT</v>
      </c>
      <c r="AO53">
        <f>'[1]F on ice'!E53</f>
        <v>82</v>
      </c>
      <c r="AP53" s="2">
        <f>'[1]Impact Score Math'!E53</f>
        <v>0.95390781563126248</v>
      </c>
      <c r="AQ53">
        <f>'[1]Impact Score Math'!G53</f>
        <v>24</v>
      </c>
      <c r="AT53" s="1">
        <f>'[1]Forward Ranks'!CJ53</f>
        <v>9.3886462882096067E-2</v>
      </c>
      <c r="AU53" s="1">
        <f>'[1]Forward Ranks'!CK53</f>
        <v>0.90829694323144106</v>
      </c>
    </row>
    <row r="54" spans="1:47" x14ac:dyDescent="0.3">
      <c r="A54" t="str">
        <f>'[1]Forward Ranks'!A54</f>
        <v>Brandon Duhaime</v>
      </c>
      <c r="B54">
        <f>'[1]Forward Ranks'!D54</f>
        <v>0</v>
      </c>
      <c r="C54" s="1">
        <f>'[1]Forward Ranks'!I54</f>
        <v>0.388646288209607</v>
      </c>
      <c r="D54" s="1">
        <f>'[1]Forward Ranks'!J54</f>
        <v>0.43886462882096072</v>
      </c>
      <c r="E54" s="1">
        <f>'[1]Forward Ranks'!K54</f>
        <v>0.31877729257641924</v>
      </c>
      <c r="F54" s="1">
        <f>'[1]Forward Ranks'!L54</f>
        <v>0.51528384279475981</v>
      </c>
      <c r="G54">
        <f>'[1]Forward Ranks'!N54</f>
        <v>0</v>
      </c>
      <c r="H54" s="1">
        <f>'[1]Forward Ranks'!S54</f>
        <v>0.80349344978165937</v>
      </c>
      <c r="I54" s="1">
        <f>'[1]Forward Ranks'!T54</f>
        <v>1.7467248908296942E-2</v>
      </c>
      <c r="J54" s="1">
        <f>'[1]Forward Ranks'!U54</f>
        <v>4.3668122270742356E-2</v>
      </c>
      <c r="K54" s="1">
        <f>'[1]Forward Ranks'!V54</f>
        <v>0.14410480349344978</v>
      </c>
      <c r="L54">
        <f>'[1]Forward Ranks'!X54</f>
        <v>0</v>
      </c>
      <c r="M54" s="1">
        <f>'[1]Forward Ranks'!AC54</f>
        <v>0.57860262008733621</v>
      </c>
      <c r="N54" s="1">
        <f>'[1]Forward Ranks'!AD54</f>
        <v>0.74890829694323147</v>
      </c>
      <c r="O54" s="1">
        <f>'[1]Forward Ranks'!AE54</f>
        <v>0.9759825327510917</v>
      </c>
      <c r="P54" s="1">
        <f>'[1]Forward Ranks'!AF54</f>
        <v>0.65502183406113534</v>
      </c>
      <c r="Q54">
        <f>'[1]Forward Ranks'!AH54</f>
        <v>0</v>
      </c>
      <c r="R54" s="1">
        <f>'[1]Forward Ranks'!AM54</f>
        <v>0.31877729257641924</v>
      </c>
      <c r="S54" s="1">
        <f>'[1]Forward Ranks'!AN54</f>
        <v>0.67030567685589515</v>
      </c>
      <c r="T54" s="1">
        <f>'[1]Forward Ranks'!AO54</f>
        <v>0.62008733624454149</v>
      </c>
      <c r="U54" s="1">
        <f>'[1]Forward Ranks'!AP54</f>
        <v>0.72707423580786024</v>
      </c>
      <c r="V54">
        <f>'[1]Forward Ranks'!AR54</f>
        <v>0</v>
      </c>
      <c r="W54" s="1">
        <f>'[1]Forward Ranks'!AW54</f>
        <v>0.50655021834061131</v>
      </c>
      <c r="X54" s="1">
        <f>'[1]Forward Ranks'!AX54</f>
        <v>0.44541484716157204</v>
      </c>
      <c r="Y54" s="1">
        <f>'[1]Forward Ranks'!AY54</f>
        <v>0.95414847161572047</v>
      </c>
      <c r="Z54" s="1">
        <f>'[1]Forward Ranks'!AZ54</f>
        <v>0.4366812227074236</v>
      </c>
      <c r="AA54">
        <f>'[1]Forward Ranks'!BB54</f>
        <v>0</v>
      </c>
      <c r="AB54" s="1">
        <f>'[1]Forward Ranks'!BG54</f>
        <v>0.1091703056768559</v>
      </c>
      <c r="AC54" s="1">
        <f>'[1]Forward Ranks'!BH54</f>
        <v>0.25327510917030566</v>
      </c>
      <c r="AD54" s="1">
        <f>'[1]Forward Ranks'!BI54</f>
        <v>0.34279475982532753</v>
      </c>
      <c r="AE54" s="1">
        <f>'[1]Forward Ranks'!BJ54</f>
        <v>0.87117903930131002</v>
      </c>
      <c r="AF54">
        <f>'[1]Forward Ranks'!BL54</f>
        <v>0</v>
      </c>
      <c r="AG54" s="1">
        <f>'[1]Forward Ranks'!BQ54</f>
        <v>0.46506550218340609</v>
      </c>
      <c r="AH54" s="1">
        <f>'[1]Forward Ranks'!BR54</f>
        <v>0.55240174672489084</v>
      </c>
      <c r="AI54" s="1">
        <f>'[1]Forward Ranks'!BS54</f>
        <v>0.88209606986899558</v>
      </c>
      <c r="AJ54" s="1">
        <f>'[1]Forward Ranks'!BT54</f>
        <v>0.61572052401746724</v>
      </c>
      <c r="AL54" s="2">
        <f>'[1]Forward Ranks'!BX54</f>
        <v>0.49563318777292575</v>
      </c>
      <c r="AN54" t="str">
        <f>'[1]Forward Ranks'!B54</f>
        <v>MIN</v>
      </c>
      <c r="AO54">
        <f>'[1]F on ice'!E54</f>
        <v>51</v>
      </c>
      <c r="AP54" s="2">
        <f>'[1]Impact Score Math'!E54</f>
        <v>0.41683366733466931</v>
      </c>
      <c r="AQ54">
        <f>'[1]Impact Score Math'!G54</f>
        <v>292</v>
      </c>
      <c r="AT54" s="1">
        <f>'[1]Forward Ranks'!CJ54</f>
        <v>8.9519650655021835E-2</v>
      </c>
      <c r="AU54" s="1">
        <f>'[1]Forward Ranks'!CK54</f>
        <v>0.99126637554585151</v>
      </c>
    </row>
    <row r="55" spans="1:47" x14ac:dyDescent="0.3">
      <c r="A55" t="str">
        <f>'[1]Forward Ranks'!A55</f>
        <v>Brandon Hagel</v>
      </c>
      <c r="B55">
        <f>'[1]Forward Ranks'!D55</f>
        <v>0</v>
      </c>
      <c r="C55" s="1">
        <f>'[1]Forward Ranks'!I55</f>
        <v>0.84716157205240172</v>
      </c>
      <c r="D55" s="1">
        <f>'[1]Forward Ranks'!J55</f>
        <v>0.94978165938864634</v>
      </c>
      <c r="E55" s="1">
        <f>'[1]Forward Ranks'!K55</f>
        <v>0.83842794759825323</v>
      </c>
      <c r="F55" s="1">
        <f>'[1]Forward Ranks'!L55</f>
        <v>0.88646288209606983</v>
      </c>
      <c r="G55">
        <f>'[1]Forward Ranks'!N55</f>
        <v>0</v>
      </c>
      <c r="H55" s="1">
        <f>'[1]Forward Ranks'!S55</f>
        <v>0.77510917030567683</v>
      </c>
      <c r="I55" s="1">
        <f>'[1]Forward Ranks'!T55</f>
        <v>0.68122270742358082</v>
      </c>
      <c r="J55" s="1">
        <f>'[1]Forward Ranks'!U55</f>
        <v>0.49563318777292575</v>
      </c>
      <c r="K55" s="1">
        <f>'[1]Forward Ranks'!V55</f>
        <v>0.78384279475982532</v>
      </c>
      <c r="L55">
        <f>'[1]Forward Ranks'!X55</f>
        <v>0</v>
      </c>
      <c r="M55" s="1">
        <f>'[1]Forward Ranks'!AC55</f>
        <v>0.5393013100436681</v>
      </c>
      <c r="N55" s="1">
        <f>'[1]Forward Ranks'!AD55</f>
        <v>0.37336244541484714</v>
      </c>
      <c r="O55" s="1">
        <f>'[1]Forward Ranks'!AE55</f>
        <v>0.56768558951965065</v>
      </c>
      <c r="P55" s="1">
        <f>'[1]Forward Ranks'!AF55</f>
        <v>0.34934497816593885</v>
      </c>
      <c r="Q55">
        <f>'[1]Forward Ranks'!AH55</f>
        <v>0</v>
      </c>
      <c r="R55" s="1">
        <f>'[1]Forward Ranks'!AM55</f>
        <v>0.87554585152838427</v>
      </c>
      <c r="S55" s="1">
        <f>'[1]Forward Ranks'!AN55</f>
        <v>0.88427947598253276</v>
      </c>
      <c r="T55" s="1">
        <f>'[1]Forward Ranks'!AO55</f>
        <v>0.81441048034934493</v>
      </c>
      <c r="U55" s="1">
        <f>'[1]Forward Ranks'!AP55</f>
        <v>0.87991266375545851</v>
      </c>
      <c r="V55">
        <f>'[1]Forward Ranks'!AR55</f>
        <v>0</v>
      </c>
      <c r="W55" s="1">
        <f>'[1]Forward Ranks'!AW55</f>
        <v>0.41484716157205243</v>
      </c>
      <c r="X55" s="1">
        <f>'[1]Forward Ranks'!AX55</f>
        <v>0.20524017467248909</v>
      </c>
      <c r="Y55" s="1">
        <f>'[1]Forward Ranks'!AY55</f>
        <v>0.51310043668122274</v>
      </c>
      <c r="Z55" s="1">
        <f>'[1]Forward Ranks'!AZ55</f>
        <v>0.26637554585152839</v>
      </c>
      <c r="AA55">
        <f>'[1]Forward Ranks'!BB55</f>
        <v>0</v>
      </c>
      <c r="AB55" s="1">
        <f>'[1]Forward Ranks'!BG55</f>
        <v>0.83187772925764192</v>
      </c>
      <c r="AC55" s="1">
        <f>'[1]Forward Ranks'!BH55</f>
        <v>0.80567685589519655</v>
      </c>
      <c r="AD55" s="1">
        <f>'[1]Forward Ranks'!BI55</f>
        <v>0.70742358078602618</v>
      </c>
      <c r="AE55" s="1">
        <f>'[1]Forward Ranks'!BJ55</f>
        <v>0.74672489082969429</v>
      </c>
      <c r="AF55">
        <f>'[1]Forward Ranks'!BL55</f>
        <v>0</v>
      </c>
      <c r="AG55" s="1">
        <f>'[1]Forward Ranks'!BQ55</f>
        <v>0.79694323144104806</v>
      </c>
      <c r="AH55" s="1">
        <f>'[1]Forward Ranks'!BR55</f>
        <v>0.87554585152838427</v>
      </c>
      <c r="AI55" s="1">
        <f>'[1]Forward Ranks'!BS55</f>
        <v>0.80131004366812231</v>
      </c>
      <c r="AJ55" s="1">
        <f>'[1]Forward Ranks'!BT55</f>
        <v>0.79694323144104806</v>
      </c>
      <c r="AL55" s="2">
        <f>'[1]Forward Ranks'!BX55</f>
        <v>0.84279475982532748</v>
      </c>
      <c r="AN55" t="str">
        <f>'[1]Forward Ranks'!B55</f>
        <v>T.B</v>
      </c>
      <c r="AO55">
        <f>'[1]F on ice'!E55</f>
        <v>81</v>
      </c>
      <c r="AP55" s="2">
        <f>'[1]Impact Score Math'!E55</f>
        <v>0.89378757515030061</v>
      </c>
      <c r="AQ55">
        <f>'[1]Impact Score Math'!G55</f>
        <v>54</v>
      </c>
      <c r="AT55" s="1">
        <f>'[1]Forward Ranks'!CJ55</f>
        <v>0.28820960698689957</v>
      </c>
      <c r="AU55" s="1">
        <f>'[1]Forward Ranks'!CK55</f>
        <v>0.71179039301310043</v>
      </c>
    </row>
    <row r="56" spans="1:47" x14ac:dyDescent="0.3">
      <c r="A56" t="str">
        <f>'[1]Forward Ranks'!A56</f>
        <v>Brandon Saad</v>
      </c>
      <c r="B56">
        <f>'[1]Forward Ranks'!D56</f>
        <v>0</v>
      </c>
      <c r="C56" s="1">
        <f>'[1]Forward Ranks'!I56</f>
        <v>0.42358078602620086</v>
      </c>
      <c r="D56" s="1">
        <f>'[1]Forward Ranks'!J56</f>
        <v>0.33187772925764192</v>
      </c>
      <c r="E56" s="1">
        <f>'[1]Forward Ranks'!K56</f>
        <v>0.56550218340611358</v>
      </c>
      <c r="F56" s="1">
        <f>'[1]Forward Ranks'!L56</f>
        <v>0.388646288209607</v>
      </c>
      <c r="G56">
        <f>'[1]Forward Ranks'!N56</f>
        <v>0</v>
      </c>
      <c r="H56" s="1">
        <f>'[1]Forward Ranks'!S56</f>
        <v>0.63318777292576423</v>
      </c>
      <c r="I56" s="1">
        <f>'[1]Forward Ranks'!T56</f>
        <v>0.4759825327510917</v>
      </c>
      <c r="J56" s="1">
        <f>'[1]Forward Ranks'!U56</f>
        <v>0.69650655021834063</v>
      </c>
      <c r="K56" s="1">
        <f>'[1]Forward Ranks'!V56</f>
        <v>0.54366812227074235</v>
      </c>
      <c r="L56">
        <f>'[1]Forward Ranks'!X56</f>
        <v>0</v>
      </c>
      <c r="M56" s="1">
        <f>'[1]Forward Ranks'!AC56</f>
        <v>0.17685589519650655</v>
      </c>
      <c r="N56" s="1">
        <f>'[1]Forward Ranks'!AD56</f>
        <v>0.27292576419213976</v>
      </c>
      <c r="O56" s="1">
        <f>'[1]Forward Ranks'!AE56</f>
        <v>0.2205240174672489</v>
      </c>
      <c r="P56" s="1">
        <f>'[1]Forward Ranks'!AF56</f>
        <v>0.17903930131004367</v>
      </c>
      <c r="Q56">
        <f>'[1]Forward Ranks'!AH56</f>
        <v>0</v>
      </c>
      <c r="R56" s="1">
        <f>'[1]Forward Ranks'!AM56</f>
        <v>0.84061135371179041</v>
      </c>
      <c r="S56" s="1">
        <f>'[1]Forward Ranks'!AN56</f>
        <v>0.74454148471615722</v>
      </c>
      <c r="T56" s="1">
        <f>'[1]Forward Ranks'!AO56</f>
        <v>0.39519650655021832</v>
      </c>
      <c r="U56" s="1">
        <f>'[1]Forward Ranks'!AP56</f>
        <v>0.76419213973799127</v>
      </c>
      <c r="V56">
        <f>'[1]Forward Ranks'!AR56</f>
        <v>0</v>
      </c>
      <c r="W56" s="1">
        <f>'[1]Forward Ranks'!AW56</f>
        <v>0.2205240174672489</v>
      </c>
      <c r="X56" s="1">
        <f>'[1]Forward Ranks'!AX56</f>
        <v>0.32751091703056767</v>
      </c>
      <c r="Y56" s="1">
        <f>'[1]Forward Ranks'!AY56</f>
        <v>0.12008733624454149</v>
      </c>
      <c r="Z56" s="1">
        <f>'[1]Forward Ranks'!AZ56</f>
        <v>0.34061135371179041</v>
      </c>
      <c r="AA56">
        <f>'[1]Forward Ranks'!BB56</f>
        <v>0</v>
      </c>
      <c r="AB56" s="1">
        <f>'[1]Forward Ranks'!BG56</f>
        <v>0.70960698689956336</v>
      </c>
      <c r="AC56" s="1">
        <f>'[1]Forward Ranks'!BH56</f>
        <v>0.20524017467248909</v>
      </c>
      <c r="AD56" s="1">
        <f>'[1]Forward Ranks'!BI56</f>
        <v>0.63973799126637554</v>
      </c>
      <c r="AE56" s="1">
        <f>'[1]Forward Ranks'!BJ56</f>
        <v>0.44323144104803491</v>
      </c>
      <c r="AF56">
        <f>'[1]Forward Ranks'!BL56</f>
        <v>0</v>
      </c>
      <c r="AG56" s="1">
        <f>'[1]Forward Ranks'!BQ56</f>
        <v>0.28602620087336245</v>
      </c>
      <c r="AH56" s="1">
        <f>'[1]Forward Ranks'!BR56</f>
        <v>0.27074235807860264</v>
      </c>
      <c r="AI56" s="1">
        <f>'[1]Forward Ranks'!BS56</f>
        <v>0.36681222707423583</v>
      </c>
      <c r="AJ56" s="1">
        <f>'[1]Forward Ranks'!BT56</f>
        <v>0.27510917030567683</v>
      </c>
      <c r="AL56" s="2">
        <f>'[1]Forward Ranks'!BX56</f>
        <v>0.43231441048034935</v>
      </c>
      <c r="AN56" t="str">
        <f>'[1]Forward Ranks'!B56</f>
        <v>STL</v>
      </c>
      <c r="AO56">
        <f>'[1]F on ice'!E56</f>
        <v>71</v>
      </c>
      <c r="AP56" s="2">
        <f>'[1]Impact Score Math'!E56</f>
        <v>0.55110220440881763</v>
      </c>
      <c r="AQ56">
        <f>'[1]Impact Score Math'!G56</f>
        <v>225</v>
      </c>
      <c r="AT56" s="1">
        <f>'[1]Forward Ranks'!CJ56</f>
        <v>0.83842794759825323</v>
      </c>
      <c r="AU56" s="1">
        <f>'[1]Forward Ranks'!CK56</f>
        <v>0.17903930131004367</v>
      </c>
    </row>
    <row r="57" spans="1:47" x14ac:dyDescent="0.3">
      <c r="A57" t="str">
        <f>'[1]Forward Ranks'!A57</f>
        <v>Brandon Tanev</v>
      </c>
      <c r="B57">
        <f>'[1]Forward Ranks'!D57</f>
        <v>0</v>
      </c>
      <c r="C57" s="1">
        <f>'[1]Forward Ranks'!I57</f>
        <v>0.39519650655021832</v>
      </c>
      <c r="D57" s="1">
        <f>'[1]Forward Ranks'!J57</f>
        <v>0.37554585152838427</v>
      </c>
      <c r="E57" s="1">
        <f>'[1]Forward Ranks'!K57</f>
        <v>0.54803493449781659</v>
      </c>
      <c r="F57" s="1">
        <f>'[1]Forward Ranks'!L57</f>
        <v>0.39956331877729256</v>
      </c>
      <c r="G57">
        <f>'[1]Forward Ranks'!N57</f>
        <v>0</v>
      </c>
      <c r="H57" s="1">
        <f>'[1]Forward Ranks'!S57</f>
        <v>0.46724890829694321</v>
      </c>
      <c r="I57" s="1">
        <f>'[1]Forward Ranks'!T57</f>
        <v>0.60917030567685593</v>
      </c>
      <c r="J57" s="1">
        <f>'[1]Forward Ranks'!U57</f>
        <v>0.64192139737991272</v>
      </c>
      <c r="K57" s="1">
        <f>'[1]Forward Ranks'!V57</f>
        <v>0.5633187772925764</v>
      </c>
      <c r="L57">
        <f>'[1]Forward Ranks'!X57</f>
        <v>0</v>
      </c>
      <c r="M57" s="1">
        <f>'[1]Forward Ranks'!AC57</f>
        <v>0.95633187772925765</v>
      </c>
      <c r="N57" s="1">
        <f>'[1]Forward Ranks'!AD57</f>
        <v>0.97379912663755464</v>
      </c>
      <c r="O57" s="1">
        <f>'[1]Forward Ranks'!AE57</f>
        <v>0.87554585152838427</v>
      </c>
      <c r="P57" s="1">
        <f>'[1]Forward Ranks'!AF57</f>
        <v>0.95196506550218341</v>
      </c>
      <c r="Q57">
        <f>'[1]Forward Ranks'!AH57</f>
        <v>0</v>
      </c>
      <c r="R57" s="1">
        <f>'[1]Forward Ranks'!AM57</f>
        <v>0.20305676855895197</v>
      </c>
      <c r="S57" s="1">
        <f>'[1]Forward Ranks'!AN57</f>
        <v>0.60698689956331875</v>
      </c>
      <c r="T57" s="1">
        <f>'[1]Forward Ranks'!AO57</f>
        <v>0.22707423580786026</v>
      </c>
      <c r="U57" s="1">
        <f>'[1]Forward Ranks'!AP57</f>
        <v>0.42139737991266374</v>
      </c>
      <c r="V57">
        <f>'[1]Forward Ranks'!AR57</f>
        <v>0</v>
      </c>
      <c r="W57" s="1">
        <f>'[1]Forward Ranks'!AW57</f>
        <v>0.77729257641921401</v>
      </c>
      <c r="X57" s="1">
        <f>'[1]Forward Ranks'!AX57</f>
        <v>0.93886462882096067</v>
      </c>
      <c r="Y57" s="1">
        <f>'[1]Forward Ranks'!AY57</f>
        <v>0.86462882096069871</v>
      </c>
      <c r="Z57" s="1">
        <f>'[1]Forward Ranks'!AZ57</f>
        <v>0.84279475982532748</v>
      </c>
      <c r="AA57">
        <f>'[1]Forward Ranks'!BB57</f>
        <v>0</v>
      </c>
      <c r="AB57" s="1">
        <f>'[1]Forward Ranks'!BG57</f>
        <v>0.31877729257641924</v>
      </c>
      <c r="AC57" s="1">
        <f>'[1]Forward Ranks'!BH57</f>
        <v>0.77947598253275108</v>
      </c>
      <c r="AD57" s="1">
        <f>'[1]Forward Ranks'!BI57</f>
        <v>0.77292576419213976</v>
      </c>
      <c r="AE57" s="1">
        <f>'[1]Forward Ranks'!BJ57</f>
        <v>0.80349344978165937</v>
      </c>
      <c r="AF57">
        <f>'[1]Forward Ranks'!BL57</f>
        <v>0</v>
      </c>
      <c r="AG57" s="1">
        <f>'[1]Forward Ranks'!BQ57</f>
        <v>0.75764192139737996</v>
      </c>
      <c r="AH57" s="1">
        <f>'[1]Forward Ranks'!BR57</f>
        <v>0.75764192139737996</v>
      </c>
      <c r="AI57" s="1">
        <f>'[1]Forward Ranks'!BS57</f>
        <v>0.84716157205240172</v>
      </c>
      <c r="AJ57" s="1">
        <f>'[1]Forward Ranks'!BT57</f>
        <v>0.75982532751091703</v>
      </c>
      <c r="AL57" s="2">
        <f>'[1]Forward Ranks'!BX57</f>
        <v>0.68558951965065507</v>
      </c>
      <c r="AN57" t="str">
        <f>'[1]Forward Ranks'!B57</f>
        <v>SEA</v>
      </c>
      <c r="AO57">
        <f>'[1]F on ice'!E57</f>
        <v>82</v>
      </c>
      <c r="AP57" s="2">
        <f>'[1]Impact Score Math'!E57</f>
        <v>0.64328657314629256</v>
      </c>
      <c r="AQ57">
        <f>'[1]Impact Score Math'!G57</f>
        <v>179</v>
      </c>
      <c r="AT57" s="1">
        <f>'[1]Forward Ranks'!CJ57</f>
        <v>0.35371179039301309</v>
      </c>
      <c r="AU57" s="1">
        <f>'[1]Forward Ranks'!CK57</f>
        <v>0.79912663755458513</v>
      </c>
    </row>
    <row r="58" spans="1:47" x14ac:dyDescent="0.3">
      <c r="A58" t="str">
        <f>'[1]Forward Ranks'!A58</f>
        <v>Brayden Point</v>
      </c>
      <c r="B58">
        <f>'[1]Forward Ranks'!D58</f>
        <v>0</v>
      </c>
      <c r="C58" s="1">
        <f>'[1]Forward Ranks'!I58</f>
        <v>0.888646288209607</v>
      </c>
      <c r="D58" s="1">
        <f>'[1]Forward Ranks'!J58</f>
        <v>0.99563318777292575</v>
      </c>
      <c r="E58" s="1">
        <f>'[1]Forward Ranks'!K58</f>
        <v>0.95633187772925765</v>
      </c>
      <c r="F58" s="1">
        <f>'[1]Forward Ranks'!L58</f>
        <v>0.95633187772925765</v>
      </c>
      <c r="G58">
        <f>'[1]Forward Ranks'!N58</f>
        <v>0</v>
      </c>
      <c r="H58" s="1">
        <f>'[1]Forward Ranks'!S58</f>
        <v>0.98034934497816595</v>
      </c>
      <c r="I58" s="1">
        <f>'[1]Forward Ranks'!T58</f>
        <v>0.90174672489082974</v>
      </c>
      <c r="J58" s="1">
        <f>'[1]Forward Ranks'!U58</f>
        <v>0.79912663755458513</v>
      </c>
      <c r="K58" s="1">
        <f>'[1]Forward Ranks'!V58</f>
        <v>0.98253275109170302</v>
      </c>
      <c r="L58">
        <f>'[1]Forward Ranks'!X58</f>
        <v>0</v>
      </c>
      <c r="M58" s="1">
        <f>'[1]Forward Ranks'!AC58</f>
        <v>0.38646288209606988</v>
      </c>
      <c r="N58" s="1">
        <f>'[1]Forward Ranks'!AD58</f>
        <v>0.31004366812227074</v>
      </c>
      <c r="O58" s="1">
        <f>'[1]Forward Ranks'!AE58</f>
        <v>0.23362445414847161</v>
      </c>
      <c r="P58" s="1">
        <f>'[1]Forward Ranks'!AF58</f>
        <v>0.26200873362445415</v>
      </c>
      <c r="Q58">
        <f>'[1]Forward Ranks'!AH58</f>
        <v>0</v>
      </c>
      <c r="R58" s="1">
        <f>'[1]Forward Ranks'!AM58</f>
        <v>0.94104803493449785</v>
      </c>
      <c r="S58" s="1">
        <f>'[1]Forward Ranks'!AN58</f>
        <v>0.98689956331877726</v>
      </c>
      <c r="T58" s="1">
        <f>'[1]Forward Ranks'!AO58</f>
        <v>0.97379912663755464</v>
      </c>
      <c r="U58" s="1">
        <f>'[1]Forward Ranks'!AP58</f>
        <v>0.98689956331877726</v>
      </c>
      <c r="V58">
        <f>'[1]Forward Ranks'!AR58</f>
        <v>0</v>
      </c>
      <c r="W58" s="1">
        <f>'[1]Forward Ranks'!AW58</f>
        <v>0.25327510917030566</v>
      </c>
      <c r="X58" s="1">
        <f>'[1]Forward Ranks'!AX58</f>
        <v>0.15065502183406113</v>
      </c>
      <c r="Y58" s="1">
        <f>'[1]Forward Ranks'!AY58</f>
        <v>7.6419213973799124E-2</v>
      </c>
      <c r="Z58" s="1">
        <f>'[1]Forward Ranks'!AZ58</f>
        <v>0.19213973799126638</v>
      </c>
      <c r="AA58">
        <f>'[1]Forward Ranks'!BB58</f>
        <v>0</v>
      </c>
      <c r="AB58" s="1">
        <f>'[1]Forward Ranks'!BG58</f>
        <v>0.9366812227074236</v>
      </c>
      <c r="AC58" s="1">
        <f>'[1]Forward Ranks'!BH58</f>
        <v>0.87554585152838427</v>
      </c>
      <c r="AD58" s="1">
        <f>'[1]Forward Ranks'!BI58</f>
        <v>0.86681222707423577</v>
      </c>
      <c r="AE58" s="1">
        <f>'[1]Forward Ranks'!BJ58</f>
        <v>0.74672489082969429</v>
      </c>
      <c r="AF58">
        <f>'[1]Forward Ranks'!BL58</f>
        <v>0</v>
      </c>
      <c r="AG58" s="1">
        <f>'[1]Forward Ranks'!BQ58</f>
        <v>0.78384279475982532</v>
      </c>
      <c r="AH58" s="1">
        <f>'[1]Forward Ranks'!BR58</f>
        <v>0.90829694323144106</v>
      </c>
      <c r="AI58" s="1">
        <f>'[1]Forward Ranks'!BS58</f>
        <v>0.74890829694323147</v>
      </c>
      <c r="AJ58" s="1">
        <f>'[1]Forward Ranks'!BT58</f>
        <v>0.85371179039301315</v>
      </c>
      <c r="AL58" s="2">
        <f>'[1]Forward Ranks'!BX58</f>
        <v>0.91703056768558955</v>
      </c>
      <c r="AN58" t="str">
        <f>'[1]Forward Ranks'!B58</f>
        <v>T.B</v>
      </c>
      <c r="AO58">
        <f>'[1]F on ice'!E58</f>
        <v>82</v>
      </c>
      <c r="AP58" s="2">
        <f>'[1]Impact Score Math'!E58</f>
        <v>0.97194388777555107</v>
      </c>
      <c r="AQ58">
        <f>'[1]Impact Score Math'!G58</f>
        <v>15</v>
      </c>
      <c r="AT58" s="1">
        <f>'[1]Forward Ranks'!CJ58</f>
        <v>0.99344978165938869</v>
      </c>
      <c r="AU58" s="1">
        <f>'[1]Forward Ranks'!CK58</f>
        <v>0.34497816593886466</v>
      </c>
    </row>
    <row r="59" spans="1:47" x14ac:dyDescent="0.3">
      <c r="A59" t="str">
        <f>'[1]Forward Ranks'!A59</f>
        <v>Brayden Schenn</v>
      </c>
      <c r="B59">
        <f>'[1]Forward Ranks'!D59</f>
        <v>0</v>
      </c>
      <c r="C59" s="1">
        <f>'[1]Forward Ranks'!I59</f>
        <v>0.2423580786026201</v>
      </c>
      <c r="D59" s="1">
        <f>'[1]Forward Ranks'!J59</f>
        <v>0.19868995633187772</v>
      </c>
      <c r="E59" s="1">
        <f>'[1]Forward Ranks'!K59</f>
        <v>0.57860262008733621</v>
      </c>
      <c r="F59" s="1">
        <f>'[1]Forward Ranks'!L59</f>
        <v>0.21179039301310043</v>
      </c>
      <c r="G59">
        <f>'[1]Forward Ranks'!N59</f>
        <v>0</v>
      </c>
      <c r="H59" s="1">
        <f>'[1]Forward Ranks'!S59</f>
        <v>0.42358078602620086</v>
      </c>
      <c r="I59" s="1">
        <f>'[1]Forward Ranks'!T59</f>
        <v>0.90611353711790388</v>
      </c>
      <c r="J59" s="1">
        <f>'[1]Forward Ranks'!U59</f>
        <v>0.83406113537117899</v>
      </c>
      <c r="K59" s="1">
        <f>'[1]Forward Ranks'!V59</f>
        <v>0.82314410480349343</v>
      </c>
      <c r="L59">
        <f>'[1]Forward Ranks'!X59</f>
        <v>0</v>
      </c>
      <c r="M59" s="1">
        <f>'[1]Forward Ranks'!AC59</f>
        <v>9.3886462882096067E-2</v>
      </c>
      <c r="N59" s="1">
        <f>'[1]Forward Ranks'!AD59</f>
        <v>7.8602620087336247E-2</v>
      </c>
      <c r="O59" s="1">
        <f>'[1]Forward Ranks'!AE59</f>
        <v>0.22270742358078602</v>
      </c>
      <c r="P59" s="1">
        <f>'[1]Forward Ranks'!AF59</f>
        <v>9.3886462882096067E-2</v>
      </c>
      <c r="Q59">
        <f>'[1]Forward Ranks'!AH59</f>
        <v>0</v>
      </c>
      <c r="R59" s="1">
        <f>'[1]Forward Ranks'!AM59</f>
        <v>0.53493449781659386</v>
      </c>
      <c r="S59" s="1">
        <f>'[1]Forward Ranks'!AN59</f>
        <v>0.48253275109170307</v>
      </c>
      <c r="T59" s="1">
        <f>'[1]Forward Ranks'!AO59</f>
        <v>0.51310043668122274</v>
      </c>
      <c r="U59" s="1">
        <f>'[1]Forward Ranks'!AP59</f>
        <v>0.39737991266375544</v>
      </c>
      <c r="V59">
        <f>'[1]Forward Ranks'!AR59</f>
        <v>0</v>
      </c>
      <c r="W59" s="1">
        <f>'[1]Forward Ranks'!AW59</f>
        <v>7.2052401746724892E-2</v>
      </c>
      <c r="X59" s="1">
        <f>'[1]Forward Ranks'!AX59</f>
        <v>4.148471615720524E-2</v>
      </c>
      <c r="Y59" s="1">
        <f>'[1]Forward Ranks'!AY59</f>
        <v>0.27292576419213976</v>
      </c>
      <c r="Z59" s="1">
        <f>'[1]Forward Ranks'!AZ59</f>
        <v>0.13100436681222707</v>
      </c>
      <c r="AA59">
        <f>'[1]Forward Ranks'!BB59</f>
        <v>0</v>
      </c>
      <c r="AB59" s="1">
        <f>'[1]Forward Ranks'!BG59</f>
        <v>0.89301310043668125</v>
      </c>
      <c r="AC59" s="1">
        <f>'[1]Forward Ranks'!BH59</f>
        <v>0.2816593886462882</v>
      </c>
      <c r="AD59" s="1">
        <f>'[1]Forward Ranks'!BI59</f>
        <v>0.76637554585152834</v>
      </c>
      <c r="AE59" s="1">
        <f>'[1]Forward Ranks'!BJ59</f>
        <v>0.61790393013100442</v>
      </c>
      <c r="AF59">
        <f>'[1]Forward Ranks'!BL59</f>
        <v>0</v>
      </c>
      <c r="AG59" s="1">
        <f>'[1]Forward Ranks'!BQ59</f>
        <v>0.1222707423580786</v>
      </c>
      <c r="AH59" s="1">
        <f>'[1]Forward Ranks'!BR59</f>
        <v>8.9519650655021835E-2</v>
      </c>
      <c r="AI59" s="1">
        <f>'[1]Forward Ranks'!BS59</f>
        <v>0.38209606986899564</v>
      </c>
      <c r="AJ59" s="1">
        <f>'[1]Forward Ranks'!BT59</f>
        <v>8.7336244541484712E-2</v>
      </c>
      <c r="AL59" s="2">
        <f>'[1]Forward Ranks'!BX59</f>
        <v>0.16812227074235808</v>
      </c>
      <c r="AN59" t="str">
        <f>'[1]Forward Ranks'!B59</f>
        <v>STL</v>
      </c>
      <c r="AO59">
        <f>'[1]F on ice'!E59</f>
        <v>82</v>
      </c>
      <c r="AP59" s="2">
        <f>'[1]Impact Score Math'!E59</f>
        <v>0.33266533066132264</v>
      </c>
      <c r="AQ59">
        <f>'[1]Impact Score Math'!G59</f>
        <v>334</v>
      </c>
      <c r="AT59" s="1">
        <f>'[1]Forward Ranks'!CJ59</f>
        <v>0.41484716157205243</v>
      </c>
      <c r="AU59" s="1">
        <f>'[1]Forward Ranks'!CK59</f>
        <v>0.42358078602620086</v>
      </c>
    </row>
    <row r="60" spans="1:47" x14ac:dyDescent="0.3">
      <c r="A60" t="str">
        <f>'[1]Forward Ranks'!A60</f>
        <v>Brendan Gallagher</v>
      </c>
      <c r="B60">
        <f>'[1]Forward Ranks'!D60</f>
        <v>0</v>
      </c>
      <c r="C60" s="1">
        <f>'[1]Forward Ranks'!I60</f>
        <v>0.31004366812227074</v>
      </c>
      <c r="D60" s="1">
        <f>'[1]Forward Ranks'!J60</f>
        <v>0.36026200873362446</v>
      </c>
      <c r="E60" s="1">
        <f>'[1]Forward Ranks'!K60</f>
        <v>0.51965065502183405</v>
      </c>
      <c r="F60" s="1">
        <f>'[1]Forward Ranks'!L60</f>
        <v>0.29694323144104806</v>
      </c>
      <c r="G60">
        <f>'[1]Forward Ranks'!N60</f>
        <v>0</v>
      </c>
      <c r="H60" s="1">
        <f>'[1]Forward Ranks'!S60</f>
        <v>0.84279475982532748</v>
      </c>
      <c r="I60" s="1">
        <f>'[1]Forward Ranks'!T60</f>
        <v>0.14410480349344978</v>
      </c>
      <c r="J60" s="1">
        <f>'[1]Forward Ranks'!U60</f>
        <v>0.49563318777292575</v>
      </c>
      <c r="K60" s="1">
        <f>'[1]Forward Ranks'!V60</f>
        <v>0.51310043668122274</v>
      </c>
      <c r="L60">
        <f>'[1]Forward Ranks'!X60</f>
        <v>0</v>
      </c>
      <c r="M60" s="1">
        <f>'[1]Forward Ranks'!AC60</f>
        <v>0.81441048034934493</v>
      </c>
      <c r="N60" s="1">
        <f>'[1]Forward Ranks'!AD60</f>
        <v>0.42576419213973798</v>
      </c>
      <c r="O60" s="1">
        <f>'[1]Forward Ranks'!AE60</f>
        <v>0.38209606986899564</v>
      </c>
      <c r="P60" s="1">
        <f>'[1]Forward Ranks'!AF60</f>
        <v>0.71834061135371174</v>
      </c>
      <c r="Q60">
        <f>'[1]Forward Ranks'!AH60</f>
        <v>0</v>
      </c>
      <c r="R60" s="1">
        <f>'[1]Forward Ranks'!AM60</f>
        <v>0.49126637554585151</v>
      </c>
      <c r="S60" s="1">
        <f>'[1]Forward Ranks'!AN60</f>
        <v>0.77510917030567683</v>
      </c>
      <c r="T60" s="1">
        <f>'[1]Forward Ranks'!AO60</f>
        <v>0.61572052401746724</v>
      </c>
      <c r="U60" s="1">
        <f>'[1]Forward Ranks'!AP60</f>
        <v>0.5</v>
      </c>
      <c r="V60">
        <f>'[1]Forward Ranks'!AR60</f>
        <v>0</v>
      </c>
      <c r="W60" s="1">
        <f>'[1]Forward Ranks'!AW60</f>
        <v>0.91921397379912662</v>
      </c>
      <c r="X60" s="1">
        <f>'[1]Forward Ranks'!AX60</f>
        <v>0.79039301310043664</v>
      </c>
      <c r="Y60" s="1">
        <f>'[1]Forward Ranks'!AY60</f>
        <v>0.92139737991266379</v>
      </c>
      <c r="Z60" s="1">
        <f>'[1]Forward Ranks'!AZ60</f>
        <v>0.98253275109170302</v>
      </c>
      <c r="AA60">
        <f>'[1]Forward Ranks'!BB60</f>
        <v>0</v>
      </c>
      <c r="AB60" s="1">
        <f>'[1]Forward Ranks'!BG60</f>
        <v>0.44759825327510916</v>
      </c>
      <c r="AC60" s="1">
        <f>'[1]Forward Ranks'!BH60</f>
        <v>0.37554585152838427</v>
      </c>
      <c r="AD60" s="1">
        <f>'[1]Forward Ranks'!BI60</f>
        <v>0.63537117903930129</v>
      </c>
      <c r="AE60" s="1">
        <f>'[1]Forward Ranks'!BJ60</f>
        <v>0.27510917030567683</v>
      </c>
      <c r="AF60">
        <f>'[1]Forward Ranks'!BL60</f>
        <v>0</v>
      </c>
      <c r="AG60" s="1">
        <f>'[1]Forward Ranks'!BQ60</f>
        <v>0.53493449781659386</v>
      </c>
      <c r="AH60" s="1">
        <f>'[1]Forward Ranks'!BR60</f>
        <v>0.35807860262008734</v>
      </c>
      <c r="AI60" s="1">
        <f>'[1]Forward Ranks'!BS60</f>
        <v>0.44323144104803491</v>
      </c>
      <c r="AJ60" s="1">
        <f>'[1]Forward Ranks'!BT60</f>
        <v>0.46506550218340609</v>
      </c>
      <c r="AL60" s="2">
        <f>'[1]Forward Ranks'!BX60</f>
        <v>0.67030567685589515</v>
      </c>
      <c r="AN60" t="str">
        <f>'[1]Forward Ranks'!B60</f>
        <v>MTL</v>
      </c>
      <c r="AO60">
        <f>'[1]F on ice'!E60</f>
        <v>37</v>
      </c>
      <c r="AP60" s="2">
        <f>'[1]Impact Score Math'!E60</f>
        <v>0.66733466933867736</v>
      </c>
      <c r="AQ60">
        <f>'[1]Impact Score Math'!G60</f>
        <v>167</v>
      </c>
      <c r="AT60" s="1">
        <f>'[1]Forward Ranks'!CJ60</f>
        <v>7.6419213973799124E-2</v>
      </c>
      <c r="AU60" s="1">
        <f>'[1]Forward Ranks'!CK60</f>
        <v>0.8973799126637555</v>
      </c>
    </row>
    <row r="61" spans="1:47" x14ac:dyDescent="0.3">
      <c r="A61" t="str">
        <f>'[1]Forward Ranks'!A61</f>
        <v>Brendan Lemieux</v>
      </c>
      <c r="B61">
        <f>'[1]Forward Ranks'!D61</f>
        <v>0</v>
      </c>
      <c r="C61" s="1">
        <f>'[1]Forward Ranks'!I61</f>
        <v>0.43449781659388648</v>
      </c>
      <c r="D61" s="1">
        <f>'[1]Forward Ranks'!J61</f>
        <v>0.33842794759825329</v>
      </c>
      <c r="E61" s="1">
        <f>'[1]Forward Ranks'!K61</f>
        <v>0.25109170305676853</v>
      </c>
      <c r="F61" s="1">
        <f>'[1]Forward Ranks'!L61</f>
        <v>0.26637554585152839</v>
      </c>
      <c r="G61">
        <f>'[1]Forward Ranks'!N61</f>
        <v>0</v>
      </c>
      <c r="H61" s="1">
        <f>'[1]Forward Ranks'!S61</f>
        <v>6.3318777292576414E-2</v>
      </c>
      <c r="I61" s="1">
        <f>'[1]Forward Ranks'!T61</f>
        <v>0.53056768558951961</v>
      </c>
      <c r="J61" s="1">
        <f>'[1]Forward Ranks'!U61</f>
        <v>0.67903930131004364</v>
      </c>
      <c r="K61" s="1">
        <f>'[1]Forward Ranks'!V61</f>
        <v>0.20524017467248909</v>
      </c>
      <c r="L61">
        <f>'[1]Forward Ranks'!X61</f>
        <v>0</v>
      </c>
      <c r="M61" s="1">
        <f>'[1]Forward Ranks'!AC61</f>
        <v>0.92576419213973804</v>
      </c>
      <c r="N61" s="1">
        <f>'[1]Forward Ranks'!AD61</f>
        <v>0.91484716157205237</v>
      </c>
      <c r="O61" s="1">
        <f>'[1]Forward Ranks'!AE61</f>
        <v>0.37772925764192139</v>
      </c>
      <c r="P61" s="1">
        <f>'[1]Forward Ranks'!AF61</f>
        <v>0.82751091703056767</v>
      </c>
      <c r="Q61">
        <f>'[1]Forward Ranks'!AH61</f>
        <v>0</v>
      </c>
      <c r="R61" s="1">
        <f>'[1]Forward Ranks'!AM61</f>
        <v>0.28602620087336245</v>
      </c>
      <c r="S61" s="1">
        <f>'[1]Forward Ranks'!AN61</f>
        <v>0.17467248908296942</v>
      </c>
      <c r="T61" s="1">
        <f>'[1]Forward Ranks'!AO61</f>
        <v>0.16812227074235808</v>
      </c>
      <c r="U61" s="1">
        <f>'[1]Forward Ranks'!AP61</f>
        <v>0.14192139737991266</v>
      </c>
      <c r="V61">
        <f>'[1]Forward Ranks'!AR61</f>
        <v>0</v>
      </c>
      <c r="W61" s="1">
        <f>'[1]Forward Ranks'!AW61</f>
        <v>0.80567685589519655</v>
      </c>
      <c r="X61" s="1">
        <f>'[1]Forward Ranks'!AX61</f>
        <v>0.64192139737991272</v>
      </c>
      <c r="Y61" s="1">
        <f>'[1]Forward Ranks'!AY61</f>
        <v>0.62008733624454149</v>
      </c>
      <c r="Z61" s="1">
        <f>'[1]Forward Ranks'!AZ61</f>
        <v>0.41921397379912662</v>
      </c>
      <c r="AA61">
        <f>'[1]Forward Ranks'!BB61</f>
        <v>0</v>
      </c>
      <c r="AB61" s="1">
        <f>'[1]Forward Ranks'!BG61</f>
        <v>0.12663755458515283</v>
      </c>
      <c r="AC61" s="1">
        <f>'[1]Forward Ranks'!BH61</f>
        <v>0.86462882096069871</v>
      </c>
      <c r="AD61" s="1">
        <f>'[1]Forward Ranks'!BI61</f>
        <v>0.19868995633187772</v>
      </c>
      <c r="AE61" s="1">
        <f>'[1]Forward Ranks'!BJ61</f>
        <v>0.10698689956331878</v>
      </c>
      <c r="AF61">
        <f>'[1]Forward Ranks'!BL61</f>
        <v>0</v>
      </c>
      <c r="AG61" s="1">
        <f>'[1]Forward Ranks'!BQ61</f>
        <v>0.72270742358078599</v>
      </c>
      <c r="AH61" s="1">
        <f>'[1]Forward Ranks'!BR61</f>
        <v>0.6266375545851528</v>
      </c>
      <c r="AI61" s="1">
        <f>'[1]Forward Ranks'!BS61</f>
        <v>0.21615720524017468</v>
      </c>
      <c r="AJ61" s="1">
        <f>'[1]Forward Ranks'!BT61</f>
        <v>0.49563318777292575</v>
      </c>
      <c r="AL61" s="2">
        <f>'[1]Forward Ranks'!BX61</f>
        <v>0.43886462882096072</v>
      </c>
      <c r="AN61" t="str">
        <f>'[1]Forward Ranks'!B61</f>
        <v>L.A, PHI</v>
      </c>
      <c r="AO61">
        <f>'[1]F on ice'!E61</f>
        <v>45</v>
      </c>
      <c r="AP61" s="2">
        <f>'[1]Impact Score Math'!E61</f>
        <v>0.38476953907815631</v>
      </c>
      <c r="AQ61">
        <f>'[1]Impact Score Math'!G61</f>
        <v>308</v>
      </c>
      <c r="AT61" s="1">
        <f>'[1]Forward Ranks'!CJ61</f>
        <v>6.5502183406113534E-3</v>
      </c>
      <c r="AU61" s="1">
        <f>'[1]Forward Ranks'!CK61</f>
        <v>0.8973799126637555</v>
      </c>
    </row>
    <row r="62" spans="1:47" x14ac:dyDescent="0.3">
      <c r="A62" t="str">
        <f>'[1]Forward Ranks'!A62</f>
        <v>Brett Howden</v>
      </c>
      <c r="B62">
        <f>'[1]Forward Ranks'!D62</f>
        <v>0</v>
      </c>
      <c r="C62" s="1">
        <f>'[1]Forward Ranks'!I62</f>
        <v>4.148471615720524E-2</v>
      </c>
      <c r="D62" s="1">
        <f>'[1]Forward Ranks'!J62</f>
        <v>0.38209606986899564</v>
      </c>
      <c r="E62" s="1">
        <f>'[1]Forward Ranks'!K62</f>
        <v>0.2423580786026201</v>
      </c>
      <c r="F62" s="1">
        <f>'[1]Forward Ranks'!L62</f>
        <v>0.1943231441048035</v>
      </c>
      <c r="G62">
        <f>'[1]Forward Ranks'!N62</f>
        <v>0</v>
      </c>
      <c r="H62" s="1">
        <f>'[1]Forward Ranks'!S62</f>
        <v>0.23144104803493451</v>
      </c>
      <c r="I62" s="1">
        <f>'[1]Forward Ranks'!T62</f>
        <v>0.20524017467248909</v>
      </c>
      <c r="J62" s="1">
        <f>'[1]Forward Ranks'!U62</f>
        <v>0.25545851528384278</v>
      </c>
      <c r="K62" s="1">
        <f>'[1]Forward Ranks'!V62</f>
        <v>0.14410480349344978</v>
      </c>
      <c r="L62">
        <f>'[1]Forward Ranks'!X62</f>
        <v>0</v>
      </c>
      <c r="M62" s="1">
        <f>'[1]Forward Ranks'!AC62</f>
        <v>0.31441048034934499</v>
      </c>
      <c r="N62" s="1">
        <f>'[1]Forward Ranks'!AD62</f>
        <v>0.63755458515283847</v>
      </c>
      <c r="O62" s="1">
        <f>'[1]Forward Ranks'!AE62</f>
        <v>0.94104803493449785</v>
      </c>
      <c r="P62" s="1">
        <f>'[1]Forward Ranks'!AF62</f>
        <v>0.54585152838427953</v>
      </c>
      <c r="Q62">
        <f>'[1]Forward Ranks'!AH62</f>
        <v>0</v>
      </c>
      <c r="R62" s="1">
        <f>'[1]Forward Ranks'!AM62</f>
        <v>1.5283842794759825E-2</v>
      </c>
      <c r="S62" s="1">
        <f>'[1]Forward Ranks'!AN62</f>
        <v>0.16812227074235808</v>
      </c>
      <c r="T62" s="1">
        <f>'[1]Forward Ranks'!AO62</f>
        <v>5.0218340611353711E-2</v>
      </c>
      <c r="U62" s="1">
        <f>'[1]Forward Ranks'!AP62</f>
        <v>6.768558951965066E-2</v>
      </c>
      <c r="V62">
        <f>'[1]Forward Ranks'!AR62</f>
        <v>0</v>
      </c>
      <c r="W62" s="1">
        <f>'[1]Forward Ranks'!AW62</f>
        <v>0.41921397379912662</v>
      </c>
      <c r="X62" s="1">
        <f>'[1]Forward Ranks'!AX62</f>
        <v>0.52838427947598254</v>
      </c>
      <c r="Y62" s="1">
        <f>'[1]Forward Ranks'!AY62</f>
        <v>0.79912663755458513</v>
      </c>
      <c r="Z62" s="1">
        <f>'[1]Forward Ranks'!AZ62</f>
        <v>0.51965065502183405</v>
      </c>
      <c r="AA62">
        <f>'[1]Forward Ranks'!BB62</f>
        <v>0</v>
      </c>
      <c r="AB62" s="1">
        <f>'[1]Forward Ranks'!BG62</f>
        <v>0.47816593886462883</v>
      </c>
      <c r="AC62" s="1">
        <f>'[1]Forward Ranks'!BH62</f>
        <v>0.24890829694323144</v>
      </c>
      <c r="AD62" s="1">
        <f>'[1]Forward Ranks'!BI62</f>
        <v>0.49344978165938863</v>
      </c>
      <c r="AE62" s="1">
        <f>'[1]Forward Ranks'!BJ62</f>
        <v>0.89301310043668125</v>
      </c>
      <c r="AF62">
        <f>'[1]Forward Ranks'!BL62</f>
        <v>0</v>
      </c>
      <c r="AG62" s="1">
        <f>'[1]Forward Ranks'!BQ62</f>
        <v>8.5152838427947602E-2</v>
      </c>
      <c r="AH62" s="1">
        <f>'[1]Forward Ranks'!BR62</f>
        <v>0.46724890829694321</v>
      </c>
      <c r="AI62" s="1">
        <f>'[1]Forward Ranks'!BS62</f>
        <v>0.73799126637554591</v>
      </c>
      <c r="AJ62" s="1">
        <f>'[1]Forward Ranks'!BT62</f>
        <v>0.28384279475982532</v>
      </c>
      <c r="AL62" s="2">
        <f>'[1]Forward Ranks'!BX62</f>
        <v>6.5502183406113537E-2</v>
      </c>
      <c r="AN62" t="str">
        <f>'[1]Forward Ranks'!B62</f>
        <v>VGK</v>
      </c>
      <c r="AO62">
        <f>'[1]F on ice'!E62</f>
        <v>54</v>
      </c>
      <c r="AP62" s="2">
        <f>'[1]Impact Score Math'!E62</f>
        <v>0.16833667334669339</v>
      </c>
      <c r="AQ62">
        <f>'[1]Impact Score Math'!G62</f>
        <v>416</v>
      </c>
      <c r="AT62" s="1">
        <f>'[1]Forward Ranks'!CJ62</f>
        <v>4.148471615720524E-2</v>
      </c>
      <c r="AU62" s="1">
        <f>'[1]Forward Ranks'!CK62</f>
        <v>0.84497816593886466</v>
      </c>
    </row>
    <row r="63" spans="1:47" x14ac:dyDescent="0.3">
      <c r="A63" t="str">
        <f>'[1]Forward Ranks'!A63</f>
        <v>Brett Leason</v>
      </c>
      <c r="B63">
        <f>'[1]Forward Ranks'!D63</f>
        <v>0</v>
      </c>
      <c r="C63" s="1">
        <f>'[1]Forward Ranks'!I63</f>
        <v>3.7117903930131008E-2</v>
      </c>
      <c r="D63" s="1">
        <f>'[1]Forward Ranks'!J63</f>
        <v>6.3318777292576414E-2</v>
      </c>
      <c r="E63" s="1">
        <f>'[1]Forward Ranks'!K63</f>
        <v>3.2751091703056769E-2</v>
      </c>
      <c r="F63" s="1">
        <f>'[1]Forward Ranks'!L63</f>
        <v>5.458515283842795E-2</v>
      </c>
      <c r="G63">
        <f>'[1]Forward Ranks'!N63</f>
        <v>0</v>
      </c>
      <c r="H63" s="1">
        <f>'[1]Forward Ranks'!S63</f>
        <v>0.42358078602620086</v>
      </c>
      <c r="I63" s="1">
        <f>'[1]Forward Ranks'!T63</f>
        <v>4.5851528384279479E-2</v>
      </c>
      <c r="J63" s="1">
        <f>'[1]Forward Ranks'!U63</f>
        <v>9.606986899563319E-2</v>
      </c>
      <c r="K63" s="1">
        <f>'[1]Forward Ranks'!V63</f>
        <v>7.4235807860262015E-2</v>
      </c>
      <c r="L63">
        <f>'[1]Forward Ranks'!X63</f>
        <v>0</v>
      </c>
      <c r="M63" s="1">
        <f>'[1]Forward Ranks'!AC63</f>
        <v>4.3668122270742356E-3</v>
      </c>
      <c r="N63" s="1">
        <f>'[1]Forward Ranks'!AD63</f>
        <v>1.3100436681222707E-2</v>
      </c>
      <c r="O63" s="1">
        <f>'[1]Forward Ranks'!AE63</f>
        <v>3.0567685589519649E-2</v>
      </c>
      <c r="P63" s="1">
        <f>'[1]Forward Ranks'!AF63</f>
        <v>8.7336244541484712E-3</v>
      </c>
      <c r="Q63">
        <f>'[1]Forward Ranks'!AH63</f>
        <v>0</v>
      </c>
      <c r="R63" s="1">
        <f>'[1]Forward Ranks'!AM63</f>
        <v>0.17903930131004367</v>
      </c>
      <c r="S63" s="1">
        <f>'[1]Forward Ranks'!AN63</f>
        <v>0.29039301310043669</v>
      </c>
      <c r="T63" s="1">
        <f>'[1]Forward Ranks'!AO63</f>
        <v>8.7336244541484712E-2</v>
      </c>
      <c r="U63" s="1">
        <f>'[1]Forward Ranks'!AP63</f>
        <v>0.24454148471615719</v>
      </c>
      <c r="V63">
        <f>'[1]Forward Ranks'!AR63</f>
        <v>0</v>
      </c>
      <c r="W63" s="1">
        <f>'[1]Forward Ranks'!AW63</f>
        <v>6.9868995633187769E-2</v>
      </c>
      <c r="X63" s="1">
        <f>'[1]Forward Ranks'!AX63</f>
        <v>0.20087336244541484</v>
      </c>
      <c r="Y63" s="1">
        <f>'[1]Forward Ranks'!AY63</f>
        <v>0.42794759825327511</v>
      </c>
      <c r="Z63" s="1">
        <f>'[1]Forward Ranks'!AZ63</f>
        <v>0.14192139737991266</v>
      </c>
      <c r="AA63">
        <f>'[1]Forward Ranks'!BB63</f>
        <v>0</v>
      </c>
      <c r="AB63" s="1">
        <f>'[1]Forward Ranks'!BG63</f>
        <v>0.24454148471615719</v>
      </c>
      <c r="AC63" s="1">
        <f>'[1]Forward Ranks'!BH63</f>
        <v>0.20087336244541484</v>
      </c>
      <c r="AD63" s="1">
        <f>'[1]Forward Ranks'!BI63</f>
        <v>7.8602620087336247E-2</v>
      </c>
      <c r="AE63" s="1">
        <f>'[1]Forward Ranks'!BJ63</f>
        <v>8.9519650655021835E-2</v>
      </c>
      <c r="AF63">
        <f>'[1]Forward Ranks'!BL63</f>
        <v>0</v>
      </c>
      <c r="AG63" s="1">
        <f>'[1]Forward Ranks'!BQ63</f>
        <v>4.3668122270742356E-3</v>
      </c>
      <c r="AH63" s="1">
        <f>'[1]Forward Ranks'!BR63</f>
        <v>1.3100436681222707E-2</v>
      </c>
      <c r="AI63" s="1">
        <f>'[1]Forward Ranks'!BS63</f>
        <v>1.5283842794759825E-2</v>
      </c>
      <c r="AJ63" s="1">
        <f>'[1]Forward Ranks'!BT63</f>
        <v>6.5502183406113534E-3</v>
      </c>
      <c r="AL63" s="2">
        <f>'[1]Forward Ranks'!BX63</f>
        <v>1.3100436681222707E-2</v>
      </c>
      <c r="AN63" t="str">
        <f>'[1]Forward Ranks'!B63</f>
        <v>ANA</v>
      </c>
      <c r="AO63">
        <f>'[1]F on ice'!E63</f>
        <v>54</v>
      </c>
      <c r="AP63" s="2">
        <f>'[1]Impact Score Math'!E63</f>
        <v>9.2184368737474945E-2</v>
      </c>
      <c r="AQ63">
        <f>'[1]Impact Score Math'!G63</f>
        <v>454</v>
      </c>
      <c r="AT63" s="1">
        <f>'[1]Forward Ranks'!CJ63</f>
        <v>0.50218340611353707</v>
      </c>
      <c r="AU63" s="1">
        <f>'[1]Forward Ranks'!CK63</f>
        <v>0.48471615720524019</v>
      </c>
    </row>
    <row r="64" spans="1:47" x14ac:dyDescent="0.3">
      <c r="A64" t="str">
        <f>'[1]Forward Ranks'!A64</f>
        <v>Brett Ritchie</v>
      </c>
      <c r="B64">
        <f>'[1]Forward Ranks'!D64</f>
        <v>0</v>
      </c>
      <c r="C64" s="1">
        <f>'[1]Forward Ranks'!I64</f>
        <v>0.65502183406113534</v>
      </c>
      <c r="D64" s="1">
        <f>'[1]Forward Ranks'!J64</f>
        <v>0.35371179039301309</v>
      </c>
      <c r="E64" s="1">
        <f>'[1]Forward Ranks'!K64</f>
        <v>0.32532751091703055</v>
      </c>
      <c r="F64" s="1">
        <f>'[1]Forward Ranks'!L64</f>
        <v>0.37336244541484714</v>
      </c>
      <c r="G64">
        <f>'[1]Forward Ranks'!N64</f>
        <v>0</v>
      </c>
      <c r="H64" s="1">
        <f>'[1]Forward Ranks'!S64</f>
        <v>0.80786026200873362</v>
      </c>
      <c r="I64" s="1">
        <f>'[1]Forward Ranks'!T64</f>
        <v>0.10480349344978165</v>
      </c>
      <c r="J64" s="1">
        <f>'[1]Forward Ranks'!U64</f>
        <v>4.3668122270742356E-2</v>
      </c>
      <c r="K64" s="1">
        <f>'[1]Forward Ranks'!V64</f>
        <v>0.39082969432314413</v>
      </c>
      <c r="L64">
        <f>'[1]Forward Ranks'!X64</f>
        <v>0</v>
      </c>
      <c r="M64" s="1">
        <f>'[1]Forward Ranks'!AC64</f>
        <v>0.89301310043668125</v>
      </c>
      <c r="N64" s="1">
        <f>'[1]Forward Ranks'!AD64</f>
        <v>0.96724890829694321</v>
      </c>
      <c r="O64" s="1">
        <f>'[1]Forward Ranks'!AE64</f>
        <v>0.78384279475982532</v>
      </c>
      <c r="P64" s="1">
        <f>'[1]Forward Ranks'!AF64</f>
        <v>0.83842794759825323</v>
      </c>
      <c r="Q64">
        <f>'[1]Forward Ranks'!AH64</f>
        <v>0</v>
      </c>
      <c r="R64" s="1">
        <f>'[1]Forward Ranks'!AM64</f>
        <v>0.26637554585152839</v>
      </c>
      <c r="S64" s="1">
        <f>'[1]Forward Ranks'!AN64</f>
        <v>0.26200873362445415</v>
      </c>
      <c r="T64" s="1">
        <f>'[1]Forward Ranks'!AO64</f>
        <v>0.28820960698689957</v>
      </c>
      <c r="U64" s="1">
        <f>'[1]Forward Ranks'!AP64</f>
        <v>0.17903930131004367</v>
      </c>
      <c r="V64">
        <f>'[1]Forward Ranks'!AR64</f>
        <v>0</v>
      </c>
      <c r="W64" s="1">
        <f>'[1]Forward Ranks'!AW64</f>
        <v>0.69432314410480345</v>
      </c>
      <c r="X64" s="1">
        <f>'[1]Forward Ranks'!AX64</f>
        <v>0.93013100436681218</v>
      </c>
      <c r="Y64" s="1">
        <f>'[1]Forward Ranks'!AY64</f>
        <v>0.88209606986899558</v>
      </c>
      <c r="Z64" s="1">
        <f>'[1]Forward Ranks'!AZ64</f>
        <v>0.67248908296943233</v>
      </c>
      <c r="AA64">
        <f>'[1]Forward Ranks'!BB64</f>
        <v>0</v>
      </c>
      <c r="AB64" s="1">
        <f>'[1]Forward Ranks'!BG64</f>
        <v>0.1222707423580786</v>
      </c>
      <c r="AC64" s="1">
        <f>'[1]Forward Ranks'!BH64</f>
        <v>0.63755458515283847</v>
      </c>
      <c r="AD64" s="1">
        <f>'[1]Forward Ranks'!BI64</f>
        <v>0.24890829694323144</v>
      </c>
      <c r="AE64" s="1">
        <f>'[1]Forward Ranks'!BJ64</f>
        <v>0.35807860262008734</v>
      </c>
      <c r="AF64">
        <f>'[1]Forward Ranks'!BL64</f>
        <v>0</v>
      </c>
      <c r="AG64" s="1">
        <f>'[1]Forward Ranks'!BQ64</f>
        <v>0.82969432314410485</v>
      </c>
      <c r="AH64" s="1">
        <f>'[1]Forward Ranks'!BR64</f>
        <v>0.74454148471615722</v>
      </c>
      <c r="AI64" s="1">
        <f>'[1]Forward Ranks'!BS64</f>
        <v>0.56986899563318782</v>
      </c>
      <c r="AJ64" s="1">
        <f>'[1]Forward Ranks'!BT64</f>
        <v>0.63537117903930129</v>
      </c>
      <c r="AL64" s="2">
        <f>'[1]Forward Ranks'!BX64</f>
        <v>0.59170305676855894</v>
      </c>
      <c r="AN64" t="str">
        <f>'[1]Forward Ranks'!B64</f>
        <v>ARI, CGY</v>
      </c>
      <c r="AO64">
        <f>'[1]F on ice'!E64</f>
        <v>50</v>
      </c>
      <c r="AP64" s="2">
        <f>'[1]Impact Score Math'!E64</f>
        <v>0.47494989979959917</v>
      </c>
      <c r="AQ64">
        <f>'[1]Impact Score Math'!G64</f>
        <v>263</v>
      </c>
      <c r="AT64" s="1">
        <f>'[1]Forward Ranks'!CJ64</f>
        <v>0.16593886462882096</v>
      </c>
      <c r="AU64" s="1">
        <f>'[1]Forward Ranks'!CK64</f>
        <v>0.84497816593886466</v>
      </c>
    </row>
    <row r="65" spans="1:47" x14ac:dyDescent="0.3">
      <c r="A65" t="str">
        <f>'[1]Forward Ranks'!A65</f>
        <v>Brock Boeser</v>
      </c>
      <c r="B65">
        <f>'[1]Forward Ranks'!D65</f>
        <v>0</v>
      </c>
      <c r="C65" s="1">
        <f>'[1]Forward Ranks'!I65</f>
        <v>0.4366812227074236</v>
      </c>
      <c r="D65" s="1">
        <f>'[1]Forward Ranks'!J65</f>
        <v>0.23362445414847161</v>
      </c>
      <c r="E65" s="1">
        <f>'[1]Forward Ranks'!K65</f>
        <v>0.84497816593886466</v>
      </c>
      <c r="F65" s="1">
        <f>'[1]Forward Ranks'!L65</f>
        <v>0.26637554585152839</v>
      </c>
      <c r="G65">
        <f>'[1]Forward Ranks'!N65</f>
        <v>0</v>
      </c>
      <c r="H65" s="1">
        <f>'[1]Forward Ranks'!S65</f>
        <v>0.388646288209607</v>
      </c>
      <c r="I65" s="1">
        <f>'[1]Forward Ranks'!T65</f>
        <v>0.90174672489082974</v>
      </c>
      <c r="J65" s="1">
        <f>'[1]Forward Ranks'!U65</f>
        <v>0.78165938864628826</v>
      </c>
      <c r="K65" s="1">
        <f>'[1]Forward Ranks'!V65</f>
        <v>0.80786026200873362</v>
      </c>
      <c r="L65">
        <f>'[1]Forward Ranks'!X65</f>
        <v>0</v>
      </c>
      <c r="M65" s="1">
        <f>'[1]Forward Ranks'!AC65</f>
        <v>0.28820960698689957</v>
      </c>
      <c r="N65" s="1">
        <f>'[1]Forward Ranks'!AD65</f>
        <v>0.1331877729257642</v>
      </c>
      <c r="O65" s="1">
        <f>'[1]Forward Ranks'!AE65</f>
        <v>6.5502183406113534E-3</v>
      </c>
      <c r="P65" s="1">
        <f>'[1]Forward Ranks'!AF65</f>
        <v>0.12663755458515283</v>
      </c>
      <c r="Q65">
        <f>'[1]Forward Ranks'!AH65</f>
        <v>0</v>
      </c>
      <c r="R65" s="1">
        <f>'[1]Forward Ranks'!AM65</f>
        <v>0.74890829694323147</v>
      </c>
      <c r="S65" s="1">
        <f>'[1]Forward Ranks'!AN65</f>
        <v>0.27292576419213976</v>
      </c>
      <c r="T65" s="1">
        <f>'[1]Forward Ranks'!AO65</f>
        <v>0.86462882096069871</v>
      </c>
      <c r="U65" s="1">
        <f>'[1]Forward Ranks'!AP65</f>
        <v>0.42139737991266374</v>
      </c>
      <c r="V65">
        <f>'[1]Forward Ranks'!AR65</f>
        <v>0</v>
      </c>
      <c r="W65" s="1">
        <f>'[1]Forward Ranks'!AW65</f>
        <v>0.15938864628820962</v>
      </c>
      <c r="X65" s="1">
        <f>'[1]Forward Ranks'!AX65</f>
        <v>0.16375545851528384</v>
      </c>
      <c r="Y65" s="1">
        <f>'[1]Forward Ranks'!AY65</f>
        <v>4.3668122270742356E-3</v>
      </c>
      <c r="Z65" s="1">
        <f>'[1]Forward Ranks'!AZ65</f>
        <v>6.1135371179039298E-2</v>
      </c>
      <c r="AA65">
        <f>'[1]Forward Ranks'!BB65</f>
        <v>0</v>
      </c>
      <c r="AB65" s="1">
        <f>'[1]Forward Ranks'!BG65</f>
        <v>0.79257641921397382</v>
      </c>
      <c r="AC65" s="1">
        <f>'[1]Forward Ranks'!BH65</f>
        <v>0.48034934497816595</v>
      </c>
      <c r="AD65" s="1">
        <f>'[1]Forward Ranks'!BI65</f>
        <v>0.89082969432314407</v>
      </c>
      <c r="AE65" s="1">
        <f>'[1]Forward Ranks'!BJ65</f>
        <v>0.15938864628820962</v>
      </c>
      <c r="AF65">
        <f>'[1]Forward Ranks'!BL65</f>
        <v>0</v>
      </c>
      <c r="AG65" s="1">
        <f>'[1]Forward Ranks'!BQ65</f>
        <v>0.34934497816593885</v>
      </c>
      <c r="AH65" s="1">
        <f>'[1]Forward Ranks'!BR65</f>
        <v>0.16375545851528384</v>
      </c>
      <c r="AI65" s="1">
        <f>'[1]Forward Ranks'!BS65</f>
        <v>0.26637554585152839</v>
      </c>
      <c r="AJ65" s="1">
        <f>'[1]Forward Ranks'!BT65</f>
        <v>0.14410480349344978</v>
      </c>
      <c r="AL65" s="2">
        <f>'[1]Forward Ranks'!BX65</f>
        <v>0.28820960698689957</v>
      </c>
      <c r="AN65" t="str">
        <f>'[1]Forward Ranks'!B65</f>
        <v>VAN</v>
      </c>
      <c r="AO65">
        <f>'[1]F on ice'!E65</f>
        <v>74</v>
      </c>
      <c r="AP65" s="2">
        <f>'[1]Impact Score Math'!E65</f>
        <v>0.45490981963927857</v>
      </c>
      <c r="AQ65">
        <f>'[1]Impact Score Math'!G65</f>
        <v>273</v>
      </c>
      <c r="AT65" s="1">
        <f>'[1]Forward Ranks'!CJ65</f>
        <v>0.75327510917030571</v>
      </c>
      <c r="AU65" s="1">
        <f>'[1]Forward Ranks'!CK65</f>
        <v>0.10043668122270742</v>
      </c>
    </row>
    <row r="66" spans="1:47" x14ac:dyDescent="0.3">
      <c r="A66" t="str">
        <f>'[1]Forward Ranks'!A66</f>
        <v>Brock McGinn</v>
      </c>
      <c r="B66">
        <f>'[1]Forward Ranks'!D66</f>
        <v>0</v>
      </c>
      <c r="C66" s="1">
        <f>'[1]Forward Ranks'!I66</f>
        <v>0.20742358078602621</v>
      </c>
      <c r="D66" s="1">
        <f>'[1]Forward Ranks'!J66</f>
        <v>0.1331877729257642</v>
      </c>
      <c r="E66" s="1">
        <f>'[1]Forward Ranks'!K66</f>
        <v>0.14410480349344978</v>
      </c>
      <c r="F66" s="1">
        <f>'[1]Forward Ranks'!L66</f>
        <v>0.15283842794759825</v>
      </c>
      <c r="G66">
        <f>'[1]Forward Ranks'!N66</f>
        <v>0</v>
      </c>
      <c r="H66" s="1">
        <f>'[1]Forward Ranks'!S66</f>
        <v>0.53493449781659386</v>
      </c>
      <c r="I66" s="1">
        <f>'[1]Forward Ranks'!T66</f>
        <v>5.8951965065502182E-2</v>
      </c>
      <c r="J66" s="1">
        <f>'[1]Forward Ranks'!U66</f>
        <v>6.3318777292576414E-2</v>
      </c>
      <c r="K66" s="1">
        <f>'[1]Forward Ranks'!V66</f>
        <v>0.12445414847161572</v>
      </c>
      <c r="L66">
        <f>'[1]Forward Ranks'!X66</f>
        <v>0</v>
      </c>
      <c r="M66" s="1">
        <f>'[1]Forward Ranks'!AC66</f>
        <v>0.32314410480349343</v>
      </c>
      <c r="N66" s="1">
        <f>'[1]Forward Ranks'!AD66</f>
        <v>0.3930131004366812</v>
      </c>
      <c r="O66" s="1">
        <f>'[1]Forward Ranks'!AE66</f>
        <v>0.24672489082969432</v>
      </c>
      <c r="P66" s="1">
        <f>'[1]Forward Ranks'!AF66</f>
        <v>0.39082969432314413</v>
      </c>
      <c r="Q66">
        <f>'[1]Forward Ranks'!AH66</f>
        <v>0</v>
      </c>
      <c r="R66" s="1">
        <f>'[1]Forward Ranks'!AM66</f>
        <v>6.1135371179039298E-2</v>
      </c>
      <c r="S66" s="1">
        <f>'[1]Forward Ranks'!AN66</f>
        <v>3.2751091703056769E-2</v>
      </c>
      <c r="T66" s="1">
        <f>'[1]Forward Ranks'!AO66</f>
        <v>0.14192139737991266</v>
      </c>
      <c r="U66" s="1">
        <f>'[1]Forward Ranks'!AP66</f>
        <v>3.9301310043668124E-2</v>
      </c>
      <c r="V66">
        <f>'[1]Forward Ranks'!AR66</f>
        <v>0</v>
      </c>
      <c r="W66" s="1">
        <f>'[1]Forward Ranks'!AW66</f>
        <v>0.70524017467248912</v>
      </c>
      <c r="X66" s="1">
        <f>'[1]Forward Ranks'!AX66</f>
        <v>0.69432314410480345</v>
      </c>
      <c r="Y66" s="1">
        <f>'[1]Forward Ranks'!AY66</f>
        <v>0.30131004366812225</v>
      </c>
      <c r="Z66" s="1">
        <f>'[1]Forward Ranks'!AZ66</f>
        <v>0.67903930131004364</v>
      </c>
      <c r="AA66">
        <f>'[1]Forward Ranks'!BB66</f>
        <v>0</v>
      </c>
      <c r="AB66" s="1">
        <f>'[1]Forward Ranks'!BG66</f>
        <v>0.21179039301310043</v>
      </c>
      <c r="AC66" s="1">
        <f>'[1]Forward Ranks'!BH66</f>
        <v>3.9301310043668124E-2</v>
      </c>
      <c r="AD66" s="1">
        <f>'[1]Forward Ranks'!BI66</f>
        <v>0.14410480349344978</v>
      </c>
      <c r="AE66" s="1">
        <f>'[1]Forward Ranks'!BJ66</f>
        <v>0.10043668122270742</v>
      </c>
      <c r="AF66">
        <f>'[1]Forward Ranks'!BL66</f>
        <v>0</v>
      </c>
      <c r="AG66" s="1">
        <f>'[1]Forward Ranks'!BQ66</f>
        <v>0.21179039301310043</v>
      </c>
      <c r="AH66" s="1">
        <f>'[1]Forward Ranks'!BR66</f>
        <v>0.18558951965065501</v>
      </c>
      <c r="AI66" s="1">
        <f>'[1]Forward Ranks'!BS66</f>
        <v>8.5152838427947602E-2</v>
      </c>
      <c r="AJ66" s="1">
        <f>'[1]Forward Ranks'!BT66</f>
        <v>0.1965065502183406</v>
      </c>
      <c r="AL66" s="2">
        <f>'[1]Forward Ranks'!BX66</f>
        <v>0.10043668122270742</v>
      </c>
      <c r="AN66" t="str">
        <f>'[1]Forward Ranks'!B66</f>
        <v>ANA, PIT</v>
      </c>
      <c r="AO66">
        <f>'[1]F on ice'!E66</f>
        <v>75</v>
      </c>
      <c r="AP66" s="2">
        <f>'[1]Impact Score Math'!E66</f>
        <v>0.17034068136272545</v>
      </c>
      <c r="AQ66">
        <f>'[1]Impact Score Math'!G66</f>
        <v>415</v>
      </c>
      <c r="AT66" s="1">
        <f>'[1]Forward Ranks'!CJ66</f>
        <v>0.68995633187772931</v>
      </c>
      <c r="AU66" s="1">
        <f>'[1]Forward Ranks'!CK66</f>
        <v>0.78165938864628826</v>
      </c>
    </row>
    <row r="67" spans="1:47" x14ac:dyDescent="0.3">
      <c r="A67" t="str">
        <f>'[1]Forward Ranks'!A67</f>
        <v>Brock Nelson</v>
      </c>
      <c r="B67">
        <f>'[1]Forward Ranks'!D67</f>
        <v>0</v>
      </c>
      <c r="C67" s="1">
        <f>'[1]Forward Ranks'!I67</f>
        <v>0.72925764192139741</v>
      </c>
      <c r="D67" s="1">
        <f>'[1]Forward Ranks'!J67</f>
        <v>0.87554585152838427</v>
      </c>
      <c r="E67" s="1">
        <f>'[1]Forward Ranks'!K67</f>
        <v>0.97161572052401746</v>
      </c>
      <c r="F67" s="1">
        <f>'[1]Forward Ranks'!L67</f>
        <v>0.79475982532751088</v>
      </c>
      <c r="G67">
        <f>'[1]Forward Ranks'!N67</f>
        <v>0</v>
      </c>
      <c r="H67" s="1">
        <f>'[1]Forward Ranks'!S67</f>
        <v>0.94541484716157209</v>
      </c>
      <c r="I67" s="1">
        <f>'[1]Forward Ranks'!T67</f>
        <v>0.79912663755458513</v>
      </c>
      <c r="J67" s="1">
        <f>'[1]Forward Ranks'!U67</f>
        <v>0.72925764192139741</v>
      </c>
      <c r="K67" s="1">
        <f>'[1]Forward Ranks'!V67</f>
        <v>0.94541484716157209</v>
      </c>
      <c r="L67">
        <f>'[1]Forward Ranks'!X67</f>
        <v>0</v>
      </c>
      <c r="M67" s="1">
        <f>'[1]Forward Ranks'!AC67</f>
        <v>9.606986899563319E-2</v>
      </c>
      <c r="N67" s="1">
        <f>'[1]Forward Ranks'!AD67</f>
        <v>0.14192139737991266</v>
      </c>
      <c r="O67" s="1">
        <f>'[1]Forward Ranks'!AE67</f>
        <v>0.59170305676855894</v>
      </c>
      <c r="P67" s="1">
        <f>'[1]Forward Ranks'!AF67</f>
        <v>0.1222707423580786</v>
      </c>
      <c r="Q67">
        <f>'[1]Forward Ranks'!AH67</f>
        <v>0</v>
      </c>
      <c r="R67" s="1">
        <f>'[1]Forward Ranks'!AM67</f>
        <v>0.77292576419213976</v>
      </c>
      <c r="S67" s="1">
        <f>'[1]Forward Ranks'!AN67</f>
        <v>0.91048034934497812</v>
      </c>
      <c r="T67" s="1">
        <f>'[1]Forward Ranks'!AO67</f>
        <v>0.98034934497816595</v>
      </c>
      <c r="U67" s="1">
        <f>'[1]Forward Ranks'!AP67</f>
        <v>0.81222707423580787</v>
      </c>
      <c r="V67">
        <f>'[1]Forward Ranks'!AR67</f>
        <v>0</v>
      </c>
      <c r="W67" s="1">
        <f>'[1]Forward Ranks'!AW67</f>
        <v>3.7117903930131008E-2</v>
      </c>
      <c r="X67" s="1">
        <f>'[1]Forward Ranks'!AX67</f>
        <v>0.17903930131004367</v>
      </c>
      <c r="Y67" s="1">
        <f>'[1]Forward Ranks'!AY67</f>
        <v>0.25327510917030566</v>
      </c>
      <c r="Z67" s="1">
        <f>'[1]Forward Ranks'!AZ67</f>
        <v>7.2052401746724892E-2</v>
      </c>
      <c r="AA67">
        <f>'[1]Forward Ranks'!BB67</f>
        <v>0</v>
      </c>
      <c r="AB67" s="1">
        <f>'[1]Forward Ranks'!BG67</f>
        <v>0.84497816593886466</v>
      </c>
      <c r="AC67" s="1">
        <f>'[1]Forward Ranks'!BH67</f>
        <v>0.89082969432314407</v>
      </c>
      <c r="AD67" s="1">
        <f>'[1]Forward Ranks'!BI67</f>
        <v>0.95414847161572047</v>
      </c>
      <c r="AE67" s="1">
        <f>'[1]Forward Ranks'!BJ67</f>
        <v>0.96943231441048039</v>
      </c>
      <c r="AF67">
        <f>'[1]Forward Ranks'!BL67</f>
        <v>0</v>
      </c>
      <c r="AG67" s="1">
        <f>'[1]Forward Ranks'!BQ67</f>
        <v>0.40393013100436681</v>
      </c>
      <c r="AH67" s="1">
        <f>'[1]Forward Ranks'!BR67</f>
        <v>0.62445414847161573</v>
      </c>
      <c r="AI67" s="1">
        <f>'[1]Forward Ranks'!BS67</f>
        <v>0.91048034934497812</v>
      </c>
      <c r="AJ67" s="1">
        <f>'[1]Forward Ranks'!BT67</f>
        <v>0.44323144104803491</v>
      </c>
      <c r="AL67" s="2">
        <f>'[1]Forward Ranks'!BX67</f>
        <v>0.5633187772925764</v>
      </c>
      <c r="AN67" t="str">
        <f>'[1]Forward Ranks'!B67</f>
        <v>NYI</v>
      </c>
      <c r="AO67">
        <f>'[1]F on ice'!E67</f>
        <v>82</v>
      </c>
      <c r="AP67" s="2">
        <f>'[1]Impact Score Math'!E67</f>
        <v>0.69539078156312628</v>
      </c>
      <c r="AQ67">
        <f>'[1]Impact Score Math'!G67</f>
        <v>153</v>
      </c>
      <c r="AT67" s="1">
        <f>'[1]Forward Ranks'!CJ67</f>
        <v>0.63100436681222705</v>
      </c>
      <c r="AU67" s="1">
        <f>'[1]Forward Ranks'!CK67</f>
        <v>0.57205240174672489</v>
      </c>
    </row>
    <row r="68" spans="1:47" x14ac:dyDescent="0.3">
      <c r="A68" t="str">
        <f>'[1]Forward Ranks'!A68</f>
        <v>Bryan Rust</v>
      </c>
      <c r="B68">
        <f>'[1]Forward Ranks'!D68</f>
        <v>0</v>
      </c>
      <c r="C68" s="1">
        <f>'[1]Forward Ranks'!I68</f>
        <v>0.92358078602620086</v>
      </c>
      <c r="D68" s="1">
        <f>'[1]Forward Ranks'!J68</f>
        <v>0.8973799126637555</v>
      </c>
      <c r="E68" s="1">
        <f>'[1]Forward Ranks'!K68</f>
        <v>0.67685589519650657</v>
      </c>
      <c r="F68" s="1">
        <f>'[1]Forward Ranks'!L68</f>
        <v>0.91484716157205237</v>
      </c>
      <c r="G68">
        <f>'[1]Forward Ranks'!N68</f>
        <v>0</v>
      </c>
      <c r="H68" s="1">
        <f>'[1]Forward Ranks'!S68</f>
        <v>0.64847161572052403</v>
      </c>
      <c r="I68" s="1">
        <f>'[1]Forward Ranks'!T68</f>
        <v>0.34716157205240172</v>
      </c>
      <c r="J68" s="1">
        <f>'[1]Forward Ranks'!U68</f>
        <v>0.27947598253275108</v>
      </c>
      <c r="K68" s="1">
        <f>'[1]Forward Ranks'!V68</f>
        <v>0.46943231441048033</v>
      </c>
      <c r="L68">
        <f>'[1]Forward Ranks'!X68</f>
        <v>0</v>
      </c>
      <c r="M68" s="1">
        <f>'[1]Forward Ranks'!AC68</f>
        <v>0.39737991266375544</v>
      </c>
      <c r="N68" s="1">
        <f>'[1]Forward Ranks'!AD68</f>
        <v>0.44978165938864628</v>
      </c>
      <c r="O68" s="1">
        <f>'[1]Forward Ranks'!AE68</f>
        <v>0.62008733624454149</v>
      </c>
      <c r="P68" s="1">
        <f>'[1]Forward Ranks'!AF68</f>
        <v>0.37554585152838427</v>
      </c>
      <c r="Q68">
        <f>'[1]Forward Ranks'!AH68</f>
        <v>0</v>
      </c>
      <c r="R68" s="1">
        <f>'[1]Forward Ranks'!AM68</f>
        <v>0.8253275109170306</v>
      </c>
      <c r="S68" s="1">
        <f>'[1]Forward Ranks'!AN68</f>
        <v>0.76855895196506552</v>
      </c>
      <c r="T68" s="1">
        <f>'[1]Forward Ranks'!AO68</f>
        <v>0.70960698689956336</v>
      </c>
      <c r="U68" s="1">
        <f>'[1]Forward Ranks'!AP68</f>
        <v>0.79257641921397382</v>
      </c>
      <c r="V68">
        <f>'[1]Forward Ranks'!AR68</f>
        <v>0</v>
      </c>
      <c r="W68" s="1">
        <f>'[1]Forward Ranks'!AW68</f>
        <v>0.48689956331877732</v>
      </c>
      <c r="X68" s="1">
        <f>'[1]Forward Ranks'!AX68</f>
        <v>0.58078602620087338</v>
      </c>
      <c r="Y68" s="1">
        <f>'[1]Forward Ranks'!AY68</f>
        <v>0.75545851528384278</v>
      </c>
      <c r="Z68" s="1">
        <f>'[1]Forward Ranks'!AZ68</f>
        <v>0.35807860262008734</v>
      </c>
      <c r="AA68">
        <f>'[1]Forward Ranks'!BB68</f>
        <v>0</v>
      </c>
      <c r="AB68" s="1">
        <f>'[1]Forward Ranks'!BG68</f>
        <v>0.75545851528384278</v>
      </c>
      <c r="AC68" s="1">
        <f>'[1]Forward Ranks'!BH68</f>
        <v>0.97816593886462877</v>
      </c>
      <c r="AD68" s="1">
        <f>'[1]Forward Ranks'!BI68</f>
        <v>0.33406113537117904</v>
      </c>
      <c r="AE68" s="1">
        <f>'[1]Forward Ranks'!BJ68</f>
        <v>0.54803493449781659</v>
      </c>
      <c r="AF68">
        <f>'[1]Forward Ranks'!BL68</f>
        <v>0</v>
      </c>
      <c r="AG68" s="1">
        <f>'[1]Forward Ranks'!BQ68</f>
        <v>0.8253275109170306</v>
      </c>
      <c r="AH68" s="1">
        <f>'[1]Forward Ranks'!BR68</f>
        <v>0.82751091703056767</v>
      </c>
      <c r="AI68" s="1">
        <f>'[1]Forward Ranks'!BS68</f>
        <v>0.72052401746724892</v>
      </c>
      <c r="AJ68" s="1">
        <f>'[1]Forward Ranks'!BT68</f>
        <v>0.83624454148471616</v>
      </c>
      <c r="AL68" s="2">
        <f>'[1]Forward Ranks'!BX68</f>
        <v>0.72925764192139741</v>
      </c>
      <c r="AN68" t="str">
        <f>'[1]Forward Ranks'!B68</f>
        <v>PIT</v>
      </c>
      <c r="AO68">
        <f>'[1]F on ice'!E68</f>
        <v>81</v>
      </c>
      <c r="AP68" s="2">
        <f>'[1]Impact Score Math'!E68</f>
        <v>0.78757515030060121</v>
      </c>
      <c r="AQ68">
        <f>'[1]Impact Score Math'!G68</f>
        <v>107</v>
      </c>
      <c r="AT68" s="1">
        <f>'[1]Forward Ranks'!CJ68</f>
        <v>0.6026200873362445</v>
      </c>
      <c r="AU68" s="1">
        <f>'[1]Forward Ranks'!CK68</f>
        <v>0.48471615720524019</v>
      </c>
    </row>
    <row r="69" spans="1:47" x14ac:dyDescent="0.3">
      <c r="A69" t="str">
        <f>'[1]Forward Ranks'!A69</f>
        <v>Cal Clutterbuck</v>
      </c>
      <c r="B69">
        <f>'[1]Forward Ranks'!D69</f>
        <v>0</v>
      </c>
      <c r="C69" s="1">
        <f>'[1]Forward Ranks'!I69</f>
        <v>0.39737991266375544</v>
      </c>
      <c r="D69" s="1">
        <f>'[1]Forward Ranks'!J69</f>
        <v>0.11353711790393013</v>
      </c>
      <c r="E69" s="1">
        <f>'[1]Forward Ranks'!K69</f>
        <v>0.29475982532751094</v>
      </c>
      <c r="F69" s="1">
        <f>'[1]Forward Ranks'!L69</f>
        <v>0.21179039301310043</v>
      </c>
      <c r="G69">
        <f>'[1]Forward Ranks'!N69</f>
        <v>0</v>
      </c>
      <c r="H69" s="1">
        <f>'[1]Forward Ranks'!S69</f>
        <v>0.388646288209607</v>
      </c>
      <c r="I69" s="1">
        <f>'[1]Forward Ranks'!T69</f>
        <v>0.1703056768558952</v>
      </c>
      <c r="J69" s="1">
        <f>'[1]Forward Ranks'!U69</f>
        <v>0.12445414847161572</v>
      </c>
      <c r="K69" s="1">
        <f>'[1]Forward Ranks'!V69</f>
        <v>0.18558951965065501</v>
      </c>
      <c r="L69">
        <f>'[1]Forward Ranks'!X69</f>
        <v>0</v>
      </c>
      <c r="M69" s="1">
        <f>'[1]Forward Ranks'!AC69</f>
        <v>0.82751091703056767</v>
      </c>
      <c r="N69" s="1">
        <f>'[1]Forward Ranks'!AD69</f>
        <v>0.17248908296943233</v>
      </c>
      <c r="O69" s="1">
        <f>'[1]Forward Ranks'!AE69</f>
        <v>0.97816593886462877</v>
      </c>
      <c r="P69" s="1">
        <f>'[1]Forward Ranks'!AF69</f>
        <v>0.40174672489082969</v>
      </c>
      <c r="Q69">
        <f>'[1]Forward Ranks'!AH69</f>
        <v>0</v>
      </c>
      <c r="R69" s="1">
        <f>'[1]Forward Ranks'!AM69</f>
        <v>0.40611353711790393</v>
      </c>
      <c r="S69" s="1">
        <f>'[1]Forward Ranks'!AN69</f>
        <v>0.10262008733624454</v>
      </c>
      <c r="T69" s="1">
        <f>'[1]Forward Ranks'!AO69</f>
        <v>0.21615720524017468</v>
      </c>
      <c r="U69" s="1">
        <f>'[1]Forward Ranks'!AP69</f>
        <v>0.13537117903930132</v>
      </c>
      <c r="V69">
        <f>'[1]Forward Ranks'!AR69</f>
        <v>0</v>
      </c>
      <c r="W69" s="1">
        <f>'[1]Forward Ranks'!AW69</f>
        <v>0.96943231441048039</v>
      </c>
      <c r="X69" s="1">
        <f>'[1]Forward Ranks'!AX69</f>
        <v>0.35152838427947597</v>
      </c>
      <c r="Y69" s="1">
        <f>'[1]Forward Ranks'!AY69</f>
        <v>0.96288209606986896</v>
      </c>
      <c r="Z69" s="1">
        <f>'[1]Forward Ranks'!AZ69</f>
        <v>0.75327510917030571</v>
      </c>
      <c r="AA69">
        <f>'[1]Forward Ranks'!BB69</f>
        <v>0</v>
      </c>
      <c r="AB69" s="1">
        <f>'[1]Forward Ranks'!BG69</f>
        <v>0.17467248908296942</v>
      </c>
      <c r="AC69" s="1">
        <f>'[1]Forward Ranks'!BH69</f>
        <v>4.3668122270742356E-2</v>
      </c>
      <c r="AD69" s="1">
        <f>'[1]Forward Ranks'!BI69</f>
        <v>0.38427947598253276</v>
      </c>
      <c r="AE69" s="1">
        <f>'[1]Forward Ranks'!BJ69</f>
        <v>0.86026200873362446</v>
      </c>
      <c r="AF69">
        <f>'[1]Forward Ranks'!BL69</f>
        <v>0</v>
      </c>
      <c r="AG69" s="1">
        <f>'[1]Forward Ranks'!BQ69</f>
        <v>0.611353711790393</v>
      </c>
      <c r="AH69" s="1">
        <f>'[1]Forward Ranks'!BR69</f>
        <v>9.1703056768558958E-2</v>
      </c>
      <c r="AI69" s="1">
        <f>'[1]Forward Ranks'!BS69</f>
        <v>0.88209606986899558</v>
      </c>
      <c r="AJ69" s="1">
        <f>'[1]Forward Ranks'!BT69</f>
        <v>0.22925764192139739</v>
      </c>
      <c r="AL69" s="2">
        <f>'[1]Forward Ranks'!BX69</f>
        <v>0.37991266375545851</v>
      </c>
      <c r="AN69" t="str">
        <f>'[1]Forward Ranks'!B69</f>
        <v>NYI</v>
      </c>
      <c r="AO69">
        <f>'[1]F on ice'!E69</f>
        <v>49</v>
      </c>
      <c r="AP69" s="2">
        <f>'[1]Impact Score Math'!E69</f>
        <v>0.35270541082164331</v>
      </c>
      <c r="AQ69">
        <f>'[1]Impact Score Math'!G69</f>
        <v>324</v>
      </c>
      <c r="AT69" s="1">
        <f>'[1]Forward Ranks'!CJ69</f>
        <v>0.26419213973799127</v>
      </c>
      <c r="AU69" s="1">
        <f>'[1]Forward Ranks'!CK69</f>
        <v>6.1135371179039298E-2</v>
      </c>
    </row>
    <row r="70" spans="1:47" x14ac:dyDescent="0.3">
      <c r="A70" t="str">
        <f>'[1]Forward Ranks'!A70</f>
        <v>Calle Jarnkrok</v>
      </c>
      <c r="B70">
        <f>'[1]Forward Ranks'!D70</f>
        <v>0</v>
      </c>
      <c r="C70" s="1">
        <f>'[1]Forward Ranks'!I70</f>
        <v>0.54585152838427953</v>
      </c>
      <c r="D70" s="1">
        <f>'[1]Forward Ranks'!J70</f>
        <v>0.69213973799126638</v>
      </c>
      <c r="E70" s="1">
        <f>'[1]Forward Ranks'!K70</f>
        <v>0.74235807860262004</v>
      </c>
      <c r="F70" s="1">
        <f>'[1]Forward Ranks'!L70</f>
        <v>0.67030567685589515</v>
      </c>
      <c r="G70">
        <f>'[1]Forward Ranks'!N70</f>
        <v>0</v>
      </c>
      <c r="H70" s="1">
        <f>'[1]Forward Ranks'!S70</f>
        <v>0.91048034934497812</v>
      </c>
      <c r="I70" s="1">
        <f>'[1]Forward Ranks'!T70</f>
        <v>0.54148471615720528</v>
      </c>
      <c r="J70" s="1">
        <f>'[1]Forward Ranks'!U70</f>
        <v>0.34934497816593885</v>
      </c>
      <c r="K70" s="1">
        <f>'[1]Forward Ranks'!V70</f>
        <v>0.8253275109170306</v>
      </c>
      <c r="L70">
        <f>'[1]Forward Ranks'!X70</f>
        <v>0</v>
      </c>
      <c r="M70" s="1">
        <f>'[1]Forward Ranks'!AC70</f>
        <v>0.56768558951965065</v>
      </c>
      <c r="N70" s="1">
        <f>'[1]Forward Ranks'!AD70</f>
        <v>0.51310043668122274</v>
      </c>
      <c r="O70" s="1">
        <f>'[1]Forward Ranks'!AE70</f>
        <v>0.60698689956331875</v>
      </c>
      <c r="P70" s="1">
        <f>'[1]Forward Ranks'!AF70</f>
        <v>0.52838427947598254</v>
      </c>
      <c r="Q70">
        <f>'[1]Forward Ranks'!AH70</f>
        <v>0</v>
      </c>
      <c r="R70" s="1">
        <f>'[1]Forward Ranks'!AM70</f>
        <v>0.43231441048034935</v>
      </c>
      <c r="S70" s="1">
        <f>'[1]Forward Ranks'!AN70</f>
        <v>0.34279475982532753</v>
      </c>
      <c r="T70" s="1">
        <f>'[1]Forward Ranks'!AO70</f>
        <v>0.66157205240174677</v>
      </c>
      <c r="U70" s="1">
        <f>'[1]Forward Ranks'!AP70</f>
        <v>0.43231441048034935</v>
      </c>
      <c r="V70">
        <f>'[1]Forward Ranks'!AR70</f>
        <v>0</v>
      </c>
      <c r="W70" s="1">
        <f>'[1]Forward Ranks'!AW70</f>
        <v>0.32096069868995636</v>
      </c>
      <c r="X70" s="1">
        <f>'[1]Forward Ranks'!AX70</f>
        <v>0.49126637554585151</v>
      </c>
      <c r="Y70" s="1">
        <f>'[1]Forward Ranks'!AY70</f>
        <v>0.37991266375545851</v>
      </c>
      <c r="Z70" s="1">
        <f>'[1]Forward Ranks'!AZ70</f>
        <v>0.39082969432314413</v>
      </c>
      <c r="AA70">
        <f>'[1]Forward Ranks'!BB70</f>
        <v>0</v>
      </c>
      <c r="AB70" s="1">
        <f>'[1]Forward Ranks'!BG70</f>
        <v>0.3056768558951965</v>
      </c>
      <c r="AC70" s="1">
        <f>'[1]Forward Ranks'!BH70</f>
        <v>0.39082969432314413</v>
      </c>
      <c r="AD70" s="1">
        <f>'[1]Forward Ranks'!BI70</f>
        <v>0.81659388646288211</v>
      </c>
      <c r="AE70" s="1">
        <f>'[1]Forward Ranks'!BJ70</f>
        <v>0.74672489082969429</v>
      </c>
      <c r="AF70">
        <f>'[1]Forward Ranks'!BL70</f>
        <v>0</v>
      </c>
      <c r="AG70" s="1">
        <f>'[1]Forward Ranks'!BQ70</f>
        <v>0.54585152838427953</v>
      </c>
      <c r="AH70" s="1">
        <f>'[1]Forward Ranks'!BR70</f>
        <v>0.61790393013100442</v>
      </c>
      <c r="AI70" s="1">
        <f>'[1]Forward Ranks'!BS70</f>
        <v>0.75982532751091703</v>
      </c>
      <c r="AJ70" s="1">
        <f>'[1]Forward Ranks'!BT70</f>
        <v>0.64410480349344978</v>
      </c>
      <c r="AL70" s="2">
        <f>'[1]Forward Ranks'!BX70</f>
        <v>0.6026200873362445</v>
      </c>
      <c r="AN70" t="str">
        <f>'[1]Forward Ranks'!B70</f>
        <v>TOR</v>
      </c>
      <c r="AO70">
        <f>'[1]F on ice'!E70</f>
        <v>73</v>
      </c>
      <c r="AP70" s="2">
        <f>'[1]Impact Score Math'!E70</f>
        <v>0.56713426853707416</v>
      </c>
      <c r="AQ70">
        <f>'[1]Impact Score Math'!G70</f>
        <v>217</v>
      </c>
      <c r="AT70" s="1">
        <f>'[1]Forward Ranks'!CJ70</f>
        <v>0.70960698689956336</v>
      </c>
      <c r="AU70" s="1">
        <f>'[1]Forward Ranks'!CK70</f>
        <v>0.30349344978165937</v>
      </c>
    </row>
    <row r="71" spans="1:47" x14ac:dyDescent="0.3">
      <c r="A71" t="str">
        <f>'[1]Forward Ranks'!A71</f>
        <v>Carl Grundstrom</v>
      </c>
      <c r="B71">
        <f>'[1]Forward Ranks'!D71</f>
        <v>0</v>
      </c>
      <c r="C71" s="1">
        <f>'[1]Forward Ranks'!I71</f>
        <v>0.76419213973799127</v>
      </c>
      <c r="D71" s="1">
        <f>'[1]Forward Ranks'!J71</f>
        <v>0.81004366812227069</v>
      </c>
      <c r="E71" s="1">
        <f>'[1]Forward Ranks'!K71</f>
        <v>0.56550218340611358</v>
      </c>
      <c r="F71" s="1">
        <f>'[1]Forward Ranks'!L71</f>
        <v>0.58296943231441045</v>
      </c>
      <c r="G71">
        <f>'[1]Forward Ranks'!N71</f>
        <v>0</v>
      </c>
      <c r="H71" s="1">
        <f>'[1]Forward Ranks'!S71</f>
        <v>0.89519650655021832</v>
      </c>
      <c r="I71" s="1">
        <f>'[1]Forward Ranks'!T71</f>
        <v>0.30786026200873362</v>
      </c>
      <c r="J71" s="1">
        <f>'[1]Forward Ranks'!U71</f>
        <v>0.48034934497816595</v>
      </c>
      <c r="K71" s="1">
        <f>'[1]Forward Ranks'!V71</f>
        <v>0.6746724890829694</v>
      </c>
      <c r="L71">
        <f>'[1]Forward Ranks'!X71</f>
        <v>0</v>
      </c>
      <c r="M71" s="1">
        <f>'[1]Forward Ranks'!AC71</f>
        <v>0.73799126637554591</v>
      </c>
      <c r="N71" s="1">
        <f>'[1]Forward Ranks'!AD71</f>
        <v>0.80131004366812231</v>
      </c>
      <c r="O71" s="1">
        <f>'[1]Forward Ranks'!AE71</f>
        <v>0.30349344978165937</v>
      </c>
      <c r="P71" s="1">
        <f>'[1]Forward Ranks'!AF71</f>
        <v>0.89519650655021832</v>
      </c>
      <c r="Q71">
        <f>'[1]Forward Ranks'!AH71</f>
        <v>0</v>
      </c>
      <c r="R71" s="1">
        <f>'[1]Forward Ranks'!AM71</f>
        <v>0.55458515283842791</v>
      </c>
      <c r="S71" s="1">
        <f>'[1]Forward Ranks'!AN71</f>
        <v>0.70742358078602618</v>
      </c>
      <c r="T71" s="1">
        <f>'[1]Forward Ranks'!AO71</f>
        <v>0.5633187772925764</v>
      </c>
      <c r="U71" s="1">
        <f>'[1]Forward Ranks'!AP71</f>
        <v>0.45196506550218341</v>
      </c>
      <c r="V71">
        <f>'[1]Forward Ranks'!AR71</f>
        <v>0</v>
      </c>
      <c r="W71" s="1">
        <f>'[1]Forward Ranks'!AW71</f>
        <v>0.27510917030567683</v>
      </c>
      <c r="X71" s="1">
        <f>'[1]Forward Ranks'!AX71</f>
        <v>0.52183406113537123</v>
      </c>
      <c r="Y71" s="1">
        <f>'[1]Forward Ranks'!AY71</f>
        <v>9.3886462882096067E-2</v>
      </c>
      <c r="Z71" s="1">
        <f>'[1]Forward Ranks'!AZ71</f>
        <v>0.51091703056768556</v>
      </c>
      <c r="AA71">
        <f>'[1]Forward Ranks'!BB71</f>
        <v>0</v>
      </c>
      <c r="AB71" s="1">
        <f>'[1]Forward Ranks'!BG71</f>
        <v>0.14847161572052403</v>
      </c>
      <c r="AC71" s="1">
        <f>'[1]Forward Ranks'!BH71</f>
        <v>0.87117903930131002</v>
      </c>
      <c r="AD71" s="1">
        <f>'[1]Forward Ranks'!BI71</f>
        <v>0.50436681222707425</v>
      </c>
      <c r="AE71" s="1">
        <f>'[1]Forward Ranks'!BJ71</f>
        <v>0.2183406113537118</v>
      </c>
      <c r="AF71">
        <f>'[1]Forward Ranks'!BL71</f>
        <v>0</v>
      </c>
      <c r="AG71" s="1">
        <f>'[1]Forward Ranks'!BQ71</f>
        <v>0.81004366812227069</v>
      </c>
      <c r="AH71" s="1">
        <f>'[1]Forward Ranks'!BR71</f>
        <v>0.88427947598253276</v>
      </c>
      <c r="AI71" s="1">
        <f>'[1]Forward Ranks'!BS71</f>
        <v>0.40829694323144106</v>
      </c>
      <c r="AJ71" s="1">
        <f>'[1]Forward Ranks'!BT71</f>
        <v>0.80567685589519655</v>
      </c>
      <c r="AL71" s="2">
        <f>'[1]Forward Ranks'!BX71</f>
        <v>0.73362445414847166</v>
      </c>
      <c r="AN71" t="str">
        <f>'[1]Forward Ranks'!B71</f>
        <v>L.A</v>
      </c>
      <c r="AO71">
        <f>'[1]F on ice'!E71</f>
        <v>57</v>
      </c>
      <c r="AP71" s="2">
        <f>'[1]Impact Score Math'!E71</f>
        <v>0.58316633266533069</v>
      </c>
      <c r="AQ71">
        <f>'[1]Impact Score Math'!G71</f>
        <v>209</v>
      </c>
      <c r="AT71" s="1">
        <f>'[1]Forward Ranks'!CJ71</f>
        <v>0.58078602620087338</v>
      </c>
      <c r="AU71" s="1">
        <f>'[1]Forward Ranks'!CK71</f>
        <v>0.19213973799126638</v>
      </c>
    </row>
    <row r="72" spans="1:47" x14ac:dyDescent="0.3">
      <c r="A72" t="str">
        <f>'[1]Forward Ranks'!A72</f>
        <v>Carter Verhaeghe</v>
      </c>
      <c r="B72">
        <f>'[1]Forward Ranks'!D72</f>
        <v>0</v>
      </c>
      <c r="C72" s="1">
        <f>'[1]Forward Ranks'!I72</f>
        <v>0.97816593886462877</v>
      </c>
      <c r="D72" s="1">
        <f>'[1]Forward Ranks'!J72</f>
        <v>0.98034934497816595</v>
      </c>
      <c r="E72" s="1">
        <f>'[1]Forward Ranks'!K72</f>
        <v>0.94323144104803491</v>
      </c>
      <c r="F72" s="1">
        <f>'[1]Forward Ranks'!L72</f>
        <v>0.99781659388646293</v>
      </c>
      <c r="G72">
        <f>'[1]Forward Ranks'!N72</f>
        <v>0</v>
      </c>
      <c r="H72" s="1">
        <f>'[1]Forward Ranks'!S72</f>
        <v>0.98689956331877726</v>
      </c>
      <c r="I72" s="1">
        <f>'[1]Forward Ranks'!T72</f>
        <v>0.77074235807860259</v>
      </c>
      <c r="J72" s="1">
        <f>'[1]Forward Ranks'!U72</f>
        <v>0.53711790393013104</v>
      </c>
      <c r="K72" s="1">
        <f>'[1]Forward Ranks'!V72</f>
        <v>0.9606986899563319</v>
      </c>
      <c r="L72">
        <f>'[1]Forward Ranks'!X72</f>
        <v>0</v>
      </c>
      <c r="M72" s="1">
        <f>'[1]Forward Ranks'!AC72</f>
        <v>0.27074235807860264</v>
      </c>
      <c r="N72" s="1">
        <f>'[1]Forward Ranks'!AD72</f>
        <v>0.12663755458515283</v>
      </c>
      <c r="O72" s="1">
        <f>'[1]Forward Ranks'!AE72</f>
        <v>0.72489082969432317</v>
      </c>
      <c r="P72" s="1">
        <f>'[1]Forward Ranks'!AF72</f>
        <v>0.18777292576419213</v>
      </c>
      <c r="Q72">
        <f>'[1]Forward Ranks'!AH72</f>
        <v>0</v>
      </c>
      <c r="R72" s="1">
        <f>'[1]Forward Ranks'!AM72</f>
        <v>0.90393013100436681</v>
      </c>
      <c r="S72" s="1">
        <f>'[1]Forward Ranks'!AN72</f>
        <v>0.89956331877729256</v>
      </c>
      <c r="T72" s="1">
        <f>'[1]Forward Ranks'!AO72</f>
        <v>0.8493449781659389</v>
      </c>
      <c r="U72" s="1">
        <f>'[1]Forward Ranks'!AP72</f>
        <v>0.97816593886462877</v>
      </c>
      <c r="V72">
        <f>'[1]Forward Ranks'!AR72</f>
        <v>0</v>
      </c>
      <c r="W72" s="1">
        <f>'[1]Forward Ranks'!AW72</f>
        <v>0.25109170305676853</v>
      </c>
      <c r="X72" s="1">
        <f>'[1]Forward Ranks'!AX72</f>
        <v>0.14410480349344978</v>
      </c>
      <c r="Y72" s="1">
        <f>'[1]Forward Ranks'!AY72</f>
        <v>0.79257641921397382</v>
      </c>
      <c r="Z72" s="1">
        <f>'[1]Forward Ranks'!AZ72</f>
        <v>0.15283842794759825</v>
      </c>
      <c r="AA72">
        <f>'[1]Forward Ranks'!BB72</f>
        <v>0</v>
      </c>
      <c r="AB72" s="1">
        <f>'[1]Forward Ranks'!BG72</f>
        <v>0.90393013100436681</v>
      </c>
      <c r="AC72" s="1">
        <f>'[1]Forward Ranks'!BH72</f>
        <v>0.61353711790393017</v>
      </c>
      <c r="AD72" s="1">
        <f>'[1]Forward Ranks'!BI72</f>
        <v>0.64628820960698685</v>
      </c>
      <c r="AE72" s="1">
        <f>'[1]Forward Ranks'!BJ72</f>
        <v>0.83406113537117899</v>
      </c>
      <c r="AF72">
        <f>'[1]Forward Ranks'!BL72</f>
        <v>0</v>
      </c>
      <c r="AG72" s="1">
        <f>'[1]Forward Ranks'!BQ72</f>
        <v>0.87117903930131002</v>
      </c>
      <c r="AH72" s="1">
        <f>'[1]Forward Ranks'!BR72</f>
        <v>0.77510917030567683</v>
      </c>
      <c r="AI72" s="1">
        <f>'[1]Forward Ranks'!BS72</f>
        <v>0.93013100436681218</v>
      </c>
      <c r="AJ72" s="1">
        <f>'[1]Forward Ranks'!BT72</f>
        <v>0.90174672489082974</v>
      </c>
      <c r="AL72" s="2">
        <f>'[1]Forward Ranks'!BX72</f>
        <v>0.88427947598253276</v>
      </c>
      <c r="AN72" t="str">
        <f>'[1]Forward Ranks'!B72</f>
        <v>FLA</v>
      </c>
      <c r="AO72">
        <f>'[1]F on ice'!E72</f>
        <v>81</v>
      </c>
      <c r="AP72" s="2">
        <f>'[1]Impact Score Math'!E72</f>
        <v>0.9178356713426854</v>
      </c>
      <c r="AQ72">
        <f>'[1]Impact Score Math'!G72</f>
        <v>42</v>
      </c>
      <c r="AT72" s="1">
        <f>'[1]Forward Ranks'!CJ72</f>
        <v>0.25109170305676853</v>
      </c>
      <c r="AU72" s="1">
        <f>'[1]Forward Ranks'!CK72</f>
        <v>0.76200873362445409</v>
      </c>
    </row>
    <row r="73" spans="1:47" x14ac:dyDescent="0.3">
      <c r="A73" t="str">
        <f>'[1]Forward Ranks'!A73</f>
        <v>Casey Cizikas</v>
      </c>
      <c r="B73">
        <f>'[1]Forward Ranks'!D73</f>
        <v>0</v>
      </c>
      <c r="C73" s="1">
        <f>'[1]Forward Ranks'!I73</f>
        <v>0.34497816593886466</v>
      </c>
      <c r="D73" s="1">
        <f>'[1]Forward Ranks'!J73</f>
        <v>0.24672489082969432</v>
      </c>
      <c r="E73" s="1">
        <f>'[1]Forward Ranks'!K73</f>
        <v>0.13973799126637554</v>
      </c>
      <c r="F73" s="1">
        <f>'[1]Forward Ranks'!L73</f>
        <v>0.17685589519650655</v>
      </c>
      <c r="G73">
        <f>'[1]Forward Ranks'!N73</f>
        <v>0</v>
      </c>
      <c r="H73" s="1">
        <f>'[1]Forward Ranks'!S73</f>
        <v>7.8602620087336247E-2</v>
      </c>
      <c r="I73" s="1">
        <f>'[1]Forward Ranks'!T73</f>
        <v>0.24890829694323144</v>
      </c>
      <c r="J73" s="1">
        <f>'[1]Forward Ranks'!U73</f>
        <v>0.34279475982532753</v>
      </c>
      <c r="K73" s="1">
        <f>'[1]Forward Ranks'!V73</f>
        <v>9.1703056768558958E-2</v>
      </c>
      <c r="L73">
        <f>'[1]Forward Ranks'!X73</f>
        <v>0</v>
      </c>
      <c r="M73" s="1">
        <f>'[1]Forward Ranks'!AC73</f>
        <v>0.67030567685589515</v>
      </c>
      <c r="N73" s="1">
        <f>'[1]Forward Ranks'!AD73</f>
        <v>0.35807860262008734</v>
      </c>
      <c r="O73" s="1">
        <f>'[1]Forward Ranks'!AE73</f>
        <v>0.80786026200873362</v>
      </c>
      <c r="P73" s="1">
        <f>'[1]Forward Ranks'!AF73</f>
        <v>0.44104803493449779</v>
      </c>
      <c r="Q73">
        <f>'[1]Forward Ranks'!AH73</f>
        <v>0</v>
      </c>
      <c r="R73" s="1">
        <f>'[1]Forward Ranks'!AM73</f>
        <v>0.25109170305676853</v>
      </c>
      <c r="S73" s="1">
        <f>'[1]Forward Ranks'!AN73</f>
        <v>7.6419213973799124E-2</v>
      </c>
      <c r="T73" s="1">
        <f>'[1]Forward Ranks'!AO73</f>
        <v>6.9868995633187769E-2</v>
      </c>
      <c r="U73" s="1">
        <f>'[1]Forward Ranks'!AP73</f>
        <v>8.9519650655021835E-2</v>
      </c>
      <c r="V73">
        <f>'[1]Forward Ranks'!AR73</f>
        <v>0</v>
      </c>
      <c r="W73" s="1">
        <f>'[1]Forward Ranks'!AW73</f>
        <v>0.91048034934497812</v>
      </c>
      <c r="X73" s="1">
        <f>'[1]Forward Ranks'!AX73</f>
        <v>0.55458515283842791</v>
      </c>
      <c r="Y73" s="1">
        <f>'[1]Forward Ranks'!AY73</f>
        <v>0.63318777292576423</v>
      </c>
      <c r="Z73" s="1">
        <f>'[1]Forward Ranks'!AZ73</f>
        <v>0.61790393013100442</v>
      </c>
      <c r="AA73">
        <f>'[1]Forward Ranks'!BB73</f>
        <v>0</v>
      </c>
      <c r="AB73" s="1">
        <f>'[1]Forward Ranks'!BG73</f>
        <v>0.45633187772925765</v>
      </c>
      <c r="AC73" s="1">
        <f>'[1]Forward Ranks'!BH73</f>
        <v>3.4934497816593885E-2</v>
      </c>
      <c r="AD73" s="1">
        <f>'[1]Forward Ranks'!BI73</f>
        <v>0.11790393013100436</v>
      </c>
      <c r="AE73" s="1">
        <f>'[1]Forward Ranks'!BJ73</f>
        <v>0.35807860262008734</v>
      </c>
      <c r="AF73">
        <f>'[1]Forward Ranks'!BL73</f>
        <v>0</v>
      </c>
      <c r="AG73" s="1">
        <f>'[1]Forward Ranks'!BQ73</f>
        <v>0.47816593886462883</v>
      </c>
      <c r="AH73" s="1">
        <f>'[1]Forward Ranks'!BR73</f>
        <v>0.2423580786026201</v>
      </c>
      <c r="AI73" s="1">
        <f>'[1]Forward Ranks'!BS73</f>
        <v>0.33187772925764192</v>
      </c>
      <c r="AJ73" s="1">
        <f>'[1]Forward Ranks'!BT73</f>
        <v>0.22270742358078602</v>
      </c>
      <c r="AL73" s="2">
        <f>'[1]Forward Ranks'!BX73</f>
        <v>0.20742358078602621</v>
      </c>
      <c r="AN73" t="str">
        <f>'[1]Forward Ranks'!B73</f>
        <v>NYI</v>
      </c>
      <c r="AO73">
        <f>'[1]F on ice'!E73</f>
        <v>81</v>
      </c>
      <c r="AP73" s="2">
        <f>'[1]Impact Score Math'!E73</f>
        <v>0.30060120240480964</v>
      </c>
      <c r="AQ73">
        <f>'[1]Impact Score Math'!G73</f>
        <v>350</v>
      </c>
      <c r="AT73" s="1">
        <f>'[1]Forward Ranks'!CJ73</f>
        <v>0.1943231441048035</v>
      </c>
      <c r="AU73" s="1">
        <f>'[1]Forward Ranks'!CK73</f>
        <v>0.66375545851528384</v>
      </c>
    </row>
    <row r="74" spans="1:47" x14ac:dyDescent="0.3">
      <c r="A74" t="str">
        <f>'[1]Forward Ranks'!A74</f>
        <v>Casey Mittelstadt</v>
      </c>
      <c r="B74">
        <f>'[1]Forward Ranks'!D74</f>
        <v>0</v>
      </c>
      <c r="C74" s="1">
        <f>'[1]Forward Ranks'!I74</f>
        <v>0.59388646288209612</v>
      </c>
      <c r="D74" s="1">
        <f>'[1]Forward Ranks'!J74</f>
        <v>0.26419213973799127</v>
      </c>
      <c r="E74" s="1">
        <f>'[1]Forward Ranks'!K74</f>
        <v>0.81441048034934493</v>
      </c>
      <c r="F74" s="1">
        <f>'[1]Forward Ranks'!L74</f>
        <v>0.44323144104803491</v>
      </c>
      <c r="G74">
        <f>'[1]Forward Ranks'!N74</f>
        <v>0</v>
      </c>
      <c r="H74" s="1">
        <f>'[1]Forward Ranks'!S74</f>
        <v>0.30786026200873362</v>
      </c>
      <c r="I74" s="1">
        <f>'[1]Forward Ranks'!T74</f>
        <v>0.97379912663755464</v>
      </c>
      <c r="J74" s="1">
        <f>'[1]Forward Ranks'!U74</f>
        <v>0.98908296943231444</v>
      </c>
      <c r="K74" s="1">
        <f>'[1]Forward Ranks'!V74</f>
        <v>0.86244541484716153</v>
      </c>
      <c r="L74">
        <f>'[1]Forward Ranks'!X74</f>
        <v>0</v>
      </c>
      <c r="M74" s="1">
        <f>'[1]Forward Ranks'!AC74</f>
        <v>0.46943231441048033</v>
      </c>
      <c r="N74" s="1">
        <f>'[1]Forward Ranks'!AD74</f>
        <v>0.25109170305676853</v>
      </c>
      <c r="O74" s="1">
        <f>'[1]Forward Ranks'!AE74</f>
        <v>0.16812227074235808</v>
      </c>
      <c r="P74" s="1">
        <f>'[1]Forward Ranks'!AF74</f>
        <v>0.31441048034934499</v>
      </c>
      <c r="Q74">
        <f>'[1]Forward Ranks'!AH74</f>
        <v>0</v>
      </c>
      <c r="R74" s="1">
        <f>'[1]Forward Ranks'!AM74</f>
        <v>0.49563318777292575</v>
      </c>
      <c r="S74" s="1">
        <f>'[1]Forward Ranks'!AN74</f>
        <v>0.16593886462882096</v>
      </c>
      <c r="T74" s="1">
        <f>'[1]Forward Ranks'!AO74</f>
        <v>0.63973799126637554</v>
      </c>
      <c r="U74" s="1">
        <f>'[1]Forward Ranks'!AP74</f>
        <v>0.31004366812227074</v>
      </c>
      <c r="V74">
        <f>'[1]Forward Ranks'!AR74</f>
        <v>0</v>
      </c>
      <c r="W74" s="1">
        <f>'[1]Forward Ranks'!AW74</f>
        <v>0.51310043668122274</v>
      </c>
      <c r="X74" s="1">
        <f>'[1]Forward Ranks'!AX74</f>
        <v>0.5873362445414847</v>
      </c>
      <c r="Y74" s="1">
        <f>'[1]Forward Ranks'!AY74</f>
        <v>0.42794759825327511</v>
      </c>
      <c r="Z74" s="1">
        <f>'[1]Forward Ranks'!AZ74</f>
        <v>0.55240174672489084</v>
      </c>
      <c r="AA74">
        <f>'[1]Forward Ranks'!BB74</f>
        <v>0</v>
      </c>
      <c r="AB74" s="1">
        <f>'[1]Forward Ranks'!BG74</f>
        <v>0.59170305676855894</v>
      </c>
      <c r="AC74" s="1">
        <f>'[1]Forward Ranks'!BH74</f>
        <v>0.51091703056768556</v>
      </c>
      <c r="AD74" s="1">
        <f>'[1]Forward Ranks'!BI74</f>
        <v>0.79257641921397382</v>
      </c>
      <c r="AE74" s="1">
        <f>'[1]Forward Ranks'!BJ74</f>
        <v>0.52183406113537123</v>
      </c>
      <c r="AF74">
        <f>'[1]Forward Ranks'!BL74</f>
        <v>0</v>
      </c>
      <c r="AG74" s="1">
        <f>'[1]Forward Ranks'!BQ74</f>
        <v>0.55021834061135366</v>
      </c>
      <c r="AH74" s="1">
        <f>'[1]Forward Ranks'!BR74</f>
        <v>0.21397379912663755</v>
      </c>
      <c r="AI74" s="1">
        <f>'[1]Forward Ranks'!BS74</f>
        <v>0.48471615720524019</v>
      </c>
      <c r="AJ74" s="1">
        <f>'[1]Forward Ranks'!BT74</f>
        <v>0.36026200873362446</v>
      </c>
      <c r="AL74" s="2">
        <f>'[1]Forward Ranks'!BX74</f>
        <v>0.49126637554585151</v>
      </c>
      <c r="AN74" t="str">
        <f>'[1]Forward Ranks'!B74</f>
        <v>BUF</v>
      </c>
      <c r="AO74">
        <f>'[1]F on ice'!E74</f>
        <v>82</v>
      </c>
      <c r="AP74" s="2">
        <f>'[1]Impact Score Math'!E74</f>
        <v>0.57314629258517036</v>
      </c>
      <c r="AQ74">
        <f>'[1]Impact Score Math'!G74</f>
        <v>214</v>
      </c>
      <c r="AT74" s="1">
        <f>'[1]Forward Ranks'!CJ74</f>
        <v>0.92358078602620086</v>
      </c>
      <c r="AU74" s="1">
        <f>'[1]Forward Ranks'!CK74</f>
        <v>0.45851528384279477</v>
      </c>
    </row>
    <row r="75" spans="1:47" x14ac:dyDescent="0.3">
      <c r="A75" t="str">
        <f>'[1]Forward Ranks'!A75</f>
        <v>Chandler Stephenson</v>
      </c>
      <c r="B75">
        <f>'[1]Forward Ranks'!D75</f>
        <v>0</v>
      </c>
      <c r="C75" s="1">
        <f>'[1]Forward Ranks'!I75</f>
        <v>0.57205240174672489</v>
      </c>
      <c r="D75" s="1">
        <f>'[1]Forward Ranks'!J75</f>
        <v>0.63755458515283847</v>
      </c>
      <c r="E75" s="1">
        <f>'[1]Forward Ranks'!K75</f>
        <v>0.8253275109170306</v>
      </c>
      <c r="F75" s="1">
        <f>'[1]Forward Ranks'!L75</f>
        <v>0.61353711790393017</v>
      </c>
      <c r="G75">
        <f>'[1]Forward Ranks'!N75</f>
        <v>0</v>
      </c>
      <c r="H75" s="1">
        <f>'[1]Forward Ranks'!S75</f>
        <v>0.1222707423580786</v>
      </c>
      <c r="I75" s="1">
        <f>'[1]Forward Ranks'!T75</f>
        <v>0.99563318777292575</v>
      </c>
      <c r="J75" s="1">
        <f>'[1]Forward Ranks'!U75</f>
        <v>0.9759825327510917</v>
      </c>
      <c r="K75" s="1">
        <f>'[1]Forward Ranks'!V75</f>
        <v>0.88427947598253276</v>
      </c>
      <c r="L75">
        <f>'[1]Forward Ranks'!X75</f>
        <v>0</v>
      </c>
      <c r="M75" s="1">
        <f>'[1]Forward Ranks'!AC75</f>
        <v>0.31659388646288211</v>
      </c>
      <c r="N75" s="1">
        <f>'[1]Forward Ranks'!AD75</f>
        <v>0.73144104803493448</v>
      </c>
      <c r="O75" s="1">
        <f>'[1]Forward Ranks'!AE75</f>
        <v>0.61353711790393017</v>
      </c>
      <c r="P75" s="1">
        <f>'[1]Forward Ranks'!AF75</f>
        <v>0.60917030567685593</v>
      </c>
      <c r="Q75">
        <f>'[1]Forward Ranks'!AH75</f>
        <v>0</v>
      </c>
      <c r="R75" s="1">
        <f>'[1]Forward Ranks'!AM75</f>
        <v>0.64410480349344978</v>
      </c>
      <c r="S75" s="1">
        <f>'[1]Forward Ranks'!AN75</f>
        <v>0.58078602620087338</v>
      </c>
      <c r="T75" s="1">
        <f>'[1]Forward Ranks'!AO75</f>
        <v>0.79257641921397382</v>
      </c>
      <c r="U75" s="1">
        <f>'[1]Forward Ranks'!AP75</f>
        <v>0.58951965065502188</v>
      </c>
      <c r="V75">
        <f>'[1]Forward Ranks'!AR75</f>
        <v>0</v>
      </c>
      <c r="W75" s="1">
        <f>'[1]Forward Ranks'!AW75</f>
        <v>0.31659388646288211</v>
      </c>
      <c r="X75" s="1">
        <f>'[1]Forward Ranks'!AX75</f>
        <v>0.45633187772925765</v>
      </c>
      <c r="Y75" s="1">
        <f>'[1]Forward Ranks'!AY75</f>
        <v>0.46724890829694321</v>
      </c>
      <c r="Z75" s="1">
        <f>'[1]Forward Ranks'!AZ75</f>
        <v>0.48034934497816595</v>
      </c>
      <c r="AA75">
        <f>'[1]Forward Ranks'!BB75</f>
        <v>0</v>
      </c>
      <c r="AB75" s="1">
        <f>'[1]Forward Ranks'!BG75</f>
        <v>0.87554585152838427</v>
      </c>
      <c r="AC75" s="1">
        <f>'[1]Forward Ranks'!BH75</f>
        <v>0.49781659388646288</v>
      </c>
      <c r="AD75" s="1">
        <f>'[1]Forward Ranks'!BI75</f>
        <v>0.82096069868995636</v>
      </c>
      <c r="AE75" s="1">
        <f>'[1]Forward Ranks'!BJ75</f>
        <v>0.8493449781659389</v>
      </c>
      <c r="AF75">
        <f>'[1]Forward Ranks'!BL75</f>
        <v>0</v>
      </c>
      <c r="AG75" s="1">
        <f>'[1]Forward Ranks'!BQ75</f>
        <v>0.4606986899563319</v>
      </c>
      <c r="AH75" s="1">
        <f>'[1]Forward Ranks'!BR75</f>
        <v>0.71615720524017468</v>
      </c>
      <c r="AI75" s="1">
        <f>'[1]Forward Ranks'!BS75</f>
        <v>0.82314410480349343</v>
      </c>
      <c r="AJ75" s="1">
        <f>'[1]Forward Ranks'!BT75</f>
        <v>0.64192139737991272</v>
      </c>
      <c r="AL75" s="2">
        <f>'[1]Forward Ranks'!BX75</f>
        <v>0.57423580786026196</v>
      </c>
      <c r="AN75" t="str">
        <f>'[1]Forward Ranks'!B75</f>
        <v>VGK</v>
      </c>
      <c r="AO75">
        <f>'[1]F on ice'!E75</f>
        <v>81</v>
      </c>
      <c r="AP75" s="2">
        <f>'[1]Impact Score Math'!E75</f>
        <v>0.70340681362725455</v>
      </c>
      <c r="AQ75">
        <f>'[1]Impact Score Math'!G75</f>
        <v>149</v>
      </c>
      <c r="AT75" s="1">
        <f>'[1]Forward Ranks'!CJ75</f>
        <v>0.86899563318777295</v>
      </c>
      <c r="AU75" s="1">
        <f>'[1]Forward Ranks'!CK75</f>
        <v>0.5</v>
      </c>
    </row>
    <row r="76" spans="1:47" x14ac:dyDescent="0.3">
      <c r="A76" t="str">
        <f>'[1]Forward Ranks'!A76</f>
        <v>Charlie Coyle</v>
      </c>
      <c r="B76">
        <f>'[1]Forward Ranks'!D76</f>
        <v>0</v>
      </c>
      <c r="C76" s="1">
        <f>'[1]Forward Ranks'!I76</f>
        <v>0.53711790393013104</v>
      </c>
      <c r="D76" s="1">
        <f>'[1]Forward Ranks'!J76</f>
        <v>0.68995633187772931</v>
      </c>
      <c r="E76" s="1">
        <f>'[1]Forward Ranks'!K76</f>
        <v>0.69868995633187769</v>
      </c>
      <c r="F76" s="1">
        <f>'[1]Forward Ranks'!L76</f>
        <v>0.55458515283842791</v>
      </c>
      <c r="G76">
        <f>'[1]Forward Ranks'!N76</f>
        <v>0</v>
      </c>
      <c r="H76" s="1">
        <f>'[1]Forward Ranks'!S76</f>
        <v>0.70960698689956336</v>
      </c>
      <c r="I76" s="1">
        <f>'[1]Forward Ranks'!T76</f>
        <v>0.6266375545851528</v>
      </c>
      <c r="J76" s="1">
        <f>'[1]Forward Ranks'!U76</f>
        <v>0.52183406113537123</v>
      </c>
      <c r="K76" s="1">
        <f>'[1]Forward Ranks'!V76</f>
        <v>0.68122270742358082</v>
      </c>
      <c r="L76">
        <f>'[1]Forward Ranks'!X76</f>
        <v>0</v>
      </c>
      <c r="M76" s="1">
        <f>'[1]Forward Ranks'!AC76</f>
        <v>0.37554585152838427</v>
      </c>
      <c r="N76" s="1">
        <f>'[1]Forward Ranks'!AD76</f>
        <v>0.54803493449781659</v>
      </c>
      <c r="O76" s="1">
        <f>'[1]Forward Ranks'!AE76</f>
        <v>0.9126637554585153</v>
      </c>
      <c r="P76" s="1">
        <f>'[1]Forward Ranks'!AF76</f>
        <v>0.51310043668122274</v>
      </c>
      <c r="Q76">
        <f>'[1]Forward Ranks'!AH76</f>
        <v>0</v>
      </c>
      <c r="R76" s="1">
        <f>'[1]Forward Ranks'!AM76</f>
        <v>0.32532751091703055</v>
      </c>
      <c r="S76" s="1">
        <f>'[1]Forward Ranks'!AN76</f>
        <v>0.52620087336244536</v>
      </c>
      <c r="T76" s="1">
        <f>'[1]Forward Ranks'!AO76</f>
        <v>0.37991266375545851</v>
      </c>
      <c r="U76" s="1">
        <f>'[1]Forward Ranks'!AP76</f>
        <v>0.37772925764192139</v>
      </c>
      <c r="V76">
        <f>'[1]Forward Ranks'!AR76</f>
        <v>0</v>
      </c>
      <c r="W76" s="1">
        <f>'[1]Forward Ranks'!AW76</f>
        <v>0.14847161572052403</v>
      </c>
      <c r="X76" s="1">
        <f>'[1]Forward Ranks'!AX76</f>
        <v>0.26200873362445415</v>
      </c>
      <c r="Y76" s="1">
        <f>'[1]Forward Ranks'!AY76</f>
        <v>0.48034934497816595</v>
      </c>
      <c r="Z76" s="1">
        <f>'[1]Forward Ranks'!AZ76</f>
        <v>0.21179039301310043</v>
      </c>
      <c r="AA76">
        <f>'[1]Forward Ranks'!BB76</f>
        <v>0</v>
      </c>
      <c r="AB76" s="1">
        <f>'[1]Forward Ranks'!BG76</f>
        <v>0.68777292576419213</v>
      </c>
      <c r="AC76" s="1">
        <f>'[1]Forward Ranks'!BH76</f>
        <v>8.7336244541484712E-2</v>
      </c>
      <c r="AD76" s="1">
        <f>'[1]Forward Ranks'!BI76</f>
        <v>0.72707423580786024</v>
      </c>
      <c r="AE76" s="1">
        <f>'[1]Forward Ranks'!BJ76</f>
        <v>0.93013100436681218</v>
      </c>
      <c r="AF76">
        <f>'[1]Forward Ranks'!BL76</f>
        <v>0</v>
      </c>
      <c r="AG76" s="1">
        <f>'[1]Forward Ranks'!BQ76</f>
        <v>0.44541484716157204</v>
      </c>
      <c r="AH76" s="1">
        <f>'[1]Forward Ranks'!BR76</f>
        <v>0.63755458515283847</v>
      </c>
      <c r="AI76" s="1">
        <f>'[1]Forward Ranks'!BS76</f>
        <v>0.91921397379912662</v>
      </c>
      <c r="AJ76" s="1">
        <f>'[1]Forward Ranks'!BT76</f>
        <v>0.56113537117903933</v>
      </c>
      <c r="AL76" s="2">
        <f>'[1]Forward Ranks'!BX76</f>
        <v>0.43013100436681223</v>
      </c>
      <c r="AN76" t="str">
        <f>'[1]Forward Ranks'!B76</f>
        <v>BOS</v>
      </c>
      <c r="AO76">
        <f>'[1]F on ice'!E76</f>
        <v>82</v>
      </c>
      <c r="AP76" s="2">
        <f>'[1]Impact Score Math'!E76</f>
        <v>0.54509018036072143</v>
      </c>
      <c r="AQ76">
        <f>'[1]Impact Score Math'!G76</f>
        <v>228</v>
      </c>
      <c r="AT76" s="1">
        <f>'[1]Forward Ranks'!CJ76</f>
        <v>0.50218340611353707</v>
      </c>
      <c r="AU76" s="1">
        <f>'[1]Forward Ranks'!CK76</f>
        <v>0.70305676855895194</v>
      </c>
    </row>
    <row r="77" spans="1:47" x14ac:dyDescent="0.3">
      <c r="A77" t="str">
        <f>'[1]Forward Ranks'!A77</f>
        <v>Chris Kreider</v>
      </c>
      <c r="B77">
        <f>'[1]Forward Ranks'!D77</f>
        <v>0</v>
      </c>
      <c r="C77" s="1">
        <f>'[1]Forward Ranks'!I77</f>
        <v>0.68122270742358082</v>
      </c>
      <c r="D77" s="1">
        <f>'[1]Forward Ranks'!J77</f>
        <v>0.71615720524017468</v>
      </c>
      <c r="E77" s="1">
        <f>'[1]Forward Ranks'!K77</f>
        <v>0.70524017467248912</v>
      </c>
      <c r="F77" s="1">
        <f>'[1]Forward Ranks'!L77</f>
        <v>0.69868995633187769</v>
      </c>
      <c r="G77">
        <f>'[1]Forward Ranks'!N77</f>
        <v>0</v>
      </c>
      <c r="H77" s="1">
        <f>'[1]Forward Ranks'!S77</f>
        <v>0.87991266375545851</v>
      </c>
      <c r="I77" s="1">
        <f>'[1]Forward Ranks'!T77</f>
        <v>0.14410480349344978</v>
      </c>
      <c r="J77" s="1">
        <f>'[1]Forward Ranks'!U77</f>
        <v>0.23580786026200873</v>
      </c>
      <c r="K77" s="1">
        <f>'[1]Forward Ranks'!V77</f>
        <v>0.55240174672489084</v>
      </c>
      <c r="L77">
        <f>'[1]Forward Ranks'!X77</f>
        <v>0</v>
      </c>
      <c r="M77" s="1">
        <f>'[1]Forward Ranks'!AC77</f>
        <v>0.67030567685589515</v>
      </c>
      <c r="N77" s="1">
        <f>'[1]Forward Ranks'!AD77</f>
        <v>0.4126637554585153</v>
      </c>
      <c r="O77" s="1">
        <f>'[1]Forward Ranks'!AE77</f>
        <v>0.92139737991266379</v>
      </c>
      <c r="P77" s="1">
        <f>'[1]Forward Ranks'!AF77</f>
        <v>0.5873362445414847</v>
      </c>
      <c r="Q77">
        <f>'[1]Forward Ranks'!AH77</f>
        <v>0</v>
      </c>
      <c r="R77" s="1">
        <f>'[1]Forward Ranks'!AM77</f>
        <v>0.83406113537117899</v>
      </c>
      <c r="S77" s="1">
        <f>'[1]Forward Ranks'!AN77</f>
        <v>0.79257641921397382</v>
      </c>
      <c r="T77" s="1">
        <f>'[1]Forward Ranks'!AO77</f>
        <v>0.611353711790393</v>
      </c>
      <c r="U77" s="1">
        <f>'[1]Forward Ranks'!AP77</f>
        <v>0.79257641921397382</v>
      </c>
      <c r="V77">
        <f>'[1]Forward Ranks'!AR77</f>
        <v>0</v>
      </c>
      <c r="W77" s="1">
        <f>'[1]Forward Ranks'!AW77</f>
        <v>0.51965065502183405</v>
      </c>
      <c r="X77" s="1">
        <f>'[1]Forward Ranks'!AX77</f>
        <v>0.59825327510917026</v>
      </c>
      <c r="Y77" s="1">
        <f>'[1]Forward Ranks'!AY77</f>
        <v>0.91484716157205237</v>
      </c>
      <c r="Z77" s="1">
        <f>'[1]Forward Ranks'!AZ77</f>
        <v>0.68995633187772931</v>
      </c>
      <c r="AA77">
        <f>'[1]Forward Ranks'!BB77</f>
        <v>0</v>
      </c>
      <c r="AB77" s="1">
        <f>'[1]Forward Ranks'!BG77</f>
        <v>0.5873362445414847</v>
      </c>
      <c r="AC77" s="1">
        <f>'[1]Forward Ranks'!BH77</f>
        <v>0.39082969432314413</v>
      </c>
      <c r="AD77" s="1">
        <f>'[1]Forward Ranks'!BI77</f>
        <v>0.66375545851528384</v>
      </c>
      <c r="AE77" s="1">
        <f>'[1]Forward Ranks'!BJ77</f>
        <v>0.89301310043668125</v>
      </c>
      <c r="AF77">
        <f>'[1]Forward Ranks'!BL77</f>
        <v>0</v>
      </c>
      <c r="AG77" s="1">
        <f>'[1]Forward Ranks'!BQ77</f>
        <v>0.71179039301310043</v>
      </c>
      <c r="AH77" s="1">
        <f>'[1]Forward Ranks'!BR77</f>
        <v>0.59388646288209612</v>
      </c>
      <c r="AI77" s="1">
        <f>'[1]Forward Ranks'!BS77</f>
        <v>0.94323144104803491</v>
      </c>
      <c r="AJ77" s="1">
        <f>'[1]Forward Ranks'!BT77</f>
        <v>0.69868995633187769</v>
      </c>
      <c r="AL77" s="2">
        <f>'[1]Forward Ranks'!BX77</f>
        <v>0.78820960698689957</v>
      </c>
      <c r="AN77" t="str">
        <f>'[1]Forward Ranks'!B77</f>
        <v>NYR</v>
      </c>
      <c r="AO77">
        <f>'[1]F on ice'!E77</f>
        <v>79</v>
      </c>
      <c r="AP77" s="2">
        <f>'[1]Impact Score Math'!E77</f>
        <v>0.79559118236472948</v>
      </c>
      <c r="AQ77">
        <f>'[1]Impact Score Math'!G77</f>
        <v>103</v>
      </c>
      <c r="AT77" s="1">
        <f>'[1]Forward Ranks'!CJ77</f>
        <v>0.75327510917030571</v>
      </c>
      <c r="AU77" s="1">
        <f>'[1]Forward Ranks'!CK77</f>
        <v>0.16157205240174671</v>
      </c>
    </row>
    <row r="78" spans="1:47" x14ac:dyDescent="0.3">
      <c r="A78" t="str">
        <f>'[1]Forward Ranks'!A78</f>
        <v>Chris Tierney</v>
      </c>
      <c r="B78">
        <f>'[1]Forward Ranks'!D78</f>
        <v>0</v>
      </c>
      <c r="C78" s="1">
        <f>'[1]Forward Ranks'!I78</f>
        <v>6.5502183406113537E-2</v>
      </c>
      <c r="D78" s="1">
        <f>'[1]Forward Ranks'!J78</f>
        <v>2.6200873362445413E-2</v>
      </c>
      <c r="E78" s="1">
        <f>'[1]Forward Ranks'!K78</f>
        <v>0.66812227074235808</v>
      </c>
      <c r="F78" s="1">
        <f>'[1]Forward Ranks'!L78</f>
        <v>1.9650655021834062E-2</v>
      </c>
      <c r="G78">
        <f>'[1]Forward Ranks'!N78</f>
        <v>0</v>
      </c>
      <c r="H78" s="1">
        <f>'[1]Forward Ranks'!S78</f>
        <v>0.32096069868995636</v>
      </c>
      <c r="I78" s="1">
        <f>'[1]Forward Ranks'!T78</f>
        <v>0.61353711790393017</v>
      </c>
      <c r="J78" s="1">
        <f>'[1]Forward Ranks'!U78</f>
        <v>0.48034934497816595</v>
      </c>
      <c r="K78" s="1">
        <f>'[1]Forward Ranks'!V78</f>
        <v>0.49344978165938863</v>
      </c>
      <c r="L78">
        <f>'[1]Forward Ranks'!X78</f>
        <v>0</v>
      </c>
      <c r="M78" s="1">
        <f>'[1]Forward Ranks'!AC78</f>
        <v>0.21179039301310043</v>
      </c>
      <c r="N78" s="1">
        <f>'[1]Forward Ranks'!AD78</f>
        <v>0.21615720524017468</v>
      </c>
      <c r="O78" s="1">
        <f>'[1]Forward Ranks'!AE78</f>
        <v>2.1834061135371178E-3</v>
      </c>
      <c r="P78" s="1">
        <f>'[1]Forward Ranks'!AF78</f>
        <v>0.16157205240174671</v>
      </c>
      <c r="Q78">
        <f>'[1]Forward Ranks'!AH78</f>
        <v>0</v>
      </c>
      <c r="R78" s="1">
        <f>'[1]Forward Ranks'!AM78</f>
        <v>3.4934497816593885E-2</v>
      </c>
      <c r="S78" s="1">
        <f>'[1]Forward Ranks'!AN78</f>
        <v>2.4017467248908297E-2</v>
      </c>
      <c r="T78" s="1">
        <f>'[1]Forward Ranks'!AO78</f>
        <v>0.46724890829694321</v>
      </c>
      <c r="U78" s="1">
        <f>'[1]Forward Ranks'!AP78</f>
        <v>8.7336244541484712E-3</v>
      </c>
      <c r="V78">
        <f>'[1]Forward Ranks'!AR78</f>
        <v>0</v>
      </c>
      <c r="W78" s="1">
        <f>'[1]Forward Ranks'!AW78</f>
        <v>0.35807860262008734</v>
      </c>
      <c r="X78" s="1">
        <f>'[1]Forward Ranks'!AX78</f>
        <v>0.85152838427947597</v>
      </c>
      <c r="Y78" s="1">
        <f>'[1]Forward Ranks'!AY78</f>
        <v>6.5502183406113534E-3</v>
      </c>
      <c r="Z78" s="1">
        <f>'[1]Forward Ranks'!AZ78</f>
        <v>0.51965065502183405</v>
      </c>
      <c r="AA78">
        <f>'[1]Forward Ranks'!BB78</f>
        <v>0</v>
      </c>
      <c r="AB78" s="1">
        <f>'[1]Forward Ranks'!BG78</f>
        <v>9.1703056768558958E-2</v>
      </c>
      <c r="AC78" s="1">
        <f>'[1]Forward Ranks'!BH78</f>
        <v>0.34716157205240172</v>
      </c>
      <c r="AD78" s="1">
        <f>'[1]Forward Ranks'!BI78</f>
        <v>0.91921397379912662</v>
      </c>
      <c r="AE78" s="1">
        <f>'[1]Forward Ranks'!BJ78</f>
        <v>0.18995633187772926</v>
      </c>
      <c r="AF78">
        <f>'[1]Forward Ranks'!BL78</f>
        <v>0</v>
      </c>
      <c r="AG78" s="1">
        <f>'[1]Forward Ranks'!BQ78</f>
        <v>8.7336244541484712E-2</v>
      </c>
      <c r="AH78" s="1">
        <f>'[1]Forward Ranks'!BR78</f>
        <v>3.0567685589519649E-2</v>
      </c>
      <c r="AI78" s="1">
        <f>'[1]Forward Ranks'!BS78</f>
        <v>0.12663755458515283</v>
      </c>
      <c r="AJ78" s="1">
        <f>'[1]Forward Ranks'!BT78</f>
        <v>1.7467248908296942E-2</v>
      </c>
      <c r="AL78" s="2">
        <f>'[1]Forward Ranks'!BX78</f>
        <v>4.148471615720524E-2</v>
      </c>
      <c r="AN78" t="str">
        <f>'[1]Forward Ranks'!B78</f>
        <v>FLA, MTL</v>
      </c>
      <c r="AO78">
        <f>'[1]F on ice'!E78</f>
        <v>36</v>
      </c>
      <c r="AP78" s="2">
        <f>'[1]Impact Score Math'!E78</f>
        <v>0.11022044088176353</v>
      </c>
      <c r="AQ78">
        <f>'[1]Impact Score Math'!G78</f>
        <v>445</v>
      </c>
      <c r="AT78" s="1">
        <f>'[1]Forward Ranks'!CJ78</f>
        <v>0.68995633187772931</v>
      </c>
      <c r="AU78" s="1">
        <f>'[1]Forward Ranks'!CK78</f>
        <v>8.7336244541484712E-3</v>
      </c>
    </row>
    <row r="79" spans="1:47" x14ac:dyDescent="0.3">
      <c r="A79" t="str">
        <f>'[1]Forward Ranks'!A79</f>
        <v>Christian Dvorak</v>
      </c>
      <c r="B79">
        <f>'[1]Forward Ranks'!D79</f>
        <v>0</v>
      </c>
      <c r="C79" s="1">
        <f>'[1]Forward Ranks'!I79</f>
        <v>0.11353711790393013</v>
      </c>
      <c r="D79" s="1">
        <f>'[1]Forward Ranks'!J79</f>
        <v>0.25982532751091703</v>
      </c>
      <c r="E79" s="1">
        <f>'[1]Forward Ranks'!K79</f>
        <v>0.20524017467248909</v>
      </c>
      <c r="F79" s="1">
        <f>'[1]Forward Ranks'!L79</f>
        <v>0.15283842794759825</v>
      </c>
      <c r="G79">
        <f>'[1]Forward Ranks'!N79</f>
        <v>0</v>
      </c>
      <c r="H79" s="1">
        <f>'[1]Forward Ranks'!S79</f>
        <v>0.23144104803493451</v>
      </c>
      <c r="I79" s="1">
        <f>'[1]Forward Ranks'!T79</f>
        <v>0.56986899563318782</v>
      </c>
      <c r="J79" s="1">
        <f>'[1]Forward Ranks'!U79</f>
        <v>0.11572052401746726</v>
      </c>
      <c r="K79" s="1">
        <f>'[1]Forward Ranks'!V79</f>
        <v>0.38209606986899564</v>
      </c>
      <c r="L79">
        <f>'[1]Forward Ranks'!X79</f>
        <v>0</v>
      </c>
      <c r="M79" s="1">
        <f>'[1]Forward Ranks'!AC79</f>
        <v>0.11135371179039301</v>
      </c>
      <c r="N79" s="1">
        <f>'[1]Forward Ranks'!AD79</f>
        <v>9.3886462882096067E-2</v>
      </c>
      <c r="O79" s="1">
        <f>'[1]Forward Ranks'!AE79</f>
        <v>0.26419213973799127</v>
      </c>
      <c r="P79" s="1">
        <f>'[1]Forward Ranks'!AF79</f>
        <v>3.7117903930131008E-2</v>
      </c>
      <c r="Q79">
        <f>'[1]Forward Ranks'!AH79</f>
        <v>0</v>
      </c>
      <c r="R79" s="1">
        <f>'[1]Forward Ranks'!AM79</f>
        <v>0.33187772925764192</v>
      </c>
      <c r="S79" s="1">
        <f>'[1]Forward Ranks'!AN79</f>
        <v>0.52620087336244536</v>
      </c>
      <c r="T79" s="1">
        <f>'[1]Forward Ranks'!AO79</f>
        <v>0.23144104803493451</v>
      </c>
      <c r="U79" s="1">
        <f>'[1]Forward Ranks'!AP79</f>
        <v>0.34934497816593885</v>
      </c>
      <c r="V79">
        <f>'[1]Forward Ranks'!AR79</f>
        <v>0</v>
      </c>
      <c r="W79" s="1">
        <f>'[1]Forward Ranks'!AW79</f>
        <v>9.8253275109170299E-2</v>
      </c>
      <c r="X79" s="1">
        <f>'[1]Forward Ranks'!AX79</f>
        <v>0.2816593886462882</v>
      </c>
      <c r="Y79" s="1">
        <f>'[1]Forward Ranks'!AY79</f>
        <v>0.46288209606986902</v>
      </c>
      <c r="Z79" s="1">
        <f>'[1]Forward Ranks'!AZ79</f>
        <v>0.11572052401746726</v>
      </c>
      <c r="AA79">
        <f>'[1]Forward Ranks'!BB79</f>
        <v>0</v>
      </c>
      <c r="AB79" s="1">
        <f>'[1]Forward Ranks'!BG79</f>
        <v>0.50218340611353707</v>
      </c>
      <c r="AC79" s="1">
        <f>'[1]Forward Ranks'!BH79</f>
        <v>0.15065502183406113</v>
      </c>
      <c r="AD79" s="1">
        <f>'[1]Forward Ranks'!BI79</f>
        <v>0.32314410480349343</v>
      </c>
      <c r="AE79" s="1">
        <f>'[1]Forward Ranks'!BJ79</f>
        <v>0.27510917030567683</v>
      </c>
      <c r="AF79">
        <f>'[1]Forward Ranks'!BL79</f>
        <v>0</v>
      </c>
      <c r="AG79" s="1">
        <f>'[1]Forward Ranks'!BQ79</f>
        <v>8.296943231441048E-2</v>
      </c>
      <c r="AH79" s="1">
        <f>'[1]Forward Ranks'!BR79</f>
        <v>0.12663755458515283</v>
      </c>
      <c r="AI79" s="1">
        <f>'[1]Forward Ranks'!BS79</f>
        <v>0.14192139737991266</v>
      </c>
      <c r="AJ79" s="1">
        <f>'[1]Forward Ranks'!BT79</f>
        <v>5.6768558951965066E-2</v>
      </c>
      <c r="AL79" s="2">
        <f>'[1]Forward Ranks'!BX79</f>
        <v>4.5851528384279479E-2</v>
      </c>
      <c r="AN79" t="str">
        <f>'[1]Forward Ranks'!B79</f>
        <v>MTL</v>
      </c>
      <c r="AO79">
        <f>'[1]F on ice'!E79</f>
        <v>64</v>
      </c>
      <c r="AP79" s="2">
        <f>'[1]Impact Score Math'!E79</f>
        <v>0.14829659318637275</v>
      </c>
      <c r="AQ79">
        <f>'[1]Impact Score Math'!G79</f>
        <v>426</v>
      </c>
      <c r="AT79" s="1">
        <f>'[1]Forward Ranks'!CJ79</f>
        <v>0.92358078602620086</v>
      </c>
      <c r="AU79" s="1">
        <f>'[1]Forward Ranks'!CK79</f>
        <v>0.14410480349344978</v>
      </c>
    </row>
    <row r="80" spans="1:47" x14ac:dyDescent="0.3">
      <c r="A80" t="str">
        <f>'[1]Forward Ranks'!A80</f>
        <v>Christian Fischer</v>
      </c>
      <c r="B80">
        <f>'[1]Forward Ranks'!D80</f>
        <v>0</v>
      </c>
      <c r="C80" s="1">
        <f>'[1]Forward Ranks'!I80</f>
        <v>6.9868995633187769E-2</v>
      </c>
      <c r="D80" s="1">
        <f>'[1]Forward Ranks'!J80</f>
        <v>0.22270742358078602</v>
      </c>
      <c r="E80" s="1">
        <f>'[1]Forward Ranks'!K80</f>
        <v>0.19868995633187772</v>
      </c>
      <c r="F80" s="1">
        <f>'[1]Forward Ranks'!L80</f>
        <v>0.1331877729257642</v>
      </c>
      <c r="G80">
        <f>'[1]Forward Ranks'!N80</f>
        <v>0</v>
      </c>
      <c r="H80" s="1">
        <f>'[1]Forward Ranks'!S80</f>
        <v>0.55676855895196509</v>
      </c>
      <c r="I80" s="1">
        <f>'[1]Forward Ranks'!T80</f>
        <v>0.1943231441048035</v>
      </c>
      <c r="J80" s="1">
        <f>'[1]Forward Ranks'!U80</f>
        <v>0.34934497816593885</v>
      </c>
      <c r="K80" s="1">
        <f>'[1]Forward Ranks'!V80</f>
        <v>0.27947598253275108</v>
      </c>
      <c r="L80">
        <f>'[1]Forward Ranks'!X80</f>
        <v>0</v>
      </c>
      <c r="M80" s="1">
        <f>'[1]Forward Ranks'!AC80</f>
        <v>0.16157205240174671</v>
      </c>
      <c r="N80" s="1">
        <f>'[1]Forward Ranks'!AD80</f>
        <v>0.22707423580786026</v>
      </c>
      <c r="O80" s="1">
        <f>'[1]Forward Ranks'!AE80</f>
        <v>0.48908296943231439</v>
      </c>
      <c r="P80" s="1">
        <f>'[1]Forward Ranks'!AF80</f>
        <v>0.21179039301310043</v>
      </c>
      <c r="Q80">
        <f>'[1]Forward Ranks'!AH80</f>
        <v>0</v>
      </c>
      <c r="R80" s="1">
        <f>'[1]Forward Ranks'!AM80</f>
        <v>0.29912663755458513</v>
      </c>
      <c r="S80" s="1">
        <f>'[1]Forward Ranks'!AN80</f>
        <v>0.51965065502183405</v>
      </c>
      <c r="T80" s="1">
        <f>'[1]Forward Ranks'!AO80</f>
        <v>0.26200873362445415</v>
      </c>
      <c r="U80" s="1">
        <f>'[1]Forward Ranks'!AP80</f>
        <v>0.40174672489082969</v>
      </c>
      <c r="V80">
        <f>'[1]Forward Ranks'!AR80</f>
        <v>0</v>
      </c>
      <c r="W80" s="1">
        <f>'[1]Forward Ranks'!AW80</f>
        <v>0.30786026200873362</v>
      </c>
      <c r="X80" s="1">
        <f>'[1]Forward Ranks'!AX80</f>
        <v>0.33406113537117904</v>
      </c>
      <c r="Y80" s="1">
        <f>'[1]Forward Ranks'!AY80</f>
        <v>0.67030567685589515</v>
      </c>
      <c r="Z80" s="1">
        <f>'[1]Forward Ranks'!AZ80</f>
        <v>0.30131004366812225</v>
      </c>
      <c r="AA80">
        <f>'[1]Forward Ranks'!BB80</f>
        <v>0</v>
      </c>
      <c r="AB80" s="1">
        <f>'[1]Forward Ranks'!BG80</f>
        <v>0.43013100436681223</v>
      </c>
      <c r="AC80" s="1">
        <f>'[1]Forward Ranks'!BH80</f>
        <v>0.2423580786026201</v>
      </c>
      <c r="AD80" s="1">
        <f>'[1]Forward Ranks'!BI80</f>
        <v>0.37117903930131002</v>
      </c>
      <c r="AE80" s="1">
        <f>'[1]Forward Ranks'!BJ80</f>
        <v>0.57860262008733621</v>
      </c>
      <c r="AF80">
        <f>'[1]Forward Ranks'!BL80</f>
        <v>0</v>
      </c>
      <c r="AG80" s="1">
        <f>'[1]Forward Ranks'!BQ80</f>
        <v>7.8602620087336247E-2</v>
      </c>
      <c r="AH80" s="1">
        <f>'[1]Forward Ranks'!BR80</f>
        <v>0.18777292576419213</v>
      </c>
      <c r="AI80" s="1">
        <f>'[1]Forward Ranks'!BS80</f>
        <v>0.21615720524017468</v>
      </c>
      <c r="AJ80" s="1">
        <f>'[1]Forward Ranks'!BT80</f>
        <v>0.12445414847161572</v>
      </c>
      <c r="AL80" s="2">
        <f>'[1]Forward Ranks'!BX80</f>
        <v>8.9519650655021835E-2</v>
      </c>
      <c r="AN80" t="str">
        <f>'[1]Forward Ranks'!B80</f>
        <v>ARI</v>
      </c>
      <c r="AO80">
        <f>'[1]F on ice'!E80</f>
        <v>80</v>
      </c>
      <c r="AP80" s="2">
        <f>'[1]Impact Score Math'!E80</f>
        <v>0.18637274549098196</v>
      </c>
      <c r="AQ80">
        <f>'[1]Impact Score Math'!G80</f>
        <v>407</v>
      </c>
      <c r="AT80" s="1">
        <f>'[1]Forward Ranks'!CJ80</f>
        <v>0.6506550218340611</v>
      </c>
      <c r="AU80" s="1">
        <f>'[1]Forward Ranks'!CK80</f>
        <v>0.34497816593886466</v>
      </c>
    </row>
    <row r="81" spans="1:47" x14ac:dyDescent="0.3">
      <c r="A81" t="str">
        <f>'[1]Forward Ranks'!A81</f>
        <v>Claude Giroux</v>
      </c>
      <c r="B81">
        <f>'[1]Forward Ranks'!D81</f>
        <v>0</v>
      </c>
      <c r="C81" s="1">
        <f>'[1]Forward Ranks'!I81</f>
        <v>0.9606986899563319</v>
      </c>
      <c r="D81" s="1">
        <f>'[1]Forward Ranks'!J81</f>
        <v>0.89301310043668125</v>
      </c>
      <c r="E81" s="1">
        <f>'[1]Forward Ranks'!K81</f>
        <v>0.75764192139737996</v>
      </c>
      <c r="F81" s="1">
        <f>'[1]Forward Ranks'!L81</f>
        <v>0.92794759825327511</v>
      </c>
      <c r="G81">
        <f>'[1]Forward Ranks'!N81</f>
        <v>0</v>
      </c>
      <c r="H81" s="1">
        <f>'[1]Forward Ranks'!S81</f>
        <v>0.93013100436681218</v>
      </c>
      <c r="I81" s="1">
        <f>'[1]Forward Ranks'!T81</f>
        <v>0.56986899563318782</v>
      </c>
      <c r="J81" s="1">
        <f>'[1]Forward Ranks'!U81</f>
        <v>0.72925764192139741</v>
      </c>
      <c r="K81" s="1">
        <f>'[1]Forward Ranks'!V81</f>
        <v>0.84061135371179041</v>
      </c>
      <c r="L81">
        <f>'[1]Forward Ranks'!X81</f>
        <v>0</v>
      </c>
      <c r="M81" s="1">
        <f>'[1]Forward Ranks'!AC81</f>
        <v>0.55021834061135366</v>
      </c>
      <c r="N81" s="1">
        <f>'[1]Forward Ranks'!AD81</f>
        <v>0.40611353711790393</v>
      </c>
      <c r="O81" s="1">
        <f>'[1]Forward Ranks'!AE81</f>
        <v>0.27510917030567683</v>
      </c>
      <c r="P81" s="1">
        <f>'[1]Forward Ranks'!AF81</f>
        <v>0.4606986899563319</v>
      </c>
      <c r="Q81">
        <f>'[1]Forward Ranks'!AH81</f>
        <v>0</v>
      </c>
      <c r="R81" s="1">
        <f>'[1]Forward Ranks'!AM81</f>
        <v>0.9759825327510917</v>
      </c>
      <c r="S81" s="1">
        <f>'[1]Forward Ranks'!AN81</f>
        <v>0.9366812227074236</v>
      </c>
      <c r="T81" s="1">
        <f>'[1]Forward Ranks'!AO81</f>
        <v>0.87117903930131002</v>
      </c>
      <c r="U81" s="1">
        <f>'[1]Forward Ranks'!AP81</f>
        <v>0.96724890829694321</v>
      </c>
      <c r="V81">
        <f>'[1]Forward Ranks'!AR81</f>
        <v>0</v>
      </c>
      <c r="W81" s="1">
        <f>'[1]Forward Ranks'!AW81</f>
        <v>0.51310043668122274</v>
      </c>
      <c r="X81" s="1">
        <f>'[1]Forward Ranks'!AX81</f>
        <v>0.32751091703056767</v>
      </c>
      <c r="Y81" s="1">
        <f>'[1]Forward Ranks'!AY81</f>
        <v>0.40611353711790393</v>
      </c>
      <c r="Z81" s="1">
        <f>'[1]Forward Ranks'!AZ81</f>
        <v>0.44978165938864628</v>
      </c>
      <c r="AA81">
        <f>'[1]Forward Ranks'!BB81</f>
        <v>0</v>
      </c>
      <c r="AB81" s="1">
        <f>'[1]Forward Ranks'!BG81</f>
        <v>0.86681222707423577</v>
      </c>
      <c r="AC81" s="1">
        <f>'[1]Forward Ranks'!BH81</f>
        <v>0.64410480349344978</v>
      </c>
      <c r="AD81" s="1">
        <f>'[1]Forward Ranks'!BI81</f>
        <v>0.44978165938864628</v>
      </c>
      <c r="AE81" s="1">
        <f>'[1]Forward Ranks'!BJ81</f>
        <v>0.27510917030567683</v>
      </c>
      <c r="AF81">
        <f>'[1]Forward Ranks'!BL81</f>
        <v>0</v>
      </c>
      <c r="AG81" s="1">
        <f>'[1]Forward Ranks'!BQ81</f>
        <v>0.92358078602620086</v>
      </c>
      <c r="AH81" s="1">
        <f>'[1]Forward Ranks'!BR81</f>
        <v>0.80786026200873362</v>
      </c>
      <c r="AI81" s="1">
        <f>'[1]Forward Ranks'!BS81</f>
        <v>0.54585152838427953</v>
      </c>
      <c r="AJ81" s="1">
        <f>'[1]Forward Ranks'!BT81</f>
        <v>0.89519650655021832</v>
      </c>
      <c r="AL81" s="2">
        <f>'[1]Forward Ranks'!BX81</f>
        <v>0.94759825327510916</v>
      </c>
      <c r="AN81" t="str">
        <f>'[1]Forward Ranks'!B81</f>
        <v>OTT</v>
      </c>
      <c r="AO81">
        <f>'[1]F on ice'!E81</f>
        <v>82</v>
      </c>
      <c r="AP81" s="2">
        <f>'[1]Impact Score Math'!E81</f>
        <v>0.96192384769539074</v>
      </c>
      <c r="AQ81">
        <f>'[1]Impact Score Math'!G81</f>
        <v>20</v>
      </c>
      <c r="AT81" s="1">
        <f>'[1]Forward Ranks'!CJ81</f>
        <v>0.48689956331877732</v>
      </c>
      <c r="AU81" s="1">
        <f>'[1]Forward Ranks'!CK81</f>
        <v>0.60043668122270744</v>
      </c>
    </row>
    <row r="82" spans="1:47" x14ac:dyDescent="0.3">
      <c r="A82" t="str">
        <f>'[1]Forward Ranks'!A82</f>
        <v>Clayton Keller</v>
      </c>
      <c r="B82">
        <f>'[1]Forward Ranks'!D82</f>
        <v>0</v>
      </c>
      <c r="C82" s="1">
        <f>'[1]Forward Ranks'!I82</f>
        <v>0.40829694323144106</v>
      </c>
      <c r="D82" s="1">
        <f>'[1]Forward Ranks'!J82</f>
        <v>0.32314410480349343</v>
      </c>
      <c r="E82" s="1">
        <f>'[1]Forward Ranks'!K82</f>
        <v>0.76855895196506552</v>
      </c>
      <c r="F82" s="1">
        <f>'[1]Forward Ranks'!L82</f>
        <v>0.40611353711790393</v>
      </c>
      <c r="G82">
        <f>'[1]Forward Ranks'!N82</f>
        <v>0</v>
      </c>
      <c r="H82" s="1">
        <f>'[1]Forward Ranks'!S82</f>
        <v>0.86244541484716153</v>
      </c>
      <c r="I82" s="1">
        <f>'[1]Forward Ranks'!T82</f>
        <v>0.8493449781659389</v>
      </c>
      <c r="J82" s="1">
        <f>'[1]Forward Ranks'!U82</f>
        <v>0.95633187772925765</v>
      </c>
      <c r="K82" s="1">
        <f>'[1]Forward Ranks'!V82</f>
        <v>0.92576419213973804</v>
      </c>
      <c r="L82">
        <f>'[1]Forward Ranks'!X82</f>
        <v>0</v>
      </c>
      <c r="M82" s="1">
        <f>'[1]Forward Ranks'!AC82</f>
        <v>0.47161572052401746</v>
      </c>
      <c r="N82" s="1">
        <f>'[1]Forward Ranks'!AD82</f>
        <v>0.2816593886462882</v>
      </c>
      <c r="O82" s="1">
        <f>'[1]Forward Ranks'!AE82</f>
        <v>0.24454148471615719</v>
      </c>
      <c r="P82" s="1">
        <f>'[1]Forward Ranks'!AF82</f>
        <v>0.26200873362445415</v>
      </c>
      <c r="Q82">
        <f>'[1]Forward Ranks'!AH82</f>
        <v>0</v>
      </c>
      <c r="R82" s="1">
        <f>'[1]Forward Ranks'!AM82</f>
        <v>0.888646288209607</v>
      </c>
      <c r="S82" s="1">
        <f>'[1]Forward Ranks'!AN82</f>
        <v>0.72270742358078599</v>
      </c>
      <c r="T82" s="1">
        <f>'[1]Forward Ranks'!AO82</f>
        <v>0.93013100436681218</v>
      </c>
      <c r="U82" s="1">
        <f>'[1]Forward Ranks'!AP82</f>
        <v>0.83842794759825323</v>
      </c>
      <c r="V82">
        <f>'[1]Forward Ranks'!AR82</f>
        <v>0</v>
      </c>
      <c r="W82" s="1">
        <f>'[1]Forward Ranks'!AW82</f>
        <v>0.90174672489082974</v>
      </c>
      <c r="X82" s="1">
        <f>'[1]Forward Ranks'!AX82</f>
        <v>0.48689956331877732</v>
      </c>
      <c r="Y82" s="1">
        <f>'[1]Forward Ranks'!AY82</f>
        <v>0.28602620087336245</v>
      </c>
      <c r="Z82" s="1">
        <f>'[1]Forward Ranks'!AZ82</f>
        <v>0.39956331877729256</v>
      </c>
      <c r="AA82">
        <f>'[1]Forward Ranks'!BB82</f>
        <v>0</v>
      </c>
      <c r="AB82" s="1">
        <f>'[1]Forward Ranks'!BG82</f>
        <v>0.99126637554585151</v>
      </c>
      <c r="AC82" s="1">
        <f>'[1]Forward Ranks'!BH82</f>
        <v>0.35807860262008734</v>
      </c>
      <c r="AD82" s="1">
        <f>'[1]Forward Ranks'!BI82</f>
        <v>0.87772925764192145</v>
      </c>
      <c r="AE82" s="1">
        <f>'[1]Forward Ranks'!BJ82</f>
        <v>0.64628820960698685</v>
      </c>
      <c r="AF82">
        <f>'[1]Forward Ranks'!BL82</f>
        <v>0</v>
      </c>
      <c r="AG82" s="1">
        <f>'[1]Forward Ranks'!BQ82</f>
        <v>0.4366812227074236</v>
      </c>
      <c r="AH82" s="1">
        <f>'[1]Forward Ranks'!BR82</f>
        <v>0.26637554585152839</v>
      </c>
      <c r="AI82" s="1">
        <f>'[1]Forward Ranks'!BS82</f>
        <v>0.53056768558951961</v>
      </c>
      <c r="AJ82" s="1">
        <f>'[1]Forward Ranks'!BT82</f>
        <v>0.32096069868995636</v>
      </c>
      <c r="AL82" s="2">
        <f>'[1]Forward Ranks'!BX82</f>
        <v>0.74017467248908297</v>
      </c>
      <c r="AN82" t="str">
        <f>'[1]Forward Ranks'!B82</f>
        <v>ARI</v>
      </c>
      <c r="AO82">
        <f>'[1]F on ice'!E82</f>
        <v>82</v>
      </c>
      <c r="AP82" s="2">
        <f>'[1]Impact Score Math'!E82</f>
        <v>0.90981963927855714</v>
      </c>
      <c r="AQ82">
        <f>'[1]Impact Score Math'!G82</f>
        <v>46</v>
      </c>
      <c r="AT82" s="1">
        <f>'[1]Forward Ranks'!CJ82</f>
        <v>0.48689956331877732</v>
      </c>
      <c r="AU82" s="1">
        <f>'[1]Forward Ranks'!CK82</f>
        <v>0.67030567685589515</v>
      </c>
    </row>
    <row r="83" spans="1:47" x14ac:dyDescent="0.3">
      <c r="A83" t="str">
        <f>'[1]Forward Ranks'!A83</f>
        <v>Cody Glass</v>
      </c>
      <c r="B83">
        <f>'[1]Forward Ranks'!D83</f>
        <v>0</v>
      </c>
      <c r="C83" s="1">
        <f>'[1]Forward Ranks'!I83</f>
        <v>0.41484716157205243</v>
      </c>
      <c r="D83" s="1">
        <f>'[1]Forward Ranks'!J83</f>
        <v>0.6506550218340611</v>
      </c>
      <c r="E83" s="1">
        <f>'[1]Forward Ranks'!K83</f>
        <v>0.44541484716157204</v>
      </c>
      <c r="F83" s="1">
        <f>'[1]Forward Ranks'!L83</f>
        <v>0.51528384279475981</v>
      </c>
      <c r="G83">
        <f>'[1]Forward Ranks'!N83</f>
        <v>0</v>
      </c>
      <c r="H83" s="1">
        <f>'[1]Forward Ranks'!S83</f>
        <v>0.1965065502183406</v>
      </c>
      <c r="I83" s="1">
        <f>'[1]Forward Ranks'!T83</f>
        <v>0.56986899563318782</v>
      </c>
      <c r="J83" s="1">
        <f>'[1]Forward Ranks'!U83</f>
        <v>0.44104803493449779</v>
      </c>
      <c r="K83" s="1">
        <f>'[1]Forward Ranks'!V83</f>
        <v>0.35589519650655022</v>
      </c>
      <c r="L83">
        <f>'[1]Forward Ranks'!X83</f>
        <v>0</v>
      </c>
      <c r="M83" s="1">
        <f>'[1]Forward Ranks'!AC83</f>
        <v>0.45633187772925765</v>
      </c>
      <c r="N83" s="1">
        <f>'[1]Forward Ranks'!AD83</f>
        <v>0.62008733624454149</v>
      </c>
      <c r="O83" s="1">
        <f>'[1]Forward Ranks'!AE83</f>
        <v>0.96724890829694321</v>
      </c>
      <c r="P83" s="1">
        <f>'[1]Forward Ranks'!AF83</f>
        <v>0.52838427947598254</v>
      </c>
      <c r="Q83">
        <f>'[1]Forward Ranks'!AH83</f>
        <v>0</v>
      </c>
      <c r="R83" s="1">
        <f>'[1]Forward Ranks'!AM83</f>
        <v>0.51091703056768556</v>
      </c>
      <c r="S83" s="1">
        <f>'[1]Forward Ranks'!AN83</f>
        <v>0.63755458515283847</v>
      </c>
      <c r="T83" s="1">
        <f>'[1]Forward Ranks'!AO83</f>
        <v>0.62008733624454149</v>
      </c>
      <c r="U83" s="1">
        <f>'[1]Forward Ranks'!AP83</f>
        <v>0.54148471615720528</v>
      </c>
      <c r="V83">
        <f>'[1]Forward Ranks'!AR83</f>
        <v>0</v>
      </c>
      <c r="W83" s="1">
        <f>'[1]Forward Ranks'!AW83</f>
        <v>0.91484716157205237</v>
      </c>
      <c r="X83" s="1">
        <f>'[1]Forward Ranks'!AX83</f>
        <v>0.90829694323144106</v>
      </c>
      <c r="Y83" s="1">
        <f>'[1]Forward Ranks'!AY83</f>
        <v>0.95414847161572047</v>
      </c>
      <c r="Z83" s="1">
        <f>'[1]Forward Ranks'!AZ83</f>
        <v>0.92358078602620086</v>
      </c>
      <c r="AA83">
        <f>'[1]Forward Ranks'!BB83</f>
        <v>0</v>
      </c>
      <c r="AB83" s="1">
        <f>'[1]Forward Ranks'!BG83</f>
        <v>0.40611353711790393</v>
      </c>
      <c r="AC83" s="1">
        <f>'[1]Forward Ranks'!BH83</f>
        <v>0.60917030567685593</v>
      </c>
      <c r="AD83" s="1">
        <f>'[1]Forward Ranks'!BI83</f>
        <v>0.47161572052401746</v>
      </c>
      <c r="AE83" s="1">
        <f>'[1]Forward Ranks'!BJ83</f>
        <v>0.90174672489082974</v>
      </c>
      <c r="AF83">
        <f>'[1]Forward Ranks'!BL83</f>
        <v>0</v>
      </c>
      <c r="AG83" s="1">
        <f>'[1]Forward Ranks'!BQ83</f>
        <v>0.43231441048034935</v>
      </c>
      <c r="AH83" s="1">
        <f>'[1]Forward Ranks'!BR83</f>
        <v>0.66157205240174677</v>
      </c>
      <c r="AI83" s="1">
        <f>'[1]Forward Ranks'!BS83</f>
        <v>0.93013100436681218</v>
      </c>
      <c r="AJ83" s="1">
        <f>'[1]Forward Ranks'!BT83</f>
        <v>0.54366812227074235</v>
      </c>
      <c r="AL83" s="2">
        <f>'[1]Forward Ranks'!BX83</f>
        <v>0.55458515283842791</v>
      </c>
      <c r="AN83" t="str">
        <f>'[1]Forward Ranks'!B83</f>
        <v>NSH</v>
      </c>
      <c r="AO83">
        <f>'[1]F on ice'!E83</f>
        <v>72</v>
      </c>
      <c r="AP83" s="2">
        <f>'[1]Impact Score Math'!E83</f>
        <v>0.56913827655310623</v>
      </c>
      <c r="AQ83">
        <f>'[1]Impact Score Math'!G83</f>
        <v>216</v>
      </c>
      <c r="AT83" s="1">
        <f>'[1]Forward Ranks'!CJ83</f>
        <v>0.6506550218340611</v>
      </c>
      <c r="AU83" s="1">
        <f>'[1]Forward Ranks'!CK83</f>
        <v>0.22489082969432314</v>
      </c>
    </row>
    <row r="84" spans="1:47" x14ac:dyDescent="0.3">
      <c r="A84" t="str">
        <f>'[1]Forward Ranks'!A84</f>
        <v>Cole Caufield</v>
      </c>
      <c r="B84">
        <f>'[1]Forward Ranks'!D84</f>
        <v>0</v>
      </c>
      <c r="C84" s="1">
        <f>'[1]Forward Ranks'!I84</f>
        <v>0.5</v>
      </c>
      <c r="D84" s="1">
        <f>'[1]Forward Ranks'!J84</f>
        <v>0.1091703056768559</v>
      </c>
      <c r="E84" s="1">
        <f>'[1]Forward Ranks'!K84</f>
        <v>0.93013100436681218</v>
      </c>
      <c r="F84" s="1">
        <f>'[1]Forward Ranks'!L84</f>
        <v>0.2816593886462882</v>
      </c>
      <c r="G84">
        <f>'[1]Forward Ranks'!N84</f>
        <v>0</v>
      </c>
      <c r="H84" s="1">
        <f>'[1]Forward Ranks'!S84</f>
        <v>0.99563318777292575</v>
      </c>
      <c r="I84" s="1">
        <f>'[1]Forward Ranks'!T84</f>
        <v>0.22707423580786026</v>
      </c>
      <c r="J84" s="1">
        <f>'[1]Forward Ranks'!U84</f>
        <v>8.5152838427947602E-2</v>
      </c>
      <c r="K84" s="1">
        <f>'[1]Forward Ranks'!V84</f>
        <v>0.8733624454148472</v>
      </c>
      <c r="L84">
        <f>'[1]Forward Ranks'!X84</f>
        <v>0</v>
      </c>
      <c r="M84" s="1">
        <f>'[1]Forward Ranks'!AC84</f>
        <v>0.4759825327510917</v>
      </c>
      <c r="N84" s="1">
        <f>'[1]Forward Ranks'!AD84</f>
        <v>0.23799126637554585</v>
      </c>
      <c r="O84" s="1">
        <f>'[1]Forward Ranks'!AE84</f>
        <v>9.8253275109170299E-2</v>
      </c>
      <c r="P84" s="1">
        <f>'[1]Forward Ranks'!AF84</f>
        <v>0.11353711790393013</v>
      </c>
      <c r="Q84">
        <f>'[1]Forward Ranks'!AH84</f>
        <v>0</v>
      </c>
      <c r="R84" s="1">
        <f>'[1]Forward Ranks'!AM84</f>
        <v>0.79912663755458513</v>
      </c>
      <c r="S84" s="1">
        <f>'[1]Forward Ranks'!AN84</f>
        <v>0.22707423580786026</v>
      </c>
      <c r="T84" s="1">
        <f>'[1]Forward Ranks'!AO84</f>
        <v>0.98689956331877726</v>
      </c>
      <c r="U84" s="1">
        <f>'[1]Forward Ranks'!AP84</f>
        <v>0.5</v>
      </c>
      <c r="V84">
        <f>'[1]Forward Ranks'!AR84</f>
        <v>0</v>
      </c>
      <c r="W84" s="1">
        <f>'[1]Forward Ranks'!AW84</f>
        <v>0.6506550218340611</v>
      </c>
      <c r="X84" s="1">
        <f>'[1]Forward Ranks'!AX84</f>
        <v>0.65938864628820959</v>
      </c>
      <c r="Y84" s="1">
        <f>'[1]Forward Ranks'!AY84</f>
        <v>9.3886462882096067E-2</v>
      </c>
      <c r="Z84" s="1">
        <f>'[1]Forward Ranks'!AZ84</f>
        <v>0.36462882096069871</v>
      </c>
      <c r="AA84">
        <f>'[1]Forward Ranks'!BB84</f>
        <v>0</v>
      </c>
      <c r="AB84" s="1">
        <f>'[1]Forward Ranks'!BG84</f>
        <v>0.84061135371179041</v>
      </c>
      <c r="AC84" s="1">
        <f>'[1]Forward Ranks'!BH84</f>
        <v>0.82969432314410485</v>
      </c>
      <c r="AD84" s="1">
        <f>'[1]Forward Ranks'!BI84</f>
        <v>0.96724890829694321</v>
      </c>
      <c r="AE84" s="1">
        <f>'[1]Forward Ranks'!BJ84</f>
        <v>0.70960698689956336</v>
      </c>
      <c r="AF84">
        <f>'[1]Forward Ranks'!BL84</f>
        <v>0</v>
      </c>
      <c r="AG84" s="1">
        <f>'[1]Forward Ranks'!BQ84</f>
        <v>0.46943231441048033</v>
      </c>
      <c r="AH84" s="1">
        <f>'[1]Forward Ranks'!BR84</f>
        <v>0.10698689956331878</v>
      </c>
      <c r="AI84" s="1">
        <f>'[1]Forward Ranks'!BS84</f>
        <v>0.56550218340611358</v>
      </c>
      <c r="AJ84" s="1">
        <f>'[1]Forward Ranks'!BT84</f>
        <v>0.15283842794759825</v>
      </c>
      <c r="AL84" s="2">
        <f>'[1]Forward Ranks'!BX84</f>
        <v>0.47161572052401746</v>
      </c>
      <c r="AN84" t="str">
        <f>'[1]Forward Ranks'!B84</f>
        <v>MTL</v>
      </c>
      <c r="AO84">
        <f>'[1]F on ice'!E84</f>
        <v>46</v>
      </c>
      <c r="AP84" s="2">
        <f>'[1]Impact Score Math'!E84</f>
        <v>0.62725450901803603</v>
      </c>
      <c r="AQ84">
        <f>'[1]Impact Score Math'!G84</f>
        <v>187</v>
      </c>
      <c r="AT84" s="1">
        <f>'[1]Forward Ranks'!CJ84</f>
        <v>0.97816593886462877</v>
      </c>
      <c r="AU84" s="1">
        <f>'[1]Forward Ranks'!CK84</f>
        <v>0.5633187772925764</v>
      </c>
    </row>
    <row r="85" spans="1:47" x14ac:dyDescent="0.3">
      <c r="A85" t="str">
        <f>'[1]Forward Ranks'!A85</f>
        <v>Cole Perfetti</v>
      </c>
      <c r="B85">
        <f>'[1]Forward Ranks'!D85</f>
        <v>0</v>
      </c>
      <c r="C85" s="1">
        <f>'[1]Forward Ranks'!I85</f>
        <v>0.6266375545851528</v>
      </c>
      <c r="D85" s="1">
        <f>'[1]Forward Ranks'!J85</f>
        <v>0.63755458515283847</v>
      </c>
      <c r="E85" s="1">
        <f>'[1]Forward Ranks'!K85</f>
        <v>0.56113537117903933</v>
      </c>
      <c r="F85" s="1">
        <f>'[1]Forward Ranks'!L85</f>
        <v>0.53493449781659386</v>
      </c>
      <c r="G85">
        <f>'[1]Forward Ranks'!N85</f>
        <v>0</v>
      </c>
      <c r="H85" s="1">
        <f>'[1]Forward Ranks'!S85</f>
        <v>0.2205240174672489</v>
      </c>
      <c r="I85" s="1">
        <f>'[1]Forward Ranks'!T85</f>
        <v>0.95196506550218341</v>
      </c>
      <c r="J85" s="1">
        <f>'[1]Forward Ranks'!U85</f>
        <v>0.70305676855895194</v>
      </c>
      <c r="K85" s="1">
        <f>'[1]Forward Ranks'!V85</f>
        <v>0.79694323144104806</v>
      </c>
      <c r="L85">
        <f>'[1]Forward Ranks'!X85</f>
        <v>0</v>
      </c>
      <c r="M85" s="1">
        <f>'[1]Forward Ranks'!AC85</f>
        <v>0.63973799126637554</v>
      </c>
      <c r="N85" s="1">
        <f>'[1]Forward Ranks'!AD85</f>
        <v>0.67685589519650657</v>
      </c>
      <c r="O85" s="1">
        <f>'[1]Forward Ranks'!AE85</f>
        <v>0.93231441048034935</v>
      </c>
      <c r="P85" s="1">
        <f>'[1]Forward Ranks'!AF85</f>
        <v>0.54585152838427953</v>
      </c>
      <c r="Q85">
        <f>'[1]Forward Ranks'!AH85</f>
        <v>0</v>
      </c>
      <c r="R85" s="1">
        <f>'[1]Forward Ranks'!AM85</f>
        <v>0.55895196506550215</v>
      </c>
      <c r="S85" s="1">
        <f>'[1]Forward Ranks'!AN85</f>
        <v>0.62008733624454149</v>
      </c>
      <c r="T85" s="1">
        <f>'[1]Forward Ranks'!AO85</f>
        <v>0.63318777292576423</v>
      </c>
      <c r="U85" s="1">
        <f>'[1]Forward Ranks'!AP85</f>
        <v>0.43231441048034935</v>
      </c>
      <c r="V85">
        <f>'[1]Forward Ranks'!AR85</f>
        <v>0</v>
      </c>
      <c r="W85" s="1">
        <f>'[1]Forward Ranks'!AW85</f>
        <v>0.71834061135371174</v>
      </c>
      <c r="X85" s="1">
        <f>'[1]Forward Ranks'!AX85</f>
        <v>0.6746724890829694</v>
      </c>
      <c r="Y85" s="1">
        <f>'[1]Forward Ranks'!AY85</f>
        <v>0.85589519650655022</v>
      </c>
      <c r="Z85" s="1">
        <f>'[1]Forward Ranks'!AZ85</f>
        <v>0.65502183406113534</v>
      </c>
      <c r="AA85">
        <f>'[1]Forward Ranks'!BB85</f>
        <v>0</v>
      </c>
      <c r="AB85" s="1">
        <f>'[1]Forward Ranks'!BG85</f>
        <v>0.66593886462882101</v>
      </c>
      <c r="AC85" s="1">
        <f>'[1]Forward Ranks'!BH85</f>
        <v>0.94541484716157209</v>
      </c>
      <c r="AD85" s="1">
        <f>'[1]Forward Ranks'!BI85</f>
        <v>0.64628820960698685</v>
      </c>
      <c r="AE85" s="1">
        <f>'[1]Forward Ranks'!BJ85</f>
        <v>0.91921397379912662</v>
      </c>
      <c r="AF85">
        <f>'[1]Forward Ranks'!BL85</f>
        <v>0</v>
      </c>
      <c r="AG85" s="1">
        <f>'[1]Forward Ranks'!BQ85</f>
        <v>0.65502183406113534</v>
      </c>
      <c r="AH85" s="1">
        <f>'[1]Forward Ranks'!BR85</f>
        <v>0.69868995633187769</v>
      </c>
      <c r="AI85" s="1">
        <f>'[1]Forward Ranks'!BS85</f>
        <v>0.89956331877729256</v>
      </c>
      <c r="AJ85" s="1">
        <f>'[1]Forward Ranks'!BT85</f>
        <v>0.56768558951965065</v>
      </c>
      <c r="AL85" s="2">
        <f>'[1]Forward Ranks'!BX85</f>
        <v>0.66375545851528384</v>
      </c>
      <c r="AN85" t="str">
        <f>'[1]Forward Ranks'!B85</f>
        <v>WPG</v>
      </c>
      <c r="AO85">
        <f>'[1]F on ice'!E85</f>
        <v>51</v>
      </c>
      <c r="AP85" s="2">
        <f>'[1]Impact Score Math'!E85</f>
        <v>0.72144288577154314</v>
      </c>
      <c r="AQ85">
        <f>'[1]Impact Score Math'!G85</f>
        <v>140</v>
      </c>
      <c r="AT85" s="1">
        <f>'[1]Forward Ranks'!CJ85</f>
        <v>0.51091703056768556</v>
      </c>
      <c r="AU85" s="1">
        <f>'[1]Forward Ranks'!CK85</f>
        <v>0.12445414847161572</v>
      </c>
    </row>
    <row r="86" spans="1:47" x14ac:dyDescent="0.3">
      <c r="A86" t="str">
        <f>'[1]Forward Ranks'!A86</f>
        <v>Cole Sillinger</v>
      </c>
      <c r="B86">
        <f>'[1]Forward Ranks'!D86</f>
        <v>0</v>
      </c>
      <c r="C86" s="1">
        <f>'[1]Forward Ranks'!I86</f>
        <v>0.21179039301310043</v>
      </c>
      <c r="D86" s="1">
        <f>'[1]Forward Ranks'!J86</f>
        <v>0.1703056768558952</v>
      </c>
      <c r="E86" s="1">
        <f>'[1]Forward Ranks'!K86</f>
        <v>8.5152838427947602E-2</v>
      </c>
      <c r="F86" s="1">
        <f>'[1]Forward Ranks'!L86</f>
        <v>0.23362445414847161</v>
      </c>
      <c r="G86">
        <f>'[1]Forward Ranks'!N86</f>
        <v>0</v>
      </c>
      <c r="H86" s="1">
        <f>'[1]Forward Ranks'!S86</f>
        <v>1.3100436681222707E-2</v>
      </c>
      <c r="I86" s="1">
        <f>'[1]Forward Ranks'!T86</f>
        <v>0.10480349344978165</v>
      </c>
      <c r="J86" s="1">
        <f>'[1]Forward Ranks'!U86</f>
        <v>0.19868995633187772</v>
      </c>
      <c r="K86" s="1">
        <f>'[1]Forward Ranks'!V86</f>
        <v>1.5283842794759825E-2</v>
      </c>
      <c r="L86">
        <f>'[1]Forward Ranks'!X86</f>
        <v>0</v>
      </c>
      <c r="M86" s="1">
        <f>'[1]Forward Ranks'!AC86</f>
        <v>0.14192139737991266</v>
      </c>
      <c r="N86" s="1">
        <f>'[1]Forward Ranks'!AD86</f>
        <v>0.4759825327510917</v>
      </c>
      <c r="O86" s="1">
        <f>'[1]Forward Ranks'!AE86</f>
        <v>4.3668122270742356E-2</v>
      </c>
      <c r="P86" s="1">
        <f>'[1]Forward Ranks'!AF86</f>
        <v>0.26200873362445415</v>
      </c>
      <c r="Q86">
        <f>'[1]Forward Ranks'!AH86</f>
        <v>0</v>
      </c>
      <c r="R86" s="1">
        <f>'[1]Forward Ranks'!AM86</f>
        <v>0.29039301310043669</v>
      </c>
      <c r="S86" s="1">
        <f>'[1]Forward Ranks'!AN86</f>
        <v>0.40829694323144106</v>
      </c>
      <c r="T86" s="1">
        <f>'[1]Forward Ranks'!AO86</f>
        <v>0.17248908296943233</v>
      </c>
      <c r="U86" s="1">
        <f>'[1]Forward Ranks'!AP86</f>
        <v>0.36244541484716158</v>
      </c>
      <c r="V86">
        <f>'[1]Forward Ranks'!AR86</f>
        <v>0</v>
      </c>
      <c r="W86" s="1">
        <f>'[1]Forward Ranks'!AW86</f>
        <v>0.71179039301310043</v>
      </c>
      <c r="X86" s="1">
        <f>'[1]Forward Ranks'!AX86</f>
        <v>0.77510917030567683</v>
      </c>
      <c r="Y86" s="1">
        <f>'[1]Forward Ranks'!AY86</f>
        <v>0.25327510917030566</v>
      </c>
      <c r="Z86" s="1">
        <f>'[1]Forward Ranks'!AZ86</f>
        <v>0.68995633187772931</v>
      </c>
      <c r="AA86">
        <f>'[1]Forward Ranks'!BB86</f>
        <v>0</v>
      </c>
      <c r="AB86" s="1">
        <f>'[1]Forward Ranks'!BG86</f>
        <v>0.36899563318777295</v>
      </c>
      <c r="AC86" s="1">
        <f>'[1]Forward Ranks'!BH86</f>
        <v>0.64628820960698685</v>
      </c>
      <c r="AD86" s="1">
        <f>'[1]Forward Ranks'!BI86</f>
        <v>0.11572052401746726</v>
      </c>
      <c r="AE86" s="1">
        <f>'[1]Forward Ranks'!BJ86</f>
        <v>2.6200873362445413E-2</v>
      </c>
      <c r="AF86">
        <f>'[1]Forward Ranks'!BL86</f>
        <v>0</v>
      </c>
      <c r="AG86" s="1">
        <f>'[1]Forward Ranks'!BQ86</f>
        <v>0.1331877729257642</v>
      </c>
      <c r="AH86" s="1">
        <f>'[1]Forward Ranks'!BR86</f>
        <v>0.22270742358078602</v>
      </c>
      <c r="AI86" s="1">
        <f>'[1]Forward Ranks'!BS86</f>
        <v>3.2751091703056769E-2</v>
      </c>
      <c r="AJ86" s="1">
        <f>'[1]Forward Ranks'!BT86</f>
        <v>0.20524017467248909</v>
      </c>
      <c r="AL86" s="2">
        <f>'[1]Forward Ranks'!BX86</f>
        <v>9.3886462882096067E-2</v>
      </c>
      <c r="AN86" t="str">
        <f>'[1]Forward Ranks'!B86</f>
        <v>CBJ</v>
      </c>
      <c r="AO86">
        <f>'[1]F on ice'!E86</f>
        <v>64</v>
      </c>
      <c r="AP86" s="2">
        <f>'[1]Impact Score Math'!E86</f>
        <v>0.18036072144288579</v>
      </c>
      <c r="AQ86">
        <f>'[1]Impact Score Math'!G86</f>
        <v>410</v>
      </c>
      <c r="AT86" s="1">
        <f>'[1]Forward Ranks'!CJ86</f>
        <v>0.48689956331877732</v>
      </c>
      <c r="AU86" s="1">
        <f>'[1]Forward Ranks'!CK86</f>
        <v>2.6200873362445413E-2</v>
      </c>
    </row>
    <row r="87" spans="1:47" x14ac:dyDescent="0.3">
      <c r="A87" t="str">
        <f>'[1]Forward Ranks'!A87</f>
        <v>Cole Smith</v>
      </c>
      <c r="B87">
        <f>'[1]Forward Ranks'!D87</f>
        <v>0</v>
      </c>
      <c r="C87" s="1">
        <f>'[1]Forward Ranks'!I87</f>
        <v>0.18777292576419213</v>
      </c>
      <c r="D87" s="1">
        <f>'[1]Forward Ranks'!J87</f>
        <v>0.18122270742358079</v>
      </c>
      <c r="E87" s="1">
        <f>'[1]Forward Ranks'!K87</f>
        <v>5.2401746724890827E-2</v>
      </c>
      <c r="F87" s="1">
        <f>'[1]Forward Ranks'!L87</f>
        <v>0.20087336244541484</v>
      </c>
      <c r="G87">
        <f>'[1]Forward Ranks'!N87</f>
        <v>0</v>
      </c>
      <c r="H87" s="1">
        <f>'[1]Forward Ranks'!S87</f>
        <v>5.6768558951965066E-2</v>
      </c>
      <c r="I87" s="1">
        <f>'[1]Forward Ranks'!T87</f>
        <v>0.31877729257641924</v>
      </c>
      <c r="J87" s="1">
        <f>'[1]Forward Ranks'!U87</f>
        <v>0.65938864628820959</v>
      </c>
      <c r="K87" s="1">
        <f>'[1]Forward Ranks'!V87</f>
        <v>9.8253275109170299E-2</v>
      </c>
      <c r="L87">
        <f>'[1]Forward Ranks'!X87</f>
        <v>0</v>
      </c>
      <c r="M87" s="1">
        <f>'[1]Forward Ranks'!AC87</f>
        <v>0.49781659388646288</v>
      </c>
      <c r="N87" s="1">
        <f>'[1]Forward Ranks'!AD87</f>
        <v>0.63755458515283847</v>
      </c>
      <c r="O87" s="1">
        <f>'[1]Forward Ranks'!AE87</f>
        <v>0.73799126637554591</v>
      </c>
      <c r="P87" s="1">
        <f>'[1]Forward Ranks'!AF87</f>
        <v>0.47816593886462883</v>
      </c>
      <c r="Q87">
        <f>'[1]Forward Ranks'!AH87</f>
        <v>0</v>
      </c>
      <c r="R87" s="1">
        <f>'[1]Forward Ranks'!AM87</f>
        <v>0.13755458515283842</v>
      </c>
      <c r="S87" s="1">
        <f>'[1]Forward Ranks'!AN87</f>
        <v>0.13755458515283842</v>
      </c>
      <c r="T87" s="1">
        <f>'[1]Forward Ranks'!AO87</f>
        <v>0.15065502183406113</v>
      </c>
      <c r="U87" s="1">
        <f>'[1]Forward Ranks'!AP87</f>
        <v>0.13537117903930132</v>
      </c>
      <c r="V87">
        <f>'[1]Forward Ranks'!AR87</f>
        <v>0</v>
      </c>
      <c r="W87" s="1">
        <f>'[1]Forward Ranks'!AW87</f>
        <v>0.84716157205240172</v>
      </c>
      <c r="X87" s="1">
        <f>'[1]Forward Ranks'!AX87</f>
        <v>0.85152838427947597</v>
      </c>
      <c r="Y87" s="1">
        <f>'[1]Forward Ranks'!AY87</f>
        <v>0.61353711790393017</v>
      </c>
      <c r="Z87" s="1">
        <f>'[1]Forward Ranks'!AZ87</f>
        <v>0.82969432314410485</v>
      </c>
      <c r="AA87">
        <f>'[1]Forward Ranks'!BB87</f>
        <v>0</v>
      </c>
      <c r="AB87" s="1">
        <f>'[1]Forward Ranks'!BG87</f>
        <v>0.1965065502183406</v>
      </c>
      <c r="AC87" s="1">
        <f>'[1]Forward Ranks'!BH87</f>
        <v>5.6768558951965066E-2</v>
      </c>
      <c r="AD87" s="1">
        <f>'[1]Forward Ranks'!BI87</f>
        <v>8.9519650655021835E-2</v>
      </c>
      <c r="AE87" s="1">
        <f>'[1]Forward Ranks'!BJ87</f>
        <v>0.29039301310043669</v>
      </c>
      <c r="AF87">
        <f>'[1]Forward Ranks'!BL87</f>
        <v>0</v>
      </c>
      <c r="AG87" s="1">
        <f>'[1]Forward Ranks'!BQ87</f>
        <v>0.27510917030567683</v>
      </c>
      <c r="AH87" s="1">
        <f>'[1]Forward Ranks'!BR87</f>
        <v>0.30786026200873362</v>
      </c>
      <c r="AI87" s="1">
        <f>'[1]Forward Ranks'!BS87</f>
        <v>0.1703056768558952</v>
      </c>
      <c r="AJ87" s="1">
        <f>'[1]Forward Ranks'!BT87</f>
        <v>0.2576419213973799</v>
      </c>
      <c r="AL87" s="2">
        <f>'[1]Forward Ranks'!BX87</f>
        <v>0.1703056768558952</v>
      </c>
      <c r="AN87" t="str">
        <f>'[1]Forward Ranks'!B87</f>
        <v>NSH</v>
      </c>
      <c r="AO87">
        <f>'[1]F on ice'!E87</f>
        <v>69</v>
      </c>
      <c r="AP87" s="2">
        <f>'[1]Impact Score Math'!E87</f>
        <v>0.22044088176352705</v>
      </c>
      <c r="AQ87">
        <f>'[1]Impact Score Math'!G87</f>
        <v>390</v>
      </c>
      <c r="AT87" s="1">
        <f>'[1]Forward Ranks'!CJ87</f>
        <v>9.606986899563319E-2</v>
      </c>
      <c r="AU87" s="1">
        <f>'[1]Forward Ranks'!CK87</f>
        <v>0.90611353711790388</v>
      </c>
    </row>
    <row r="88" spans="1:47" x14ac:dyDescent="0.3">
      <c r="A88" t="str">
        <f>'[1]Forward Ranks'!A88</f>
        <v>Colin Blackwell</v>
      </c>
      <c r="B88">
        <f>'[1]Forward Ranks'!D88</f>
        <v>0</v>
      </c>
      <c r="C88" s="1">
        <f>'[1]Forward Ranks'!I88</f>
        <v>3.0567685589519649E-2</v>
      </c>
      <c r="D88" s="1">
        <f>'[1]Forward Ranks'!J88</f>
        <v>1.5283842794759825E-2</v>
      </c>
      <c r="E88" s="1">
        <f>'[1]Forward Ranks'!K88</f>
        <v>6.3318777292576414E-2</v>
      </c>
      <c r="F88" s="1">
        <f>'[1]Forward Ranks'!L88</f>
        <v>3.9301310043668124E-2</v>
      </c>
      <c r="G88">
        <f>'[1]Forward Ranks'!N88</f>
        <v>0</v>
      </c>
      <c r="H88" s="1">
        <f>'[1]Forward Ranks'!S88</f>
        <v>4.148471615720524E-2</v>
      </c>
      <c r="I88" s="1">
        <f>'[1]Forward Ranks'!T88</f>
        <v>0.34716157205240172</v>
      </c>
      <c r="J88" s="1">
        <f>'[1]Forward Ranks'!U88</f>
        <v>0.65938864628820959</v>
      </c>
      <c r="K88" s="1">
        <f>'[1]Forward Ranks'!V88</f>
        <v>0.10262008733624454</v>
      </c>
      <c r="L88">
        <f>'[1]Forward Ranks'!X88</f>
        <v>0</v>
      </c>
      <c r="M88" s="1">
        <f>'[1]Forward Ranks'!AC88</f>
        <v>0.32096069868995636</v>
      </c>
      <c r="N88" s="1">
        <f>'[1]Forward Ranks'!AD88</f>
        <v>0.32314410480349343</v>
      </c>
      <c r="O88" s="1">
        <f>'[1]Forward Ranks'!AE88</f>
        <v>8.9519650655021835E-2</v>
      </c>
      <c r="P88" s="1">
        <f>'[1]Forward Ranks'!AF88</f>
        <v>0.28384279475982532</v>
      </c>
      <c r="Q88">
        <f>'[1]Forward Ranks'!AH88</f>
        <v>0</v>
      </c>
      <c r="R88" s="1">
        <f>'[1]Forward Ranks'!AM88</f>
        <v>0.27947598253275108</v>
      </c>
      <c r="S88" s="1">
        <f>'[1]Forward Ranks'!AN88</f>
        <v>0.14192139737991266</v>
      </c>
      <c r="T88" s="1">
        <f>'[1]Forward Ranks'!AO88</f>
        <v>0.26637554585152839</v>
      </c>
      <c r="U88" s="1">
        <f>'[1]Forward Ranks'!AP88</f>
        <v>0.31222707423580787</v>
      </c>
      <c r="V88">
        <f>'[1]Forward Ranks'!AR88</f>
        <v>0</v>
      </c>
      <c r="W88" s="1">
        <f>'[1]Forward Ranks'!AW88</f>
        <v>0.78165938864628826</v>
      </c>
      <c r="X88" s="1">
        <f>'[1]Forward Ranks'!AX88</f>
        <v>0.63537117903930129</v>
      </c>
      <c r="Y88" s="1">
        <f>'[1]Forward Ranks'!AY88</f>
        <v>0.39737991266375544</v>
      </c>
      <c r="Z88" s="1">
        <f>'[1]Forward Ranks'!AZ88</f>
        <v>0.68995633187772931</v>
      </c>
      <c r="AA88">
        <f>'[1]Forward Ranks'!BB88</f>
        <v>0</v>
      </c>
      <c r="AB88" s="1">
        <f>'[1]Forward Ranks'!BG88</f>
        <v>0.16375545851528384</v>
      </c>
      <c r="AC88" s="1">
        <f>'[1]Forward Ranks'!BH88</f>
        <v>9.3886462882096067E-2</v>
      </c>
      <c r="AD88" s="1">
        <f>'[1]Forward Ranks'!BI88</f>
        <v>0.2205240174672489</v>
      </c>
      <c r="AE88" s="1">
        <f>'[1]Forward Ranks'!BJ88</f>
        <v>8.9519650655021835E-2</v>
      </c>
      <c r="AF88">
        <f>'[1]Forward Ranks'!BL88</f>
        <v>0</v>
      </c>
      <c r="AG88" s="1">
        <f>'[1]Forward Ranks'!BQ88</f>
        <v>6.3318777292576414E-2</v>
      </c>
      <c r="AH88" s="1">
        <f>'[1]Forward Ranks'!BR88</f>
        <v>2.6200873362445413E-2</v>
      </c>
      <c r="AI88" s="1">
        <f>'[1]Forward Ranks'!BS88</f>
        <v>3.7117903930131008E-2</v>
      </c>
      <c r="AJ88" s="1">
        <f>'[1]Forward Ranks'!BT88</f>
        <v>5.2401746724890827E-2</v>
      </c>
      <c r="AL88" s="2">
        <f>'[1]Forward Ranks'!BX88</f>
        <v>9.1703056768558958E-2</v>
      </c>
      <c r="AN88" t="str">
        <f>'[1]Forward Ranks'!B88</f>
        <v>CHI</v>
      </c>
      <c r="AO88">
        <f>'[1]F on ice'!E88</f>
        <v>53</v>
      </c>
      <c r="AP88" s="2">
        <f>'[1]Impact Score Math'!E88</f>
        <v>0.15230460921843689</v>
      </c>
      <c r="AQ88">
        <f>'[1]Impact Score Math'!G88</f>
        <v>424</v>
      </c>
      <c r="AT88" s="1">
        <f>'[1]Forward Ranks'!CJ88</f>
        <v>0.93013100436681218</v>
      </c>
      <c r="AU88" s="1">
        <f>'[1]Forward Ranks'!CK88</f>
        <v>0.90829694323144106</v>
      </c>
    </row>
    <row r="89" spans="1:47" x14ac:dyDescent="0.3">
      <c r="A89" t="str">
        <f>'[1]Forward Ranks'!A89</f>
        <v>Colin White</v>
      </c>
      <c r="B89">
        <f>'[1]Forward Ranks'!D89</f>
        <v>0</v>
      </c>
      <c r="C89" s="1">
        <f>'[1]Forward Ranks'!I89</f>
        <v>0.24890829694323144</v>
      </c>
      <c r="D89" s="1">
        <f>'[1]Forward Ranks'!J89</f>
        <v>0.26855895196506552</v>
      </c>
      <c r="E89" s="1">
        <f>'[1]Forward Ranks'!K89</f>
        <v>0.41703056768558949</v>
      </c>
      <c r="F89" s="1">
        <f>'[1]Forward Ranks'!L89</f>
        <v>0.14410480349344978</v>
      </c>
      <c r="G89">
        <f>'[1]Forward Ranks'!N89</f>
        <v>0</v>
      </c>
      <c r="H89" s="1">
        <f>'[1]Forward Ranks'!S89</f>
        <v>0.54585152838427953</v>
      </c>
      <c r="I89" s="1">
        <f>'[1]Forward Ranks'!T89</f>
        <v>0.25982532751091703</v>
      </c>
      <c r="J89" s="1">
        <f>'[1]Forward Ranks'!U89</f>
        <v>0.42358078602620086</v>
      </c>
      <c r="K89" s="1">
        <f>'[1]Forward Ranks'!V89</f>
        <v>0.32096069868995636</v>
      </c>
      <c r="L89">
        <f>'[1]Forward Ranks'!X89</f>
        <v>0</v>
      </c>
      <c r="M89" s="1">
        <f>'[1]Forward Ranks'!AC89</f>
        <v>0.70960698689956336</v>
      </c>
      <c r="N89" s="1">
        <f>'[1]Forward Ranks'!AD89</f>
        <v>0.37772925764192139</v>
      </c>
      <c r="O89" s="1">
        <f>'[1]Forward Ranks'!AE89</f>
        <v>0.59825327510917026</v>
      </c>
      <c r="P89" s="1">
        <f>'[1]Forward Ranks'!AF89</f>
        <v>0.71834061135371174</v>
      </c>
      <c r="Q89">
        <f>'[1]Forward Ranks'!AH89</f>
        <v>0</v>
      </c>
      <c r="R89" s="1">
        <f>'[1]Forward Ranks'!AM89</f>
        <v>2.1834061135371178E-3</v>
      </c>
      <c r="S89" s="1">
        <f>'[1]Forward Ranks'!AN89</f>
        <v>6.5502183406113534E-3</v>
      </c>
      <c r="T89" s="1">
        <f>'[1]Forward Ranks'!AO89</f>
        <v>0.14192139737991266</v>
      </c>
      <c r="U89" s="1">
        <f>'[1]Forward Ranks'!AP89</f>
        <v>2.1834061135371178E-3</v>
      </c>
      <c r="V89">
        <f>'[1]Forward Ranks'!AR89</f>
        <v>0</v>
      </c>
      <c r="W89" s="1">
        <f>'[1]Forward Ranks'!AW89</f>
        <v>0.74672489082969429</v>
      </c>
      <c r="X89" s="1">
        <f>'[1]Forward Ranks'!AX89</f>
        <v>0.4126637554585153</v>
      </c>
      <c r="Y89" s="1">
        <f>'[1]Forward Ranks'!AY89</f>
        <v>0.6026200873362445</v>
      </c>
      <c r="Z89" s="1">
        <f>'[1]Forward Ranks'!AZ89</f>
        <v>0.77947598253275108</v>
      </c>
      <c r="AA89">
        <f>'[1]Forward Ranks'!BB89</f>
        <v>0</v>
      </c>
      <c r="AB89" s="1">
        <f>'[1]Forward Ranks'!BG89</f>
        <v>4.148471615720524E-2</v>
      </c>
      <c r="AC89" s="1">
        <f>'[1]Forward Ranks'!BH89</f>
        <v>0.70524017467248912</v>
      </c>
      <c r="AD89" s="1">
        <f>'[1]Forward Ranks'!BI89</f>
        <v>0.50436681222707425</v>
      </c>
      <c r="AE89" s="1">
        <f>'[1]Forward Ranks'!BJ89</f>
        <v>0.53711790393013104</v>
      </c>
      <c r="AF89">
        <f>'[1]Forward Ranks'!BL89</f>
        <v>0</v>
      </c>
      <c r="AG89" s="1">
        <f>'[1]Forward Ranks'!BQ89</f>
        <v>0.44104803493449779</v>
      </c>
      <c r="AH89" s="1">
        <f>'[1]Forward Ranks'!BR89</f>
        <v>0.25545851528384278</v>
      </c>
      <c r="AI89" s="1">
        <f>'[1]Forward Ranks'!BS89</f>
        <v>0.48471615720524019</v>
      </c>
      <c r="AJ89" s="1">
        <f>'[1]Forward Ranks'!BT89</f>
        <v>0.31877729257641924</v>
      </c>
      <c r="AL89" s="2">
        <f>'[1]Forward Ranks'!BX89</f>
        <v>0.21615720524017468</v>
      </c>
      <c r="AN89" t="str">
        <f>'[1]Forward Ranks'!B89</f>
        <v>FLA</v>
      </c>
      <c r="AO89">
        <f>'[1]F on ice'!E89</f>
        <v>68</v>
      </c>
      <c r="AP89" s="2">
        <f>'[1]Impact Score Math'!E89</f>
        <v>0.21843687374749499</v>
      </c>
      <c r="AQ89">
        <f>'[1]Impact Score Math'!G89</f>
        <v>391</v>
      </c>
      <c r="AT89" s="1">
        <f>'[1]Forward Ranks'!CJ89</f>
        <v>0.61572052401746724</v>
      </c>
      <c r="AU89" s="1">
        <f>'[1]Forward Ranks'!CK89</f>
        <v>0.24017467248908297</v>
      </c>
    </row>
    <row r="90" spans="1:47" x14ac:dyDescent="0.3">
      <c r="A90" t="str">
        <f>'[1]Forward Ranks'!A90</f>
        <v>Colton Sissons</v>
      </c>
      <c r="B90">
        <f>'[1]Forward Ranks'!D90</f>
        <v>0</v>
      </c>
      <c r="C90" s="1">
        <f>'[1]Forward Ranks'!I90</f>
        <v>0.33187772925764192</v>
      </c>
      <c r="D90" s="1">
        <f>'[1]Forward Ranks'!J90</f>
        <v>0.31877729257641924</v>
      </c>
      <c r="E90" s="1">
        <f>'[1]Forward Ranks'!K90</f>
        <v>0.29475982532751094</v>
      </c>
      <c r="F90" s="1">
        <f>'[1]Forward Ranks'!L90</f>
        <v>0.35807860262008734</v>
      </c>
      <c r="G90">
        <f>'[1]Forward Ranks'!N90</f>
        <v>0</v>
      </c>
      <c r="H90" s="1">
        <f>'[1]Forward Ranks'!S90</f>
        <v>0.34279475982532753</v>
      </c>
      <c r="I90" s="1">
        <f>'[1]Forward Ranks'!T90</f>
        <v>0.5</v>
      </c>
      <c r="J90" s="1">
        <f>'[1]Forward Ranks'!U90</f>
        <v>0.13537117903930132</v>
      </c>
      <c r="K90" s="1">
        <f>'[1]Forward Ranks'!V90</f>
        <v>0.39956331877729256</v>
      </c>
      <c r="L90">
        <f>'[1]Forward Ranks'!X90</f>
        <v>0</v>
      </c>
      <c r="M90" s="1">
        <f>'[1]Forward Ranks'!AC90</f>
        <v>0.11353711790393013</v>
      </c>
      <c r="N90" s="1">
        <f>'[1]Forward Ranks'!AD90</f>
        <v>0.24017467248908297</v>
      </c>
      <c r="O90" s="1">
        <f>'[1]Forward Ranks'!AE90</f>
        <v>0.48908296943231439</v>
      </c>
      <c r="P90" s="1">
        <f>'[1]Forward Ranks'!AF90</f>
        <v>0.13755458515283842</v>
      </c>
      <c r="Q90">
        <f>'[1]Forward Ranks'!AH90</f>
        <v>0</v>
      </c>
      <c r="R90" s="1">
        <f>'[1]Forward Ranks'!AM90</f>
        <v>0.4126637554585153</v>
      </c>
      <c r="S90" s="1">
        <f>'[1]Forward Ranks'!AN90</f>
        <v>0.27729257641921395</v>
      </c>
      <c r="T90" s="1">
        <f>'[1]Forward Ranks'!AO90</f>
        <v>0.48471615720524019</v>
      </c>
      <c r="U90" s="1">
        <f>'[1]Forward Ranks'!AP90</f>
        <v>0.37117903930131002</v>
      </c>
      <c r="V90">
        <f>'[1]Forward Ranks'!AR90</f>
        <v>0</v>
      </c>
      <c r="W90" s="1">
        <f>'[1]Forward Ranks'!AW90</f>
        <v>0.26637554585152839</v>
      </c>
      <c r="X90" s="1">
        <f>'[1]Forward Ranks'!AX90</f>
        <v>0.34279475982532753</v>
      </c>
      <c r="Y90" s="1">
        <f>'[1]Forward Ranks'!AY90</f>
        <v>0.32751091703056767</v>
      </c>
      <c r="Z90" s="1">
        <f>'[1]Forward Ranks'!AZ90</f>
        <v>0.24890829694323144</v>
      </c>
      <c r="AA90">
        <f>'[1]Forward Ranks'!BB90</f>
        <v>0</v>
      </c>
      <c r="AB90" s="1">
        <f>'[1]Forward Ranks'!BG90</f>
        <v>0.43231441048034935</v>
      </c>
      <c r="AC90" s="1">
        <f>'[1]Forward Ranks'!BH90</f>
        <v>6.9868995633187769E-2</v>
      </c>
      <c r="AD90" s="1">
        <f>'[1]Forward Ranks'!BI90</f>
        <v>0.37772925764192139</v>
      </c>
      <c r="AE90" s="1">
        <f>'[1]Forward Ranks'!BJ90</f>
        <v>0.54803493449781659</v>
      </c>
      <c r="AF90">
        <f>'[1]Forward Ranks'!BL90</f>
        <v>0</v>
      </c>
      <c r="AG90" s="1">
        <f>'[1]Forward Ranks'!BQ90</f>
        <v>0.16593886462882096</v>
      </c>
      <c r="AH90" s="1">
        <f>'[1]Forward Ranks'!BR90</f>
        <v>0.24890829694323144</v>
      </c>
      <c r="AI90" s="1">
        <f>'[1]Forward Ranks'!BS90</f>
        <v>0.33624454148471616</v>
      </c>
      <c r="AJ90" s="1">
        <f>'[1]Forward Ranks'!BT90</f>
        <v>0.20742358078602621</v>
      </c>
      <c r="AL90" s="2">
        <f>'[1]Forward Ranks'!BX90</f>
        <v>0.15502183406113537</v>
      </c>
      <c r="AN90" t="str">
        <f>'[1]Forward Ranks'!B90</f>
        <v>NSH</v>
      </c>
      <c r="AO90">
        <f>'[1]F on ice'!E90</f>
        <v>82</v>
      </c>
      <c r="AP90" s="2">
        <f>'[1]Impact Score Math'!E90</f>
        <v>0.25050100200400799</v>
      </c>
      <c r="AQ90">
        <f>'[1]Impact Score Math'!G90</f>
        <v>375</v>
      </c>
      <c r="AT90" s="1">
        <f>'[1]Forward Ranks'!CJ90</f>
        <v>0.66593886462882101</v>
      </c>
      <c r="AU90" s="1">
        <f>'[1]Forward Ranks'!CK90</f>
        <v>0.59170305676855894</v>
      </c>
    </row>
    <row r="91" spans="1:47" x14ac:dyDescent="0.3">
      <c r="A91" t="str">
        <f>'[1]Forward Ranks'!A91</f>
        <v>Connor Dewar</v>
      </c>
      <c r="B91">
        <f>'[1]Forward Ranks'!D91</f>
        <v>0</v>
      </c>
      <c r="C91" s="1">
        <f>'[1]Forward Ranks'!I91</f>
        <v>0.16593886462882096</v>
      </c>
      <c r="D91" s="1">
        <f>'[1]Forward Ranks'!J91</f>
        <v>8.5152838427947602E-2</v>
      </c>
      <c r="E91" s="1">
        <f>'[1]Forward Ranks'!K91</f>
        <v>3.4934497816593885E-2</v>
      </c>
      <c r="F91" s="1">
        <f>'[1]Forward Ranks'!L91</f>
        <v>9.3886462882096067E-2</v>
      </c>
      <c r="G91">
        <f>'[1]Forward Ranks'!N91</f>
        <v>0</v>
      </c>
      <c r="H91" s="1">
        <f>'[1]Forward Ranks'!S91</f>
        <v>4.8034934497816595E-2</v>
      </c>
      <c r="I91" s="1">
        <f>'[1]Forward Ranks'!T91</f>
        <v>0.38427947598253276</v>
      </c>
      <c r="J91" s="1">
        <f>'[1]Forward Ranks'!U91</f>
        <v>0.31004366812227074</v>
      </c>
      <c r="K91" s="1">
        <f>'[1]Forward Ranks'!V91</f>
        <v>0.12445414847161572</v>
      </c>
      <c r="L91">
        <f>'[1]Forward Ranks'!X91</f>
        <v>0</v>
      </c>
      <c r="M91" s="1">
        <f>'[1]Forward Ranks'!AC91</f>
        <v>0.68122270742358082</v>
      </c>
      <c r="N91" s="1">
        <f>'[1]Forward Ranks'!AD91</f>
        <v>0.95633187772925765</v>
      </c>
      <c r="O91" s="1">
        <f>'[1]Forward Ranks'!AE91</f>
        <v>0.77292576419213976</v>
      </c>
      <c r="P91" s="1">
        <f>'[1]Forward Ranks'!AF91</f>
        <v>0.90393013100436681</v>
      </c>
      <c r="Q91">
        <f>'[1]Forward Ranks'!AH91</f>
        <v>0</v>
      </c>
      <c r="R91" s="1">
        <f>'[1]Forward Ranks'!AM91</f>
        <v>0.10043668122270742</v>
      </c>
      <c r="S91" s="1">
        <f>'[1]Forward Ranks'!AN91</f>
        <v>0.14410480349344978</v>
      </c>
      <c r="T91" s="1">
        <f>'[1]Forward Ranks'!AO91</f>
        <v>0.1091703056768559</v>
      </c>
      <c r="U91" s="1">
        <f>'[1]Forward Ranks'!AP91</f>
        <v>0.12445414847161572</v>
      </c>
      <c r="V91">
        <f>'[1]Forward Ranks'!AR91</f>
        <v>0</v>
      </c>
      <c r="W91" s="1">
        <f>'[1]Forward Ranks'!AW91</f>
        <v>0.71397379912663761</v>
      </c>
      <c r="X91" s="1">
        <f>'[1]Forward Ranks'!AX91</f>
        <v>0.77729257641921401</v>
      </c>
      <c r="Y91" s="1">
        <f>'[1]Forward Ranks'!AY91</f>
        <v>0.48908296943231439</v>
      </c>
      <c r="Z91" s="1">
        <f>'[1]Forward Ranks'!AZ91</f>
        <v>0.81441048034934493</v>
      </c>
      <c r="AA91">
        <f>'[1]Forward Ranks'!BB91</f>
        <v>0</v>
      </c>
      <c r="AB91" s="1">
        <f>'[1]Forward Ranks'!BG91</f>
        <v>5.6768558951965066E-2</v>
      </c>
      <c r="AC91" s="1">
        <f>'[1]Forward Ranks'!BH91</f>
        <v>0.14410480349344978</v>
      </c>
      <c r="AD91" s="1">
        <f>'[1]Forward Ranks'!BI91</f>
        <v>5.6768558951965066E-2</v>
      </c>
      <c r="AE91" s="1">
        <f>'[1]Forward Ranks'!BJ91</f>
        <v>0.24672489082969432</v>
      </c>
      <c r="AF91">
        <f>'[1]Forward Ranks'!BL91</f>
        <v>0</v>
      </c>
      <c r="AG91" s="1">
        <f>'[1]Forward Ranks'!BQ91</f>
        <v>0.34061135371179041</v>
      </c>
      <c r="AH91" s="1">
        <f>'[1]Forward Ranks'!BR91</f>
        <v>0.39956331877729256</v>
      </c>
      <c r="AI91" s="1">
        <f>'[1]Forward Ranks'!BS91</f>
        <v>0.13537117903930132</v>
      </c>
      <c r="AJ91" s="1">
        <f>'[1]Forward Ranks'!BT91</f>
        <v>0.34279475982532753</v>
      </c>
      <c r="AL91" s="2">
        <f>'[1]Forward Ranks'!BX91</f>
        <v>0.23799126637554585</v>
      </c>
      <c r="AN91" t="str">
        <f>'[1]Forward Ranks'!B91</f>
        <v>MIN</v>
      </c>
      <c r="AO91">
        <f>'[1]F on ice'!E91</f>
        <v>81</v>
      </c>
      <c r="AP91" s="2">
        <f>'[1]Impact Score Math'!E91</f>
        <v>0.22444889779559118</v>
      </c>
      <c r="AQ91">
        <f>'[1]Impact Score Math'!G91</f>
        <v>388</v>
      </c>
      <c r="AT91" s="1">
        <f>'[1]Forward Ranks'!CJ91</f>
        <v>0.31877729257641924</v>
      </c>
      <c r="AU91" s="1">
        <f>'[1]Forward Ranks'!CK91</f>
        <v>0.29039301310043669</v>
      </c>
    </row>
    <row r="92" spans="1:47" x14ac:dyDescent="0.3">
      <c r="A92" t="str">
        <f>'[1]Forward Ranks'!A92</f>
        <v>Connor McDavid</v>
      </c>
      <c r="B92">
        <f>'[1]Forward Ranks'!D92</f>
        <v>0</v>
      </c>
      <c r="C92" s="1">
        <f>'[1]Forward Ranks'!I92</f>
        <v>0.89519650655021832</v>
      </c>
      <c r="D92" s="1">
        <f>'[1]Forward Ranks'!J92</f>
        <v>0.96724890829694321</v>
      </c>
      <c r="E92" s="1">
        <f>'[1]Forward Ranks'!K92</f>
        <v>0.91484716157205237</v>
      </c>
      <c r="F92" s="1">
        <f>'[1]Forward Ranks'!L92</f>
        <v>0.96506550218340614</v>
      </c>
      <c r="G92">
        <f>'[1]Forward Ranks'!N92</f>
        <v>0</v>
      </c>
      <c r="H92" s="1">
        <f>'[1]Forward Ranks'!S92</f>
        <v>0.98908296943231444</v>
      </c>
      <c r="I92" s="1">
        <f>'[1]Forward Ranks'!T92</f>
        <v>0.76200873362445409</v>
      </c>
      <c r="J92" s="1">
        <f>'[1]Forward Ranks'!U92</f>
        <v>0.88209606986899558</v>
      </c>
      <c r="K92" s="1">
        <f>'[1]Forward Ranks'!V92</f>
        <v>0.95851528384279472</v>
      </c>
      <c r="L92">
        <f>'[1]Forward Ranks'!X92</f>
        <v>0</v>
      </c>
      <c r="M92" s="1">
        <f>'[1]Forward Ranks'!AC92</f>
        <v>0.47379912663755458</v>
      </c>
      <c r="N92" s="1">
        <f>'[1]Forward Ranks'!AD92</f>
        <v>0.78820960698689957</v>
      </c>
      <c r="O92" s="1">
        <f>'[1]Forward Ranks'!AE92</f>
        <v>0.31004366812227074</v>
      </c>
      <c r="P92" s="1">
        <f>'[1]Forward Ranks'!AF92</f>
        <v>0.56113537117903933</v>
      </c>
      <c r="Q92">
        <f>'[1]Forward Ranks'!AH92</f>
        <v>0</v>
      </c>
      <c r="R92" s="1">
        <f>'[1]Forward Ranks'!AM92</f>
        <v>0.94759825327510916</v>
      </c>
      <c r="S92" s="1">
        <f>'[1]Forward Ranks'!AN92</f>
        <v>0.97161572052401746</v>
      </c>
      <c r="T92" s="1">
        <f>'[1]Forward Ranks'!AO92</f>
        <v>0.85152838427947597</v>
      </c>
      <c r="U92" s="1">
        <f>'[1]Forward Ranks'!AP92</f>
        <v>0.96724890829694321</v>
      </c>
      <c r="V92">
        <f>'[1]Forward Ranks'!AR92</f>
        <v>0</v>
      </c>
      <c r="W92" s="1">
        <f>'[1]Forward Ranks'!AW92</f>
        <v>0.24017467248908297</v>
      </c>
      <c r="X92" s="1">
        <f>'[1]Forward Ranks'!AX92</f>
        <v>0.52183406113537123</v>
      </c>
      <c r="Y92" s="1">
        <f>'[1]Forward Ranks'!AY92</f>
        <v>0.18995633187772926</v>
      </c>
      <c r="Z92" s="1">
        <f>'[1]Forward Ranks'!AZ92</f>
        <v>0.41921397379912662</v>
      </c>
      <c r="AA92">
        <f>'[1]Forward Ranks'!BB92</f>
        <v>0</v>
      </c>
      <c r="AB92" s="1">
        <f>'[1]Forward Ranks'!BG92</f>
        <v>0.99563318777292575</v>
      </c>
      <c r="AC92" s="1">
        <f>'[1]Forward Ranks'!BH92</f>
        <v>0.84716157205240172</v>
      </c>
      <c r="AD92" s="1">
        <f>'[1]Forward Ranks'!BI92</f>
        <v>0.77292576419213976</v>
      </c>
      <c r="AE92" s="1">
        <f>'[1]Forward Ranks'!BJ92</f>
        <v>0.59388646288209612</v>
      </c>
      <c r="AF92">
        <f>'[1]Forward Ranks'!BL92</f>
        <v>0</v>
      </c>
      <c r="AG92" s="1">
        <f>'[1]Forward Ranks'!BQ92</f>
        <v>0.81877729257641918</v>
      </c>
      <c r="AH92" s="1">
        <f>'[1]Forward Ranks'!BR92</f>
        <v>0.96724890829694321</v>
      </c>
      <c r="AI92" s="1">
        <f>'[1]Forward Ranks'!BS92</f>
        <v>0.71179039301310043</v>
      </c>
      <c r="AJ92" s="1">
        <f>'[1]Forward Ranks'!BT92</f>
        <v>0.9366812227074236</v>
      </c>
      <c r="AL92" s="2">
        <f>'[1]Forward Ranks'!BX92</f>
        <v>0.95414847161572047</v>
      </c>
      <c r="AN92" t="str">
        <f>'[1]Forward Ranks'!B92</f>
        <v>EDM</v>
      </c>
      <c r="AO92">
        <f>'[1]F on ice'!E92</f>
        <v>82</v>
      </c>
      <c r="AP92" s="2">
        <f>'[1]Impact Score Math'!E92</f>
        <v>0.99198396793587174</v>
      </c>
      <c r="AQ92">
        <f>'[1]Impact Score Math'!G92</f>
        <v>5</v>
      </c>
      <c r="AT92" s="1">
        <f>'[1]Forward Ranks'!CJ92</f>
        <v>0.53493449781659386</v>
      </c>
      <c r="AU92" s="1">
        <f>'[1]Forward Ranks'!CK92</f>
        <v>0.86681222707423577</v>
      </c>
    </row>
    <row r="93" spans="1:47" x14ac:dyDescent="0.3">
      <c r="A93" t="str">
        <f>'[1]Forward Ranks'!A93</f>
        <v>Conor Garland</v>
      </c>
      <c r="B93">
        <f>'[1]Forward Ranks'!D93</f>
        <v>0</v>
      </c>
      <c r="C93" s="1">
        <f>'[1]Forward Ranks'!I93</f>
        <v>0.40393013100436681</v>
      </c>
      <c r="D93" s="1">
        <f>'[1]Forward Ranks'!J93</f>
        <v>0.54585152838427953</v>
      </c>
      <c r="E93" s="1">
        <f>'[1]Forward Ranks'!K93</f>
        <v>0.37336244541484714</v>
      </c>
      <c r="F93" s="1">
        <f>'[1]Forward Ranks'!L93</f>
        <v>0.388646288209607</v>
      </c>
      <c r="G93">
        <f>'[1]Forward Ranks'!N93</f>
        <v>0</v>
      </c>
      <c r="H93" s="1">
        <f>'[1]Forward Ranks'!S93</f>
        <v>0.54585152838427953</v>
      </c>
      <c r="I93" s="1">
        <f>'[1]Forward Ranks'!T93</f>
        <v>0.64410480349344978</v>
      </c>
      <c r="J93" s="1">
        <f>'[1]Forward Ranks'!U93</f>
        <v>0.46943231441048033</v>
      </c>
      <c r="K93" s="1">
        <f>'[1]Forward Ranks'!V93</f>
        <v>0.611353711790393</v>
      </c>
      <c r="L93">
        <f>'[1]Forward Ranks'!X93</f>
        <v>0</v>
      </c>
      <c r="M93" s="1">
        <f>'[1]Forward Ranks'!AC93</f>
        <v>0.44104803493449779</v>
      </c>
      <c r="N93" s="1">
        <f>'[1]Forward Ranks'!AD93</f>
        <v>0.48471615720524019</v>
      </c>
      <c r="O93" s="1">
        <f>'[1]Forward Ranks'!AE93</f>
        <v>0.611353711790393</v>
      </c>
      <c r="P93" s="1">
        <f>'[1]Forward Ranks'!AF93</f>
        <v>0.4606986899563319</v>
      </c>
      <c r="Q93">
        <f>'[1]Forward Ranks'!AH93</f>
        <v>0</v>
      </c>
      <c r="R93" s="1">
        <f>'[1]Forward Ranks'!AM93</f>
        <v>0.72052401746724892</v>
      </c>
      <c r="S93" s="1">
        <f>'[1]Forward Ranks'!AN93</f>
        <v>0.70524017467248912</v>
      </c>
      <c r="T93" s="1">
        <f>'[1]Forward Ranks'!AO93</f>
        <v>0.37554585152838427</v>
      </c>
      <c r="U93" s="1">
        <f>'[1]Forward Ranks'!AP93</f>
        <v>0.61572052401746724</v>
      </c>
      <c r="V93">
        <f>'[1]Forward Ranks'!AR93</f>
        <v>0</v>
      </c>
      <c r="W93" s="1">
        <f>'[1]Forward Ranks'!AW93</f>
        <v>0.39519650655021832</v>
      </c>
      <c r="X93" s="1">
        <f>'[1]Forward Ranks'!AX93</f>
        <v>0.64847161572052403</v>
      </c>
      <c r="Y93" s="1">
        <f>'[1]Forward Ranks'!AY93</f>
        <v>0.888646288209607</v>
      </c>
      <c r="Z93" s="1">
        <f>'[1]Forward Ranks'!AZ93</f>
        <v>0.5873362445414847</v>
      </c>
      <c r="AA93">
        <f>'[1]Forward Ranks'!BB93</f>
        <v>0</v>
      </c>
      <c r="AB93" s="1">
        <f>'[1]Forward Ranks'!BG93</f>
        <v>0.64192139737991272</v>
      </c>
      <c r="AC93" s="1">
        <f>'[1]Forward Ranks'!BH93</f>
        <v>0.4366812227074236</v>
      </c>
      <c r="AD93" s="1">
        <f>'[1]Forward Ranks'!BI93</f>
        <v>0.3930131004366812</v>
      </c>
      <c r="AE93" s="1">
        <f>'[1]Forward Ranks'!BJ93</f>
        <v>0.53711790393013104</v>
      </c>
      <c r="AF93">
        <f>'[1]Forward Ranks'!BL93</f>
        <v>0</v>
      </c>
      <c r="AG93" s="1">
        <f>'[1]Forward Ranks'!BQ93</f>
        <v>0.41484716157205243</v>
      </c>
      <c r="AH93" s="1">
        <f>'[1]Forward Ranks'!BR93</f>
        <v>0.49563318777292575</v>
      </c>
      <c r="AI93" s="1">
        <f>'[1]Forward Ranks'!BS93</f>
        <v>0.4759825327510917</v>
      </c>
      <c r="AJ93" s="1">
        <f>'[1]Forward Ranks'!BT93</f>
        <v>0.388646288209607</v>
      </c>
      <c r="AL93" s="2">
        <f>'[1]Forward Ranks'!BX93</f>
        <v>0.54148471615720528</v>
      </c>
      <c r="AN93" t="str">
        <f>'[1]Forward Ranks'!B93</f>
        <v>VAN</v>
      </c>
      <c r="AO93">
        <f>'[1]F on ice'!E93</f>
        <v>81</v>
      </c>
      <c r="AP93" s="2">
        <f>'[1]Impact Score Math'!E93</f>
        <v>0.63927855711422843</v>
      </c>
      <c r="AQ93">
        <f>'[1]Impact Score Math'!G93</f>
        <v>181</v>
      </c>
      <c r="AT93" s="1">
        <f>'[1]Forward Ranks'!CJ93</f>
        <v>0.6506550218340611</v>
      </c>
      <c r="AU93" s="1">
        <f>'[1]Forward Ranks'!CK93</f>
        <v>0.85589519650655022</v>
      </c>
    </row>
    <row r="94" spans="1:47" x14ac:dyDescent="0.3">
      <c r="A94" t="str">
        <f>'[1]Forward Ranks'!A94</f>
        <v>Conor Sheary</v>
      </c>
      <c r="B94">
        <f>'[1]Forward Ranks'!D94</f>
        <v>0</v>
      </c>
      <c r="C94" s="1">
        <f>'[1]Forward Ranks'!I94</f>
        <v>0.72489082969432317</v>
      </c>
      <c r="D94" s="1">
        <f>'[1]Forward Ranks'!J94</f>
        <v>0.72052401746724892</v>
      </c>
      <c r="E94" s="1">
        <f>'[1]Forward Ranks'!K94</f>
        <v>0.65720524017467252</v>
      </c>
      <c r="F94" s="1">
        <f>'[1]Forward Ranks'!L94</f>
        <v>0.73362445414847166</v>
      </c>
      <c r="G94">
        <f>'[1]Forward Ranks'!N94</f>
        <v>0</v>
      </c>
      <c r="H94" s="1">
        <f>'[1]Forward Ranks'!S94</f>
        <v>0.45414847161572053</v>
      </c>
      <c r="I94" s="1">
        <f>'[1]Forward Ranks'!T94</f>
        <v>0.43449781659388648</v>
      </c>
      <c r="J94" s="1">
        <f>'[1]Forward Ranks'!U94</f>
        <v>0.61790393013100442</v>
      </c>
      <c r="K94" s="1">
        <f>'[1]Forward Ranks'!V94</f>
        <v>0.43886462882096072</v>
      </c>
      <c r="L94">
        <f>'[1]Forward Ranks'!X94</f>
        <v>0</v>
      </c>
      <c r="M94" s="1">
        <f>'[1]Forward Ranks'!AC94</f>
        <v>0.10262008733624454</v>
      </c>
      <c r="N94" s="1">
        <f>'[1]Forward Ranks'!AD94</f>
        <v>0.31877729257641924</v>
      </c>
      <c r="O94" s="1">
        <f>'[1]Forward Ranks'!AE94</f>
        <v>0.59170305676855894</v>
      </c>
      <c r="P94" s="1">
        <f>'[1]Forward Ranks'!AF94</f>
        <v>0.21179039301310043</v>
      </c>
      <c r="Q94">
        <f>'[1]Forward Ranks'!AH94</f>
        <v>0</v>
      </c>
      <c r="R94" s="1">
        <f>'[1]Forward Ranks'!AM94</f>
        <v>0.76419213973799127</v>
      </c>
      <c r="S94" s="1">
        <f>'[1]Forward Ranks'!AN94</f>
        <v>0.78384279475982532</v>
      </c>
      <c r="T94" s="1">
        <f>'[1]Forward Ranks'!AO94</f>
        <v>0.65283842794759828</v>
      </c>
      <c r="U94" s="1">
        <f>'[1]Forward Ranks'!AP94</f>
        <v>0.74017467248908297</v>
      </c>
      <c r="V94">
        <f>'[1]Forward Ranks'!AR94</f>
        <v>0</v>
      </c>
      <c r="W94" s="1">
        <f>'[1]Forward Ranks'!AW94</f>
        <v>4.5851528384279479E-2</v>
      </c>
      <c r="X94" s="1">
        <f>'[1]Forward Ranks'!AX94</f>
        <v>0.30349344978165937</v>
      </c>
      <c r="Y94" s="1">
        <f>'[1]Forward Ranks'!AY94</f>
        <v>0.77947598253275108</v>
      </c>
      <c r="Z94" s="1">
        <f>'[1]Forward Ranks'!AZ94</f>
        <v>0.20305676855895197</v>
      </c>
      <c r="AA94">
        <f>'[1]Forward Ranks'!BB94</f>
        <v>0</v>
      </c>
      <c r="AB94" s="1">
        <f>'[1]Forward Ranks'!BG94</f>
        <v>0.58296943231441045</v>
      </c>
      <c r="AC94" s="1">
        <f>'[1]Forward Ranks'!BH94</f>
        <v>0.74672489082969429</v>
      </c>
      <c r="AD94" s="1">
        <f>'[1]Forward Ranks'!BI94</f>
        <v>0.63973799126637554</v>
      </c>
      <c r="AE94" s="1">
        <f>'[1]Forward Ranks'!BJ94</f>
        <v>0.78820960698689957</v>
      </c>
      <c r="AF94">
        <f>'[1]Forward Ranks'!BL94</f>
        <v>0</v>
      </c>
      <c r="AG94" s="1">
        <f>'[1]Forward Ranks'!BQ94</f>
        <v>0.41484716157205243</v>
      </c>
      <c r="AH94" s="1">
        <f>'[1]Forward Ranks'!BR94</f>
        <v>0.54585152838427953</v>
      </c>
      <c r="AI94" s="1">
        <f>'[1]Forward Ranks'!BS94</f>
        <v>0.66812227074235808</v>
      </c>
      <c r="AJ94" s="1">
        <f>'[1]Forward Ranks'!BT94</f>
        <v>0.50218340611353707</v>
      </c>
      <c r="AL94" s="2">
        <f>'[1]Forward Ranks'!BX94</f>
        <v>0.41048034934497818</v>
      </c>
      <c r="AN94" t="str">
        <f>'[1]Forward Ranks'!B94</f>
        <v>WSH</v>
      </c>
      <c r="AO94">
        <f>'[1]F on ice'!E94</f>
        <v>82</v>
      </c>
      <c r="AP94" s="2">
        <f>'[1]Impact Score Math'!E94</f>
        <v>0.49498997995991983</v>
      </c>
      <c r="AQ94">
        <f>'[1]Impact Score Math'!G94</f>
        <v>253</v>
      </c>
      <c r="AT94" s="1">
        <f>'[1]Forward Ranks'!CJ94</f>
        <v>0.63100436681222705</v>
      </c>
      <c r="AU94" s="1">
        <f>'[1]Forward Ranks'!CK94</f>
        <v>0.40174672489082969</v>
      </c>
    </row>
    <row r="95" spans="1:47" x14ac:dyDescent="0.3">
      <c r="A95" t="str">
        <f>'[1]Forward Ranks'!A95</f>
        <v>Corey Perry</v>
      </c>
      <c r="B95">
        <f>'[1]Forward Ranks'!D95</f>
        <v>0</v>
      </c>
      <c r="C95" s="1">
        <f>'[1]Forward Ranks'!I95</f>
        <v>0.52620087336244536</v>
      </c>
      <c r="D95" s="1">
        <f>'[1]Forward Ranks'!J95</f>
        <v>0.75764192139737996</v>
      </c>
      <c r="E95" s="1">
        <f>'[1]Forward Ranks'!K95</f>
        <v>0.16157205240174671</v>
      </c>
      <c r="F95" s="1">
        <f>'[1]Forward Ranks'!L95</f>
        <v>0.51528384279475981</v>
      </c>
      <c r="G95">
        <f>'[1]Forward Ranks'!N95</f>
        <v>0</v>
      </c>
      <c r="H95" s="1">
        <f>'[1]Forward Ranks'!S95</f>
        <v>0.24454148471615719</v>
      </c>
      <c r="I95" s="1">
        <f>'[1]Forward Ranks'!T95</f>
        <v>9.1703056768558958E-2</v>
      </c>
      <c r="J95" s="1">
        <f>'[1]Forward Ranks'!U95</f>
        <v>0.17903930131004367</v>
      </c>
      <c r="K95" s="1">
        <f>'[1]Forward Ranks'!V95</f>
        <v>7.6419213973799124E-2</v>
      </c>
      <c r="L95">
        <f>'[1]Forward Ranks'!X95</f>
        <v>0</v>
      </c>
      <c r="M95" s="1">
        <f>'[1]Forward Ranks'!AC95</f>
        <v>0.75545851528384278</v>
      </c>
      <c r="N95" s="1">
        <f>'[1]Forward Ranks'!AD95</f>
        <v>0.94323144104803491</v>
      </c>
      <c r="O95" s="1">
        <f>'[1]Forward Ranks'!AE95</f>
        <v>0.35371179039301309</v>
      </c>
      <c r="P95" s="1">
        <f>'[1]Forward Ranks'!AF95</f>
        <v>0.95633187772925765</v>
      </c>
      <c r="Q95">
        <f>'[1]Forward Ranks'!AH95</f>
        <v>0</v>
      </c>
      <c r="R95" s="1">
        <f>'[1]Forward Ranks'!AM95</f>
        <v>0.33842794759825329</v>
      </c>
      <c r="S95" s="1">
        <f>'[1]Forward Ranks'!AN95</f>
        <v>0.31441048034934499</v>
      </c>
      <c r="T95" s="1">
        <f>'[1]Forward Ranks'!AO95</f>
        <v>8.5152838427947602E-2</v>
      </c>
      <c r="U95" s="1">
        <f>'[1]Forward Ranks'!AP95</f>
        <v>0.26200873362445415</v>
      </c>
      <c r="V95">
        <f>'[1]Forward Ranks'!AR95</f>
        <v>0</v>
      </c>
      <c r="W95" s="1">
        <f>'[1]Forward Ranks'!AW95</f>
        <v>0.79475982532751088</v>
      </c>
      <c r="X95" s="1">
        <f>'[1]Forward Ranks'!AX95</f>
        <v>0.96288209606986896</v>
      </c>
      <c r="Y95" s="1">
        <f>'[1]Forward Ranks'!AY95</f>
        <v>0.22270742358078602</v>
      </c>
      <c r="Z95" s="1">
        <f>'[1]Forward Ranks'!AZ95</f>
        <v>0.9759825327510917</v>
      </c>
      <c r="AA95">
        <f>'[1]Forward Ranks'!BB95</f>
        <v>0</v>
      </c>
      <c r="AB95" s="1">
        <f>'[1]Forward Ranks'!BG95</f>
        <v>8.0786026200873357E-2</v>
      </c>
      <c r="AC95" s="1">
        <f>'[1]Forward Ranks'!BH95</f>
        <v>0.69650655021834063</v>
      </c>
      <c r="AD95" s="1">
        <f>'[1]Forward Ranks'!BI95</f>
        <v>0.1091703056768559</v>
      </c>
      <c r="AE95" s="1">
        <f>'[1]Forward Ranks'!BJ95</f>
        <v>7.8602620087336247E-2</v>
      </c>
      <c r="AF95">
        <f>'[1]Forward Ranks'!BL95</f>
        <v>0</v>
      </c>
      <c r="AG95" s="1">
        <f>'[1]Forward Ranks'!BQ95</f>
        <v>0.63755458515283847</v>
      </c>
      <c r="AH95" s="1">
        <f>'[1]Forward Ranks'!BR95</f>
        <v>0.91921397379912662</v>
      </c>
      <c r="AI95" s="1">
        <f>'[1]Forward Ranks'!BS95</f>
        <v>0.13973799126637554</v>
      </c>
      <c r="AJ95" s="1">
        <f>'[1]Forward Ranks'!BT95</f>
        <v>0.83406113537117899</v>
      </c>
      <c r="AL95" s="2">
        <f>'[1]Forward Ranks'!BX95</f>
        <v>0.58296943231441045</v>
      </c>
      <c r="AN95" t="str">
        <f>'[1]Forward Ranks'!B95</f>
        <v>T.B</v>
      </c>
      <c r="AO95">
        <f>'[1]F on ice'!E95</f>
        <v>81</v>
      </c>
      <c r="AP95" s="2">
        <f>'[1]Impact Score Math'!E95</f>
        <v>0.45691382765531063</v>
      </c>
      <c r="AQ95">
        <f>'[1]Impact Score Math'!G95</f>
        <v>272</v>
      </c>
      <c r="AT95" s="1">
        <f>'[1]Forward Ranks'!CJ95</f>
        <v>8.5152838427947602E-2</v>
      </c>
      <c r="AU95" s="1">
        <f>'[1]Forward Ranks'!CK95</f>
        <v>0.92576419213973804</v>
      </c>
    </row>
    <row r="96" spans="1:47" x14ac:dyDescent="0.3">
      <c r="A96" t="str">
        <f>'[1]Forward Ranks'!A96</f>
        <v>Craig Smith</v>
      </c>
      <c r="B96">
        <f>'[1]Forward Ranks'!D96</f>
        <v>0</v>
      </c>
      <c r="C96" s="1">
        <f>'[1]Forward Ranks'!I96</f>
        <v>0.69213973799126638</v>
      </c>
      <c r="D96" s="1">
        <f>'[1]Forward Ranks'!J96</f>
        <v>0.54366812227074235</v>
      </c>
      <c r="E96" s="1">
        <f>'[1]Forward Ranks'!K96</f>
        <v>0.51965065502183405</v>
      </c>
      <c r="F96" s="1">
        <f>'[1]Forward Ranks'!L96</f>
        <v>0.69868995633187769</v>
      </c>
      <c r="G96">
        <f>'[1]Forward Ranks'!N96</f>
        <v>0</v>
      </c>
      <c r="H96" s="1">
        <f>'[1]Forward Ranks'!S96</f>
        <v>0.67685589519650657</v>
      </c>
      <c r="I96" s="1">
        <f>'[1]Forward Ranks'!T96</f>
        <v>0.13973799126637554</v>
      </c>
      <c r="J96" s="1">
        <f>'[1]Forward Ranks'!U96</f>
        <v>3.0567685589519649E-2</v>
      </c>
      <c r="K96" s="1">
        <f>'[1]Forward Ranks'!V96</f>
        <v>0.28602620087336245</v>
      </c>
      <c r="L96">
        <f>'[1]Forward Ranks'!X96</f>
        <v>0</v>
      </c>
      <c r="M96" s="1">
        <f>'[1]Forward Ranks'!AC96</f>
        <v>0.44104803493449779</v>
      </c>
      <c r="N96" s="1">
        <f>'[1]Forward Ranks'!AD96</f>
        <v>0.59170305676855894</v>
      </c>
      <c r="O96" s="1">
        <f>'[1]Forward Ranks'!AE96</f>
        <v>0.84716157205240172</v>
      </c>
      <c r="P96" s="1">
        <f>'[1]Forward Ranks'!AF96</f>
        <v>0.44104803493449779</v>
      </c>
      <c r="Q96">
        <f>'[1]Forward Ranks'!AH96</f>
        <v>0</v>
      </c>
      <c r="R96" s="1">
        <f>'[1]Forward Ranks'!AM96</f>
        <v>0.66593886462882101</v>
      </c>
      <c r="S96" s="1">
        <f>'[1]Forward Ranks'!AN96</f>
        <v>0.38427947598253276</v>
      </c>
      <c r="T96" s="1">
        <f>'[1]Forward Ranks'!AO96</f>
        <v>0.1943231441048035</v>
      </c>
      <c r="U96" s="1">
        <f>'[1]Forward Ranks'!AP96</f>
        <v>0.6026200873362445</v>
      </c>
      <c r="V96">
        <f>'[1]Forward Ranks'!AR96</f>
        <v>0</v>
      </c>
      <c r="W96" s="1">
        <f>'[1]Forward Ranks'!AW96</f>
        <v>0.45851528384279477</v>
      </c>
      <c r="X96" s="1">
        <f>'[1]Forward Ranks'!AX96</f>
        <v>0.66157205240174677</v>
      </c>
      <c r="Y96" s="1">
        <f>'[1]Forward Ranks'!AY96</f>
        <v>0.72052401746724892</v>
      </c>
      <c r="Z96" s="1">
        <f>'[1]Forward Ranks'!AZ96</f>
        <v>0.39956331877729256</v>
      </c>
      <c r="AA96">
        <f>'[1]Forward Ranks'!BB96</f>
        <v>0</v>
      </c>
      <c r="AB96" s="1">
        <f>'[1]Forward Ranks'!BG96</f>
        <v>0.20960698689956331</v>
      </c>
      <c r="AC96" s="1">
        <f>'[1]Forward Ranks'!BH96</f>
        <v>0.36899563318777295</v>
      </c>
      <c r="AD96" s="1">
        <f>'[1]Forward Ranks'!BI96</f>
        <v>0.4126637554585153</v>
      </c>
      <c r="AE96" s="1">
        <f>'[1]Forward Ranks'!BJ96</f>
        <v>0.70960698689956336</v>
      </c>
      <c r="AF96">
        <f>'[1]Forward Ranks'!BL96</f>
        <v>0</v>
      </c>
      <c r="AG96" s="1">
        <f>'[1]Forward Ranks'!BQ96</f>
        <v>0.60698689956331875</v>
      </c>
      <c r="AH96" s="1">
        <f>'[1]Forward Ranks'!BR96</f>
        <v>0.56768558951965065</v>
      </c>
      <c r="AI96" s="1">
        <f>'[1]Forward Ranks'!BS96</f>
        <v>0.81004366812227069</v>
      </c>
      <c r="AJ96" s="1">
        <f>'[1]Forward Ranks'!BT96</f>
        <v>0.60698689956331875</v>
      </c>
      <c r="AL96" s="2">
        <f>'[1]Forward Ranks'!BX96</f>
        <v>0.55895196506550215</v>
      </c>
      <c r="AN96" t="str">
        <f>'[1]Forward Ranks'!B96</f>
        <v>BOS, WSH</v>
      </c>
      <c r="AO96">
        <f>'[1]F on ice'!E96</f>
        <v>64</v>
      </c>
      <c r="AP96" s="2">
        <f>'[1]Impact Score Math'!E96</f>
        <v>0.50100200400801598</v>
      </c>
      <c r="AQ96">
        <f>'[1]Impact Score Math'!G96</f>
        <v>250</v>
      </c>
      <c r="AT96" s="1">
        <f>'[1]Forward Ranks'!CJ96</f>
        <v>0.44978165938864628</v>
      </c>
      <c r="AU96" s="1">
        <f>'[1]Forward Ranks'!CK96</f>
        <v>0.12445414847161572</v>
      </c>
    </row>
    <row r="97" spans="1:47" x14ac:dyDescent="0.3">
      <c r="A97" t="str">
        <f>'[1]Forward Ranks'!A97</f>
        <v>Curtis Lazar</v>
      </c>
      <c r="B97">
        <f>'[1]Forward Ranks'!D97</f>
        <v>0</v>
      </c>
      <c r="C97" s="1">
        <f>'[1]Forward Ranks'!I97</f>
        <v>8.7336244541484712E-2</v>
      </c>
      <c r="D97" s="1">
        <f>'[1]Forward Ranks'!J97</f>
        <v>0.37772925764192139</v>
      </c>
      <c r="E97" s="1">
        <f>'[1]Forward Ranks'!K97</f>
        <v>8.0786026200873357E-2</v>
      </c>
      <c r="F97" s="1">
        <f>'[1]Forward Ranks'!L97</f>
        <v>0.23362445414847161</v>
      </c>
      <c r="G97">
        <f>'[1]Forward Ranks'!N97</f>
        <v>0</v>
      </c>
      <c r="H97" s="1">
        <f>'[1]Forward Ranks'!S97</f>
        <v>0.10480349344978165</v>
      </c>
      <c r="I97" s="1">
        <f>'[1]Forward Ranks'!T97</f>
        <v>3.2751091703056769E-2</v>
      </c>
      <c r="J97" s="1">
        <f>'[1]Forward Ranks'!U97</f>
        <v>4.3668122270742356E-2</v>
      </c>
      <c r="K97" s="1">
        <f>'[1]Forward Ranks'!V97</f>
        <v>1.7467248908296942E-2</v>
      </c>
      <c r="L97">
        <f>'[1]Forward Ranks'!X97</f>
        <v>0</v>
      </c>
      <c r="M97" s="1">
        <f>'[1]Forward Ranks'!AC97</f>
        <v>0.55895196506550215</v>
      </c>
      <c r="N97" s="1">
        <f>'[1]Forward Ranks'!AD97</f>
        <v>0.15720524017467249</v>
      </c>
      <c r="O97" s="1">
        <f>'[1]Forward Ranks'!AE97</f>
        <v>0.63318777292576423</v>
      </c>
      <c r="P97" s="1">
        <f>'[1]Forward Ranks'!AF97</f>
        <v>0.43013100436681223</v>
      </c>
      <c r="Q97">
        <f>'[1]Forward Ranks'!AH97</f>
        <v>0</v>
      </c>
      <c r="R97" s="1">
        <f>'[1]Forward Ranks'!AM97</f>
        <v>9.8253275109170299E-2</v>
      </c>
      <c r="S97" s="1">
        <f>'[1]Forward Ranks'!AN97</f>
        <v>0.44104803493449779</v>
      </c>
      <c r="T97" s="1">
        <f>'[1]Forward Ranks'!AO97</f>
        <v>4.3668122270742356E-2</v>
      </c>
      <c r="U97" s="1">
        <f>'[1]Forward Ranks'!AP97</f>
        <v>0.28602620087336245</v>
      </c>
      <c r="V97">
        <f>'[1]Forward Ranks'!AR97</f>
        <v>0</v>
      </c>
      <c r="W97" s="1">
        <f>'[1]Forward Ranks'!AW97</f>
        <v>0.46288209606986902</v>
      </c>
      <c r="X97" s="1">
        <f>'[1]Forward Ranks'!AX97</f>
        <v>0.37336244541484714</v>
      </c>
      <c r="Y97" s="1">
        <f>'[1]Forward Ranks'!AY97</f>
        <v>0.9759825327510917</v>
      </c>
      <c r="Z97" s="1">
        <f>'[1]Forward Ranks'!AZ97</f>
        <v>0.53493449781659386</v>
      </c>
      <c r="AA97">
        <f>'[1]Forward Ranks'!BB97</f>
        <v>0</v>
      </c>
      <c r="AB97" s="1">
        <f>'[1]Forward Ranks'!BG97</f>
        <v>0.2205240174672489</v>
      </c>
      <c r="AC97" s="1">
        <f>'[1]Forward Ranks'!BH97</f>
        <v>0.16157205240174671</v>
      </c>
      <c r="AD97" s="1">
        <f>'[1]Forward Ranks'!BI97</f>
        <v>8.0786026200873357E-2</v>
      </c>
      <c r="AE97" s="1">
        <f>'[1]Forward Ranks'!BJ97</f>
        <v>0.2183406113537118</v>
      </c>
      <c r="AF97">
        <f>'[1]Forward Ranks'!BL97</f>
        <v>0</v>
      </c>
      <c r="AG97" s="1">
        <f>'[1]Forward Ranks'!BQ97</f>
        <v>0.18558951965065501</v>
      </c>
      <c r="AH97" s="1">
        <f>'[1]Forward Ranks'!BR97</f>
        <v>0.23362445414847161</v>
      </c>
      <c r="AI97" s="1">
        <f>'[1]Forward Ranks'!BS97</f>
        <v>0.17903930131004367</v>
      </c>
      <c r="AJ97" s="1">
        <f>'[1]Forward Ranks'!BT97</f>
        <v>0.26855895196506552</v>
      </c>
      <c r="AL97" s="2">
        <f>'[1]Forward Ranks'!BX97</f>
        <v>9.606986899563319E-2</v>
      </c>
      <c r="AN97" t="str">
        <f>'[1]Forward Ranks'!B97</f>
        <v>N.J, VAN</v>
      </c>
      <c r="AO97">
        <f>'[1]F on ice'!E97</f>
        <v>49</v>
      </c>
      <c r="AP97" s="2">
        <f>'[1]Impact Score Math'!E97</f>
        <v>0.16232464929859719</v>
      </c>
      <c r="AQ97">
        <f>'[1]Impact Score Math'!G97</f>
        <v>419</v>
      </c>
      <c r="AT97" s="1">
        <f>'[1]Forward Ranks'!CJ97</f>
        <v>0.27292576419213976</v>
      </c>
      <c r="AU97" s="1">
        <f>'[1]Forward Ranks'!CK97</f>
        <v>0.45851528384279477</v>
      </c>
    </row>
    <row r="98" spans="1:47" x14ac:dyDescent="0.3">
      <c r="A98" t="str">
        <f>'[1]Forward Ranks'!A98</f>
        <v>Dakota Joshua</v>
      </c>
      <c r="B98">
        <f>'[1]Forward Ranks'!D98</f>
        <v>0</v>
      </c>
      <c r="C98" s="1">
        <f>'[1]Forward Ranks'!I98</f>
        <v>6.768558951965066E-2</v>
      </c>
      <c r="D98" s="1">
        <f>'[1]Forward Ranks'!J98</f>
        <v>0.46724890829694321</v>
      </c>
      <c r="E98" s="1">
        <f>'[1]Forward Ranks'!K98</f>
        <v>0.15283842794759825</v>
      </c>
      <c r="F98" s="1">
        <f>'[1]Forward Ranks'!L98</f>
        <v>0.26637554585152839</v>
      </c>
      <c r="G98">
        <f>'[1]Forward Ranks'!N98</f>
        <v>0</v>
      </c>
      <c r="H98" s="1">
        <f>'[1]Forward Ranks'!S98</f>
        <v>0.51528384279475981</v>
      </c>
      <c r="I98" s="1">
        <f>'[1]Forward Ranks'!T98</f>
        <v>0.38427947598253276</v>
      </c>
      <c r="J98" s="1">
        <f>'[1]Forward Ranks'!U98</f>
        <v>0.25545851528384278</v>
      </c>
      <c r="K98" s="1">
        <f>'[1]Forward Ranks'!V98</f>
        <v>0.39956331877729256</v>
      </c>
      <c r="L98">
        <f>'[1]Forward Ranks'!X98</f>
        <v>0</v>
      </c>
      <c r="M98" s="1">
        <f>'[1]Forward Ranks'!AC98</f>
        <v>0.46724890829694321</v>
      </c>
      <c r="N98" s="1">
        <f>'[1]Forward Ranks'!AD98</f>
        <v>0.32314410480349343</v>
      </c>
      <c r="O98" s="1">
        <f>'[1]Forward Ranks'!AE98</f>
        <v>0.32314410480349343</v>
      </c>
      <c r="P98" s="1">
        <f>'[1]Forward Ranks'!AF98</f>
        <v>0.40174672489082969</v>
      </c>
      <c r="Q98">
        <f>'[1]Forward Ranks'!AH98</f>
        <v>0</v>
      </c>
      <c r="R98" s="1">
        <f>'[1]Forward Ranks'!AM98</f>
        <v>0.18777292576419213</v>
      </c>
      <c r="S98" s="1">
        <f>'[1]Forward Ranks'!AN98</f>
        <v>0.60698689956331875</v>
      </c>
      <c r="T98" s="1">
        <f>'[1]Forward Ranks'!AO98</f>
        <v>0.1222707423580786</v>
      </c>
      <c r="U98" s="1">
        <f>'[1]Forward Ranks'!AP98</f>
        <v>0.45196506550218341</v>
      </c>
      <c r="V98">
        <f>'[1]Forward Ranks'!AR98</f>
        <v>0</v>
      </c>
      <c r="W98" s="1">
        <f>'[1]Forward Ranks'!AW98</f>
        <v>0.43231441048034935</v>
      </c>
      <c r="X98" s="1">
        <f>'[1]Forward Ranks'!AX98</f>
        <v>0.43231441048034935</v>
      </c>
      <c r="Y98" s="1">
        <f>'[1]Forward Ranks'!AY98</f>
        <v>0.51965065502183405</v>
      </c>
      <c r="Z98" s="1">
        <f>'[1]Forward Ranks'!AZ98</f>
        <v>0.46288209606986902</v>
      </c>
      <c r="AA98">
        <f>'[1]Forward Ranks'!BB98</f>
        <v>0</v>
      </c>
      <c r="AB98" s="1">
        <f>'[1]Forward Ranks'!BG98</f>
        <v>0.18340611353711792</v>
      </c>
      <c r="AC98" s="1">
        <f>'[1]Forward Ranks'!BH98</f>
        <v>0.26200873362445415</v>
      </c>
      <c r="AD98" s="1">
        <f>'[1]Forward Ranks'!BI98</f>
        <v>0.18777292576419213</v>
      </c>
      <c r="AE98" s="1">
        <f>'[1]Forward Ranks'!BJ98</f>
        <v>0.14628820960698691</v>
      </c>
      <c r="AF98">
        <f>'[1]Forward Ranks'!BL98</f>
        <v>0</v>
      </c>
      <c r="AG98" s="1">
        <f>'[1]Forward Ranks'!BQ98</f>
        <v>0.14192139737991266</v>
      </c>
      <c r="AH98" s="1">
        <f>'[1]Forward Ranks'!BR98</f>
        <v>0.37991266375545851</v>
      </c>
      <c r="AI98" s="1">
        <f>'[1]Forward Ranks'!BS98</f>
        <v>0.11790393013100436</v>
      </c>
      <c r="AJ98" s="1">
        <f>'[1]Forward Ranks'!BT98</f>
        <v>0.27947598253275108</v>
      </c>
      <c r="AL98" s="2">
        <f>'[1]Forward Ranks'!BX98</f>
        <v>0.22489082969432314</v>
      </c>
      <c r="AN98" t="str">
        <f>'[1]Forward Ranks'!B98</f>
        <v>VAN</v>
      </c>
      <c r="AO98">
        <f>'[1]F on ice'!E98</f>
        <v>79</v>
      </c>
      <c r="AP98" s="2">
        <f>'[1]Impact Score Math'!E98</f>
        <v>0.26252505010020039</v>
      </c>
      <c r="AQ98">
        <f>'[1]Impact Score Math'!G98</f>
        <v>369</v>
      </c>
      <c r="AT98" s="1">
        <f>'[1]Forward Ranks'!CJ98</f>
        <v>0.14410480349344978</v>
      </c>
      <c r="AU98" s="1">
        <f>'[1]Forward Ranks'!CK98</f>
        <v>0.85152838427947597</v>
      </c>
    </row>
    <row r="99" spans="1:47" x14ac:dyDescent="0.3">
      <c r="A99" t="str">
        <f>'[1]Forward Ranks'!A99</f>
        <v>Daniel Sprong</v>
      </c>
      <c r="B99">
        <f>'[1]Forward Ranks'!D99</f>
        <v>0</v>
      </c>
      <c r="C99" s="1">
        <f>'[1]Forward Ranks'!I99</f>
        <v>0.79257641921397382</v>
      </c>
      <c r="D99" s="1">
        <f>'[1]Forward Ranks'!J99</f>
        <v>0.59825327510917026</v>
      </c>
      <c r="E99" s="1">
        <f>'[1]Forward Ranks'!K99</f>
        <v>0.98253275109170302</v>
      </c>
      <c r="F99" s="1">
        <f>'[1]Forward Ranks'!L99</f>
        <v>0.75109170305676853</v>
      </c>
      <c r="G99">
        <f>'[1]Forward Ranks'!N99</f>
        <v>0</v>
      </c>
      <c r="H99" s="1">
        <f>'[1]Forward Ranks'!S99</f>
        <v>0.98034934497816595</v>
      </c>
      <c r="I99" s="1">
        <f>'[1]Forward Ranks'!T99</f>
        <v>0.96724890829694321</v>
      </c>
      <c r="J99" s="1">
        <f>'[1]Forward Ranks'!U99</f>
        <v>0.99344978165938869</v>
      </c>
      <c r="K99" s="1">
        <f>'[1]Forward Ranks'!V99</f>
        <v>0.99344978165938869</v>
      </c>
      <c r="L99">
        <f>'[1]Forward Ranks'!X99</f>
        <v>0</v>
      </c>
      <c r="M99" s="1">
        <f>'[1]Forward Ranks'!AC99</f>
        <v>0.95851528384279472</v>
      </c>
      <c r="N99" s="1">
        <f>'[1]Forward Ranks'!AD99</f>
        <v>0.79039301310043664</v>
      </c>
      <c r="O99" s="1">
        <f>'[1]Forward Ranks'!AE99</f>
        <v>0.80786026200873362</v>
      </c>
      <c r="P99" s="1">
        <f>'[1]Forward Ranks'!AF99</f>
        <v>0.93886462882096067</v>
      </c>
      <c r="Q99">
        <f>'[1]Forward Ranks'!AH99</f>
        <v>0</v>
      </c>
      <c r="R99" s="1">
        <f>'[1]Forward Ranks'!AM99</f>
        <v>0.76855895196506552</v>
      </c>
      <c r="S99" s="1">
        <f>'[1]Forward Ranks'!AN99</f>
        <v>0.83624454148471616</v>
      </c>
      <c r="T99" s="1">
        <f>'[1]Forward Ranks'!AO99</f>
        <v>0.80131004366812231</v>
      </c>
      <c r="U99" s="1">
        <f>'[1]Forward Ranks'!AP99</f>
        <v>0.82096069868995636</v>
      </c>
      <c r="V99">
        <f>'[1]Forward Ranks'!AR99</f>
        <v>0</v>
      </c>
      <c r="W99" s="1">
        <f>'[1]Forward Ranks'!AW99</f>
        <v>0.70960698689956336</v>
      </c>
      <c r="X99" s="1">
        <f>'[1]Forward Ranks'!AX99</f>
        <v>0.42139737991266374</v>
      </c>
      <c r="Y99" s="1">
        <f>'[1]Forward Ranks'!AY99</f>
        <v>0.70524017467248912</v>
      </c>
      <c r="Z99" s="1">
        <f>'[1]Forward Ranks'!AZ99</f>
        <v>0.72052401746724892</v>
      </c>
      <c r="AA99">
        <f>'[1]Forward Ranks'!BB99</f>
        <v>0</v>
      </c>
      <c r="AB99" s="1">
        <f>'[1]Forward Ranks'!BG99</f>
        <v>7.6419213973799124E-2</v>
      </c>
      <c r="AC99" s="1">
        <f>'[1]Forward Ranks'!BH99</f>
        <v>0.95633187772925765</v>
      </c>
      <c r="AD99" s="1">
        <f>'[1]Forward Ranks'!BI99</f>
        <v>0.98253275109170302</v>
      </c>
      <c r="AE99" s="1">
        <f>'[1]Forward Ranks'!BJ99</f>
        <v>0.9759825327510917</v>
      </c>
      <c r="AF99">
        <f>'[1]Forward Ranks'!BL99</f>
        <v>0</v>
      </c>
      <c r="AG99" s="1">
        <f>'[1]Forward Ranks'!BQ99</f>
        <v>0.93449781659388642</v>
      </c>
      <c r="AH99" s="1">
        <f>'[1]Forward Ranks'!BR99</f>
        <v>0.72925764192139741</v>
      </c>
      <c r="AI99" s="1">
        <f>'[1]Forward Ranks'!BS99</f>
        <v>0.9759825327510917</v>
      </c>
      <c r="AJ99" s="1">
        <f>'[1]Forward Ranks'!BT99</f>
        <v>0.91048034934497812</v>
      </c>
      <c r="AL99" s="2">
        <f>'[1]Forward Ranks'!BX99</f>
        <v>0.99563318777292575</v>
      </c>
      <c r="AN99" t="str">
        <f>'[1]Forward Ranks'!B99</f>
        <v>SEA</v>
      </c>
      <c r="AO99">
        <f>'[1]F on ice'!E99</f>
        <v>66</v>
      </c>
      <c r="AP99" s="2">
        <f>'[1]Impact Score Math'!E99</f>
        <v>0.78356713426853708</v>
      </c>
      <c r="AQ99">
        <f>'[1]Impact Score Math'!G99</f>
        <v>109</v>
      </c>
      <c r="AT99" s="1">
        <f>'[1]Forward Ranks'!CJ99</f>
        <v>0.54366812227074235</v>
      </c>
      <c r="AU99" s="1">
        <f>'[1]Forward Ranks'!CK99</f>
        <v>0.23144104803493451</v>
      </c>
    </row>
    <row r="100" spans="1:47" x14ac:dyDescent="0.3">
      <c r="A100" t="str">
        <f>'[1]Forward Ranks'!A100</f>
        <v>Danton Heinen</v>
      </c>
      <c r="B100">
        <f>'[1]Forward Ranks'!D100</f>
        <v>0</v>
      </c>
      <c r="C100" s="1">
        <f>'[1]Forward Ranks'!I100</f>
        <v>0.58951965065502188</v>
      </c>
      <c r="D100" s="1">
        <f>'[1]Forward Ranks'!J100</f>
        <v>0.66375545851528384</v>
      </c>
      <c r="E100" s="1">
        <f>'[1]Forward Ranks'!K100</f>
        <v>0.39519650655021832</v>
      </c>
      <c r="F100" s="1">
        <f>'[1]Forward Ranks'!L100</f>
        <v>0.78384279475982532</v>
      </c>
      <c r="G100">
        <f>'[1]Forward Ranks'!N100</f>
        <v>0</v>
      </c>
      <c r="H100" s="1">
        <f>'[1]Forward Ranks'!S100</f>
        <v>0.46724890829694321</v>
      </c>
      <c r="I100" s="1">
        <f>'[1]Forward Ranks'!T100</f>
        <v>0.73580786026200873</v>
      </c>
      <c r="J100" s="1">
        <f>'[1]Forward Ranks'!U100</f>
        <v>0.74235807860262004</v>
      </c>
      <c r="K100" s="1">
        <f>'[1]Forward Ranks'!V100</f>
        <v>0.65938864628820959</v>
      </c>
      <c r="L100">
        <f>'[1]Forward Ranks'!X100</f>
        <v>0</v>
      </c>
      <c r="M100" s="1">
        <f>'[1]Forward Ranks'!AC100</f>
        <v>0.5</v>
      </c>
      <c r="N100" s="1">
        <f>'[1]Forward Ranks'!AD100</f>
        <v>0.59170305676855894</v>
      </c>
      <c r="O100" s="1">
        <f>'[1]Forward Ranks'!AE100</f>
        <v>0.38209606986899564</v>
      </c>
      <c r="P100" s="1">
        <f>'[1]Forward Ranks'!AF100</f>
        <v>0.56550218340611358</v>
      </c>
      <c r="Q100">
        <f>'[1]Forward Ranks'!AH100</f>
        <v>0</v>
      </c>
      <c r="R100" s="1">
        <f>'[1]Forward Ranks'!AM100</f>
        <v>0.18122270742358079</v>
      </c>
      <c r="S100" s="1">
        <f>'[1]Forward Ranks'!AN100</f>
        <v>0.22925764192139739</v>
      </c>
      <c r="T100" s="1">
        <f>'[1]Forward Ranks'!AO100</f>
        <v>0.35152838427947597</v>
      </c>
      <c r="U100" s="1">
        <f>'[1]Forward Ranks'!AP100</f>
        <v>0.37772925764192139</v>
      </c>
      <c r="V100">
        <f>'[1]Forward Ranks'!AR100</f>
        <v>0</v>
      </c>
      <c r="W100" s="1">
        <f>'[1]Forward Ranks'!AW100</f>
        <v>0.58296943231441045</v>
      </c>
      <c r="X100" s="1">
        <f>'[1]Forward Ranks'!AX100</f>
        <v>0.67030567685589515</v>
      </c>
      <c r="Y100" s="1">
        <f>'[1]Forward Ranks'!AY100</f>
        <v>0.41484716157205243</v>
      </c>
      <c r="Z100" s="1">
        <f>'[1]Forward Ranks'!AZ100</f>
        <v>0.55240174672489084</v>
      </c>
      <c r="AA100">
        <f>'[1]Forward Ranks'!BB100</f>
        <v>0</v>
      </c>
      <c r="AB100" s="1">
        <f>'[1]Forward Ranks'!BG100</f>
        <v>0.13537117903930132</v>
      </c>
      <c r="AC100" s="1">
        <f>'[1]Forward Ranks'!BH100</f>
        <v>0.15720524017467249</v>
      </c>
      <c r="AD100" s="1">
        <f>'[1]Forward Ranks'!BI100</f>
        <v>0.2816593886462882</v>
      </c>
      <c r="AE100" s="1">
        <f>'[1]Forward Ranks'!BJ100</f>
        <v>0.20524017467248909</v>
      </c>
      <c r="AF100">
        <f>'[1]Forward Ranks'!BL100</f>
        <v>0</v>
      </c>
      <c r="AG100" s="1">
        <f>'[1]Forward Ranks'!BQ100</f>
        <v>0.56113537117903933</v>
      </c>
      <c r="AH100" s="1">
        <f>'[1]Forward Ranks'!BR100</f>
        <v>0.65938864628820959</v>
      </c>
      <c r="AI100" s="1">
        <f>'[1]Forward Ranks'!BS100</f>
        <v>0.35152838427947597</v>
      </c>
      <c r="AJ100" s="1">
        <f>'[1]Forward Ranks'!BT100</f>
        <v>0.75545851528384278</v>
      </c>
      <c r="AL100" s="2">
        <f>'[1]Forward Ranks'!BX100</f>
        <v>0.57860262008733621</v>
      </c>
      <c r="AN100" t="str">
        <f>'[1]Forward Ranks'!B100</f>
        <v>PIT</v>
      </c>
      <c r="AO100">
        <f>'[1]F on ice'!E100</f>
        <v>65</v>
      </c>
      <c r="AP100" s="2">
        <f>'[1]Impact Score Math'!E100</f>
        <v>0.47695390781563124</v>
      </c>
      <c r="AQ100">
        <f>'[1]Impact Score Math'!G100</f>
        <v>262</v>
      </c>
      <c r="AT100" s="1">
        <f>'[1]Forward Ranks'!CJ100</f>
        <v>0.66593886462882101</v>
      </c>
      <c r="AU100" s="1">
        <f>'[1]Forward Ranks'!CK100</f>
        <v>7.2052401746724892E-2</v>
      </c>
    </row>
    <row r="101" spans="1:47" x14ac:dyDescent="0.3">
      <c r="A101" t="str">
        <f>'[1]Forward Ranks'!A101</f>
        <v>David Gustafsson</v>
      </c>
      <c r="B101">
        <f>'[1]Forward Ranks'!D101</f>
        <v>0</v>
      </c>
      <c r="C101" s="1">
        <f>'[1]Forward Ranks'!I101</f>
        <v>0.23799126637554585</v>
      </c>
      <c r="D101" s="1">
        <f>'[1]Forward Ranks'!J101</f>
        <v>9.3886462882096067E-2</v>
      </c>
      <c r="E101" s="1">
        <f>'[1]Forward Ranks'!K101</f>
        <v>0.18558951965065501</v>
      </c>
      <c r="F101" s="1">
        <f>'[1]Forward Ranks'!L101</f>
        <v>0.1943231441048035</v>
      </c>
      <c r="G101">
        <f>'[1]Forward Ranks'!N101</f>
        <v>0</v>
      </c>
      <c r="H101" s="1">
        <f>'[1]Forward Ranks'!S101</f>
        <v>2.1834061135371178E-3</v>
      </c>
      <c r="I101" s="1">
        <f>'[1]Forward Ranks'!T101</f>
        <v>0.34716157205240172</v>
      </c>
      <c r="J101" s="1">
        <f>'[1]Forward Ranks'!U101</f>
        <v>0.60043668122270744</v>
      </c>
      <c r="K101" s="1">
        <f>'[1]Forward Ranks'!V101</f>
        <v>4.5851528384279479E-2</v>
      </c>
      <c r="L101">
        <f>'[1]Forward Ranks'!X101</f>
        <v>0</v>
      </c>
      <c r="M101" s="1">
        <f>'[1]Forward Ranks'!AC101</f>
        <v>0.57641921397379914</v>
      </c>
      <c r="N101" s="1">
        <f>'[1]Forward Ranks'!AD101</f>
        <v>0.80131004366812231</v>
      </c>
      <c r="O101" s="1">
        <f>'[1]Forward Ranks'!AE101</f>
        <v>0.89082969432314407</v>
      </c>
      <c r="P101" s="1">
        <f>'[1]Forward Ranks'!AF101</f>
        <v>0.69213973799126638</v>
      </c>
      <c r="Q101">
        <f>'[1]Forward Ranks'!AH101</f>
        <v>0</v>
      </c>
      <c r="R101" s="1">
        <f>'[1]Forward Ranks'!AM101</f>
        <v>0.20524017467248909</v>
      </c>
      <c r="S101" s="1">
        <f>'[1]Forward Ranks'!AN101</f>
        <v>5.0218340611353711E-2</v>
      </c>
      <c r="T101" s="1">
        <f>'[1]Forward Ranks'!AO101</f>
        <v>0.2423580786026201</v>
      </c>
      <c r="U101" s="1">
        <f>'[1]Forward Ranks'!AP101</f>
        <v>0.15502183406113537</v>
      </c>
      <c r="V101">
        <f>'[1]Forward Ranks'!AR101</f>
        <v>0</v>
      </c>
      <c r="W101" s="1">
        <f>'[1]Forward Ranks'!AW101</f>
        <v>0.62882096069868998</v>
      </c>
      <c r="X101" s="1">
        <f>'[1]Forward Ranks'!AX101</f>
        <v>0.79475982532751088</v>
      </c>
      <c r="Y101" s="1">
        <f>'[1]Forward Ranks'!AY101</f>
        <v>0.77947598253275108</v>
      </c>
      <c r="Z101" s="1">
        <f>'[1]Forward Ranks'!AZ101</f>
        <v>0.70960698689956336</v>
      </c>
      <c r="AA101">
        <f>'[1]Forward Ranks'!BB101</f>
        <v>0</v>
      </c>
      <c r="AB101" s="1">
        <f>'[1]Forward Ranks'!BG101</f>
        <v>1.7467248908296942E-2</v>
      </c>
      <c r="AC101" s="1">
        <f>'[1]Forward Ranks'!BH101</f>
        <v>0.20742358078602621</v>
      </c>
      <c r="AD101" s="1">
        <f>'[1]Forward Ranks'!BI101</f>
        <v>0.2183406113537118</v>
      </c>
      <c r="AE101" s="1">
        <f>'[1]Forward Ranks'!BJ101</f>
        <v>0.61790393013100442</v>
      </c>
      <c r="AF101">
        <f>'[1]Forward Ranks'!BL101</f>
        <v>0</v>
      </c>
      <c r="AG101" s="1">
        <f>'[1]Forward Ranks'!BQ101</f>
        <v>0.35371179039301309</v>
      </c>
      <c r="AH101" s="1">
        <f>'[1]Forward Ranks'!BR101</f>
        <v>0.27510917030567683</v>
      </c>
      <c r="AI101" s="1">
        <f>'[1]Forward Ranks'!BS101</f>
        <v>0.48471615720524019</v>
      </c>
      <c r="AJ101" s="1">
        <f>'[1]Forward Ranks'!BT101</f>
        <v>0.3296943231441048</v>
      </c>
      <c r="AL101" s="2">
        <f>'[1]Forward Ranks'!BX101</f>
        <v>0.20087336244541484</v>
      </c>
      <c r="AN101" t="str">
        <f>'[1]Forward Ranks'!B101</f>
        <v>WPG</v>
      </c>
      <c r="AO101">
        <f>'[1]F on ice'!E101</f>
        <v>46</v>
      </c>
      <c r="AP101" s="2">
        <f>'[1]Impact Score Math'!E101</f>
        <v>0.19238476953907815</v>
      </c>
      <c r="AQ101">
        <f>'[1]Impact Score Math'!G101</f>
        <v>404</v>
      </c>
      <c r="AT101" s="1">
        <f>'[1]Forward Ranks'!CJ101</f>
        <v>0.8733624454148472</v>
      </c>
      <c r="AU101" s="1">
        <f>'[1]Forward Ranks'!CK101</f>
        <v>0.42358078602620086</v>
      </c>
    </row>
    <row r="102" spans="1:47" x14ac:dyDescent="0.3">
      <c r="A102" t="str">
        <f>'[1]Forward Ranks'!A102</f>
        <v>David Kampf</v>
      </c>
      <c r="B102">
        <f>'[1]Forward Ranks'!D102</f>
        <v>0</v>
      </c>
      <c r="C102" s="1">
        <f>'[1]Forward Ranks'!I102</f>
        <v>0.26200873362445415</v>
      </c>
      <c r="D102" s="1">
        <f>'[1]Forward Ranks'!J102</f>
        <v>0.44541484716157204</v>
      </c>
      <c r="E102" s="1">
        <f>'[1]Forward Ranks'!K102</f>
        <v>0.33624454148471616</v>
      </c>
      <c r="F102" s="1">
        <f>'[1]Forward Ranks'!L102</f>
        <v>0.31659388646288211</v>
      </c>
      <c r="G102">
        <f>'[1]Forward Ranks'!N102</f>
        <v>0</v>
      </c>
      <c r="H102" s="1">
        <f>'[1]Forward Ranks'!S102</f>
        <v>0.18340611353711792</v>
      </c>
      <c r="I102" s="1">
        <f>'[1]Forward Ranks'!T102</f>
        <v>0.54148471615720528</v>
      </c>
      <c r="J102" s="1">
        <f>'[1]Forward Ranks'!U102</f>
        <v>0.32751091703056767</v>
      </c>
      <c r="K102" s="1">
        <f>'[1]Forward Ranks'!V102</f>
        <v>0.32096069868995636</v>
      </c>
      <c r="L102">
        <f>'[1]Forward Ranks'!X102</f>
        <v>0</v>
      </c>
      <c r="M102" s="1">
        <f>'[1]Forward Ranks'!AC102</f>
        <v>0.62227074235807855</v>
      </c>
      <c r="N102" s="1">
        <f>'[1]Forward Ranks'!AD102</f>
        <v>0.42139737991266374</v>
      </c>
      <c r="O102" s="1">
        <f>'[1]Forward Ranks'!AE102</f>
        <v>0.6506550218340611</v>
      </c>
      <c r="P102" s="1">
        <f>'[1]Forward Ranks'!AF102</f>
        <v>0.62008733624454149</v>
      </c>
      <c r="Q102">
        <f>'[1]Forward Ranks'!AH102</f>
        <v>0</v>
      </c>
      <c r="R102" s="1">
        <f>'[1]Forward Ranks'!AM102</f>
        <v>8.7336244541484712E-2</v>
      </c>
      <c r="S102" s="1">
        <f>'[1]Forward Ranks'!AN102</f>
        <v>6.1135371179039298E-2</v>
      </c>
      <c r="T102" s="1">
        <f>'[1]Forward Ranks'!AO102</f>
        <v>0.18558951965065501</v>
      </c>
      <c r="U102" s="1">
        <f>'[1]Forward Ranks'!AP102</f>
        <v>7.4235807860262015E-2</v>
      </c>
      <c r="V102">
        <f>'[1]Forward Ranks'!AR102</f>
        <v>0</v>
      </c>
      <c r="W102" s="1">
        <f>'[1]Forward Ranks'!AW102</f>
        <v>0.40829694323144106</v>
      </c>
      <c r="X102" s="1">
        <f>'[1]Forward Ranks'!AX102</f>
        <v>0.30349344978165937</v>
      </c>
      <c r="Y102" s="1">
        <f>'[1]Forward Ranks'!AY102</f>
        <v>0.37991266375545851</v>
      </c>
      <c r="Z102" s="1">
        <f>'[1]Forward Ranks'!AZ102</f>
        <v>0.48034934497816595</v>
      </c>
      <c r="AA102">
        <f>'[1]Forward Ranks'!BB102</f>
        <v>0</v>
      </c>
      <c r="AB102" s="1">
        <f>'[1]Forward Ranks'!BG102</f>
        <v>0.49344978165938863</v>
      </c>
      <c r="AC102" s="1">
        <f>'[1]Forward Ranks'!BH102</f>
        <v>2.4017467248908297E-2</v>
      </c>
      <c r="AD102" s="1">
        <f>'[1]Forward Ranks'!BI102</f>
        <v>0.34934497816593885</v>
      </c>
      <c r="AE102" s="1">
        <f>'[1]Forward Ranks'!BJ102</f>
        <v>0.49126637554585151</v>
      </c>
      <c r="AF102">
        <f>'[1]Forward Ranks'!BL102</f>
        <v>0</v>
      </c>
      <c r="AG102" s="1">
        <f>'[1]Forward Ranks'!BQ102</f>
        <v>0.39082969432314413</v>
      </c>
      <c r="AH102" s="1">
        <f>'[1]Forward Ranks'!BR102</f>
        <v>0.39737991266375544</v>
      </c>
      <c r="AI102" s="1">
        <f>'[1]Forward Ranks'!BS102</f>
        <v>0.47379912663755458</v>
      </c>
      <c r="AJ102" s="1">
        <f>'[1]Forward Ranks'!BT102</f>
        <v>0.40174672489082969</v>
      </c>
      <c r="AL102" s="2">
        <f>'[1]Forward Ranks'!BX102</f>
        <v>0.22707423580786026</v>
      </c>
      <c r="AN102" t="str">
        <f>'[1]Forward Ranks'!B102</f>
        <v>TOR</v>
      </c>
      <c r="AO102">
        <f>'[1]F on ice'!E102</f>
        <v>82</v>
      </c>
      <c r="AP102" s="2">
        <f>'[1]Impact Score Math'!E102</f>
        <v>0.32064128256513025</v>
      </c>
      <c r="AQ102">
        <f>'[1]Impact Score Math'!G102</f>
        <v>340</v>
      </c>
      <c r="AT102" s="1">
        <f>'[1]Forward Ranks'!CJ102</f>
        <v>0.91921397379912662</v>
      </c>
      <c r="AU102" s="1">
        <f>'[1]Forward Ranks'!CK102</f>
        <v>0.20305676855895197</v>
      </c>
    </row>
    <row r="103" spans="1:47" x14ac:dyDescent="0.3">
      <c r="A103" t="str">
        <f>'[1]Forward Ranks'!A103</f>
        <v>David Krejci</v>
      </c>
      <c r="B103">
        <f>'[1]Forward Ranks'!D103</f>
        <v>0</v>
      </c>
      <c r="C103" s="1">
        <f>'[1]Forward Ranks'!I103</f>
        <v>0.47816593886462883</v>
      </c>
      <c r="D103" s="1">
        <f>'[1]Forward Ranks'!J103</f>
        <v>0.34497816593886466</v>
      </c>
      <c r="E103" s="1">
        <f>'[1]Forward Ranks'!K103</f>
        <v>0.9606986899563319</v>
      </c>
      <c r="F103" s="1">
        <f>'[1]Forward Ranks'!L103</f>
        <v>0.4126637554585153</v>
      </c>
      <c r="G103">
        <f>'[1]Forward Ranks'!N103</f>
        <v>0</v>
      </c>
      <c r="H103" s="1">
        <f>'[1]Forward Ranks'!S103</f>
        <v>0.63318777292576423</v>
      </c>
      <c r="I103" s="1">
        <f>'[1]Forward Ranks'!T103</f>
        <v>0.98689956331877726</v>
      </c>
      <c r="J103" s="1">
        <f>'[1]Forward Ranks'!U103</f>
        <v>0.98471615720524019</v>
      </c>
      <c r="K103" s="1">
        <f>'[1]Forward Ranks'!V103</f>
        <v>0.94541484716157209</v>
      </c>
      <c r="L103">
        <f>'[1]Forward Ranks'!X103</f>
        <v>0</v>
      </c>
      <c r="M103" s="1">
        <f>'[1]Forward Ranks'!AC103</f>
        <v>0.27729257641921395</v>
      </c>
      <c r="N103" s="1">
        <f>'[1]Forward Ranks'!AD103</f>
        <v>0.24890829694323144</v>
      </c>
      <c r="O103" s="1">
        <f>'[1]Forward Ranks'!AE103</f>
        <v>0.73799126637554591</v>
      </c>
      <c r="P103" s="1">
        <f>'[1]Forward Ranks'!AF103</f>
        <v>0.26200873362445415</v>
      </c>
      <c r="Q103">
        <f>'[1]Forward Ranks'!AH103</f>
        <v>0</v>
      </c>
      <c r="R103" s="1">
        <f>'[1]Forward Ranks'!AM103</f>
        <v>0.2576419213973799</v>
      </c>
      <c r="S103" s="1">
        <f>'[1]Forward Ranks'!AN103</f>
        <v>8.0786026200873357E-2</v>
      </c>
      <c r="T103" s="1">
        <f>'[1]Forward Ranks'!AO103</f>
        <v>0.92139737991266379</v>
      </c>
      <c r="U103" s="1">
        <f>'[1]Forward Ranks'!AP103</f>
        <v>0.21179039301310043</v>
      </c>
      <c r="V103">
        <f>'[1]Forward Ranks'!AR103</f>
        <v>0</v>
      </c>
      <c r="W103" s="1">
        <f>'[1]Forward Ranks'!AW103</f>
        <v>6.1135371179039298E-2</v>
      </c>
      <c r="X103" s="1">
        <f>'[1]Forward Ranks'!AX103</f>
        <v>3.0567685589519649E-2</v>
      </c>
      <c r="Y103" s="1">
        <f>'[1]Forward Ranks'!AY103</f>
        <v>0.12008733624454149</v>
      </c>
      <c r="Z103" s="1">
        <f>'[1]Forward Ranks'!AZ103</f>
        <v>2.1834061135371178E-2</v>
      </c>
      <c r="AA103">
        <f>'[1]Forward Ranks'!BB103</f>
        <v>0</v>
      </c>
      <c r="AB103" s="1">
        <f>'[1]Forward Ranks'!BG103</f>
        <v>0.77292576419213976</v>
      </c>
      <c r="AC103" s="1">
        <f>'[1]Forward Ranks'!BH103</f>
        <v>0.83406113537117899</v>
      </c>
      <c r="AD103" s="1">
        <f>'[1]Forward Ranks'!BI103</f>
        <v>0.9759825327510917</v>
      </c>
      <c r="AE103" s="1">
        <f>'[1]Forward Ranks'!BJ103</f>
        <v>0.98689956331877726</v>
      </c>
      <c r="AF103">
        <f>'[1]Forward Ranks'!BL103</f>
        <v>0</v>
      </c>
      <c r="AG103" s="1">
        <f>'[1]Forward Ranks'!BQ103</f>
        <v>0.36244541484716158</v>
      </c>
      <c r="AH103" s="1">
        <f>'[1]Forward Ranks'!BR103</f>
        <v>0.2576419213973799</v>
      </c>
      <c r="AI103" s="1">
        <f>'[1]Forward Ranks'!BS103</f>
        <v>0.95414847161572047</v>
      </c>
      <c r="AJ103" s="1">
        <f>'[1]Forward Ranks'!BT103</f>
        <v>0.3296943231441048</v>
      </c>
      <c r="AL103" s="2">
        <f>'[1]Forward Ranks'!BX103</f>
        <v>0.30786026200873362</v>
      </c>
      <c r="AN103" t="str">
        <f>'[1]Forward Ranks'!B103</f>
        <v>BOS</v>
      </c>
      <c r="AO103">
        <f>'[1]F on ice'!E103</f>
        <v>70</v>
      </c>
      <c r="AP103" s="2">
        <f>'[1]Impact Score Math'!E103</f>
        <v>0.46693386773547096</v>
      </c>
      <c r="AQ103">
        <f>'[1]Impact Score Math'!G103</f>
        <v>267</v>
      </c>
      <c r="AT103" s="1">
        <f>'[1]Forward Ranks'!CJ103</f>
        <v>0.71834061135371174</v>
      </c>
      <c r="AU103" s="1">
        <f>'[1]Forward Ranks'!CK103</f>
        <v>0.27729257641921395</v>
      </c>
    </row>
    <row r="104" spans="1:47" x14ac:dyDescent="0.3">
      <c r="A104" t="str">
        <f>'[1]Forward Ranks'!A104</f>
        <v>David Pastrnak</v>
      </c>
      <c r="B104">
        <f>'[1]Forward Ranks'!D104</f>
        <v>0</v>
      </c>
      <c r="C104" s="1">
        <f>'[1]Forward Ranks'!I104</f>
        <v>0.75109170305676853</v>
      </c>
      <c r="D104" s="1">
        <f>'[1]Forward Ranks'!J104</f>
        <v>0.72925764192139741</v>
      </c>
      <c r="E104" s="1">
        <f>'[1]Forward Ranks'!K104</f>
        <v>0.95633187772925765</v>
      </c>
      <c r="F104" s="1">
        <f>'[1]Forward Ranks'!L104</f>
        <v>0.76855895196506552</v>
      </c>
      <c r="G104">
        <f>'[1]Forward Ranks'!N104</f>
        <v>0</v>
      </c>
      <c r="H104" s="1">
        <f>'[1]Forward Ranks'!S104</f>
        <v>0.99781659388646293</v>
      </c>
      <c r="I104" s="1">
        <f>'[1]Forward Ranks'!T104</f>
        <v>0.86026200873362446</v>
      </c>
      <c r="J104" s="1">
        <f>'[1]Forward Ranks'!U104</f>
        <v>0.69650655021834063</v>
      </c>
      <c r="K104" s="1">
        <f>'[1]Forward Ranks'!V104</f>
        <v>0.98908296943231444</v>
      </c>
      <c r="L104">
        <f>'[1]Forward Ranks'!X104</f>
        <v>0</v>
      </c>
      <c r="M104" s="1">
        <f>'[1]Forward Ranks'!AC104</f>
        <v>0.64192139737991272</v>
      </c>
      <c r="N104" s="1">
        <f>'[1]Forward Ranks'!AD104</f>
        <v>0.46724890829694321</v>
      </c>
      <c r="O104" s="1">
        <f>'[1]Forward Ranks'!AE104</f>
        <v>0.79475982532751088</v>
      </c>
      <c r="P104" s="1">
        <f>'[1]Forward Ranks'!AF104</f>
        <v>0.51310043668122274</v>
      </c>
      <c r="Q104">
        <f>'[1]Forward Ranks'!AH104</f>
        <v>0</v>
      </c>
      <c r="R104" s="1">
        <f>'[1]Forward Ranks'!AM104</f>
        <v>0.68340611353711789</v>
      </c>
      <c r="S104" s="1">
        <f>'[1]Forward Ranks'!AN104</f>
        <v>0.60698689956331875</v>
      </c>
      <c r="T104" s="1">
        <f>'[1]Forward Ranks'!AO104</f>
        <v>0.87117903930131002</v>
      </c>
      <c r="U104" s="1">
        <f>'[1]Forward Ranks'!AP104</f>
        <v>0.69650655021834063</v>
      </c>
      <c r="V104">
        <f>'[1]Forward Ranks'!AR104</f>
        <v>0</v>
      </c>
      <c r="W104" s="1">
        <f>'[1]Forward Ranks'!AW104</f>
        <v>0.48908296943231439</v>
      </c>
      <c r="X104" s="1">
        <f>'[1]Forward Ranks'!AX104</f>
        <v>0.18558951965065501</v>
      </c>
      <c r="Y104" s="1">
        <f>'[1]Forward Ranks'!AY104</f>
        <v>0.18995633187772926</v>
      </c>
      <c r="Z104" s="1">
        <f>'[1]Forward Ranks'!AZ104</f>
        <v>0.1965065502183406</v>
      </c>
      <c r="AA104">
        <f>'[1]Forward Ranks'!BB104</f>
        <v>0</v>
      </c>
      <c r="AB104" s="1">
        <f>'[1]Forward Ranks'!BG104</f>
        <v>0.92139737991266379</v>
      </c>
      <c r="AC104" s="1">
        <f>'[1]Forward Ranks'!BH104</f>
        <v>0.9366812227074236</v>
      </c>
      <c r="AD104" s="1">
        <f>'[1]Forward Ranks'!BI104</f>
        <v>0.90393013100436681</v>
      </c>
      <c r="AE104" s="1">
        <f>'[1]Forward Ranks'!BJ104</f>
        <v>0.95196506550218341</v>
      </c>
      <c r="AF104">
        <f>'[1]Forward Ranks'!BL104</f>
        <v>0</v>
      </c>
      <c r="AG104" s="1">
        <f>'[1]Forward Ranks'!BQ104</f>
        <v>0.75109170305676853</v>
      </c>
      <c r="AH104" s="1">
        <f>'[1]Forward Ranks'!BR104</f>
        <v>0.65720524017467252</v>
      </c>
      <c r="AI104" s="1">
        <f>'[1]Forward Ranks'!BS104</f>
        <v>0.96506550218340614</v>
      </c>
      <c r="AJ104" s="1">
        <f>'[1]Forward Ranks'!BT104</f>
        <v>0.72925764192139741</v>
      </c>
      <c r="AL104" s="2">
        <f>'[1]Forward Ranks'!BX104</f>
        <v>0.86026200873362446</v>
      </c>
      <c r="AN104" t="str">
        <f>'[1]Forward Ranks'!B104</f>
        <v>BOS</v>
      </c>
      <c r="AO104">
        <f>'[1]F on ice'!E104</f>
        <v>82</v>
      </c>
      <c r="AP104" s="2">
        <f>'[1]Impact Score Math'!E104</f>
        <v>0.9238476953907816</v>
      </c>
      <c r="AQ104">
        <f>'[1]Impact Score Math'!G104</f>
        <v>39</v>
      </c>
      <c r="AT104" s="1">
        <f>'[1]Forward Ranks'!CJ104</f>
        <v>0.6026200873362445</v>
      </c>
      <c r="AU104" s="1">
        <f>'[1]Forward Ranks'!CK104</f>
        <v>0.68340611353711789</v>
      </c>
    </row>
    <row r="105" spans="1:47" x14ac:dyDescent="0.3">
      <c r="A105" t="str">
        <f>'[1]Forward Ranks'!A105</f>
        <v>David Perron</v>
      </c>
      <c r="B105">
        <f>'[1]Forward Ranks'!D105</f>
        <v>0</v>
      </c>
      <c r="C105" s="1">
        <f>'[1]Forward Ranks'!I105</f>
        <v>0.55895196506550215</v>
      </c>
      <c r="D105" s="1">
        <f>'[1]Forward Ranks'!J105</f>
        <v>0.38646288209606988</v>
      </c>
      <c r="E105" s="1">
        <f>'[1]Forward Ranks'!K105</f>
        <v>0.71397379912663761</v>
      </c>
      <c r="F105" s="1">
        <f>'[1]Forward Ranks'!L105</f>
        <v>0.49344978165938863</v>
      </c>
      <c r="G105">
        <f>'[1]Forward Ranks'!N105</f>
        <v>0</v>
      </c>
      <c r="H105" s="1">
        <f>'[1]Forward Ranks'!S105</f>
        <v>0.73580786026200873</v>
      </c>
      <c r="I105" s="1">
        <f>'[1]Forward Ranks'!T105</f>
        <v>0.31877729257641924</v>
      </c>
      <c r="J105" s="1">
        <f>'[1]Forward Ranks'!U105</f>
        <v>0.61790393013100442</v>
      </c>
      <c r="K105" s="1">
        <f>'[1]Forward Ranks'!V105</f>
        <v>0.50873362445414849</v>
      </c>
      <c r="L105">
        <f>'[1]Forward Ranks'!X105</f>
        <v>0</v>
      </c>
      <c r="M105" s="1">
        <f>'[1]Forward Ranks'!AC105</f>
        <v>0.53493449781659386</v>
      </c>
      <c r="N105" s="1">
        <f>'[1]Forward Ranks'!AD105</f>
        <v>0.37336244541484714</v>
      </c>
      <c r="O105" s="1">
        <f>'[1]Forward Ranks'!AE105</f>
        <v>0.16812227074235808</v>
      </c>
      <c r="P105" s="1">
        <f>'[1]Forward Ranks'!AF105</f>
        <v>0.49563318777292575</v>
      </c>
      <c r="Q105">
        <f>'[1]Forward Ranks'!AH105</f>
        <v>0</v>
      </c>
      <c r="R105" s="1">
        <f>'[1]Forward Ranks'!AM105</f>
        <v>0.92358078602620086</v>
      </c>
      <c r="S105" s="1">
        <f>'[1]Forward Ranks'!AN105</f>
        <v>0.82096069868995636</v>
      </c>
      <c r="T105" s="1">
        <f>'[1]Forward Ranks'!AO105</f>
        <v>0.88646288209606983</v>
      </c>
      <c r="U105" s="1">
        <f>'[1]Forward Ranks'!AP105</f>
        <v>0.89519650655021832</v>
      </c>
      <c r="V105">
        <f>'[1]Forward Ranks'!AR105</f>
        <v>0</v>
      </c>
      <c r="W105" s="1">
        <f>'[1]Forward Ranks'!AW105</f>
        <v>0.56113537117903933</v>
      </c>
      <c r="X105" s="1">
        <f>'[1]Forward Ranks'!AX105</f>
        <v>0.4366812227074236</v>
      </c>
      <c r="Y105" s="1">
        <f>'[1]Forward Ranks'!AY105</f>
        <v>0.17467248908296942</v>
      </c>
      <c r="Z105" s="1">
        <f>'[1]Forward Ranks'!AZ105</f>
        <v>0.39956331877729256</v>
      </c>
      <c r="AA105">
        <f>'[1]Forward Ranks'!BB105</f>
        <v>0</v>
      </c>
      <c r="AB105" s="1">
        <f>'[1]Forward Ranks'!BG105</f>
        <v>0.58951965065502188</v>
      </c>
      <c r="AC105" s="1">
        <f>'[1]Forward Ranks'!BH105</f>
        <v>0.41921397379912662</v>
      </c>
      <c r="AD105" s="1">
        <f>'[1]Forward Ranks'!BI105</f>
        <v>0.74235807860262004</v>
      </c>
      <c r="AE105" s="1">
        <f>'[1]Forward Ranks'!BJ105</f>
        <v>0.34061135371179041</v>
      </c>
      <c r="AF105">
        <f>'[1]Forward Ranks'!BL105</f>
        <v>0</v>
      </c>
      <c r="AG105" s="1">
        <f>'[1]Forward Ranks'!BQ105</f>
        <v>0.5393013100436681</v>
      </c>
      <c r="AH105" s="1">
        <f>'[1]Forward Ranks'!BR105</f>
        <v>0.35152838427947597</v>
      </c>
      <c r="AI105" s="1">
        <f>'[1]Forward Ranks'!BS105</f>
        <v>0.40829694323144106</v>
      </c>
      <c r="AJ105" s="1">
        <f>'[1]Forward Ranks'!BT105</f>
        <v>0.49563318777292575</v>
      </c>
      <c r="AL105" s="2">
        <f>'[1]Forward Ranks'!BX105</f>
        <v>0.71397379912663761</v>
      </c>
      <c r="AN105" t="str">
        <f>'[1]Forward Ranks'!B105</f>
        <v>DET</v>
      </c>
      <c r="AO105">
        <f>'[1]F on ice'!E105</f>
        <v>82</v>
      </c>
      <c r="AP105" s="2">
        <f>'[1]Impact Score Math'!E105</f>
        <v>0.73346693386773543</v>
      </c>
      <c r="AQ105">
        <f>'[1]Impact Score Math'!G105</f>
        <v>134</v>
      </c>
      <c r="AT105" s="1">
        <f>'[1]Forward Ranks'!CJ105</f>
        <v>0.19868995633187772</v>
      </c>
      <c r="AU105" s="1">
        <f>'[1]Forward Ranks'!CK105</f>
        <v>0.86681222707423577</v>
      </c>
    </row>
    <row r="106" spans="1:47" x14ac:dyDescent="0.3">
      <c r="A106" t="str">
        <f>'[1]Forward Ranks'!A106</f>
        <v>Dawson Mercer</v>
      </c>
      <c r="B106">
        <f>'[1]Forward Ranks'!D106</f>
        <v>0</v>
      </c>
      <c r="C106" s="1">
        <f>'[1]Forward Ranks'!I106</f>
        <v>0.6506550218340611</v>
      </c>
      <c r="D106" s="1">
        <f>'[1]Forward Ranks'!J106</f>
        <v>0.77074235807860259</v>
      </c>
      <c r="E106" s="1">
        <f>'[1]Forward Ranks'!K106</f>
        <v>0.77510917030567683</v>
      </c>
      <c r="F106" s="1">
        <f>'[1]Forward Ranks'!L106</f>
        <v>0.82969432314410485</v>
      </c>
      <c r="G106">
        <f>'[1]Forward Ranks'!N106</f>
        <v>0</v>
      </c>
      <c r="H106" s="1">
        <f>'[1]Forward Ranks'!S106</f>
        <v>0.85807860262008728</v>
      </c>
      <c r="I106" s="1">
        <f>'[1]Forward Ranks'!T106</f>
        <v>0.51528384279475981</v>
      </c>
      <c r="J106" s="1">
        <f>'[1]Forward Ranks'!U106</f>
        <v>0.64847161572052403</v>
      </c>
      <c r="K106" s="1">
        <f>'[1]Forward Ranks'!V106</f>
        <v>0.77510917030567683</v>
      </c>
      <c r="L106">
        <f>'[1]Forward Ranks'!X106</f>
        <v>0</v>
      </c>
      <c r="M106" s="1">
        <f>'[1]Forward Ranks'!AC106</f>
        <v>0.70305676855895194</v>
      </c>
      <c r="N106" s="1">
        <f>'[1]Forward Ranks'!AD106</f>
        <v>0.94759825327510916</v>
      </c>
      <c r="O106" s="1">
        <f>'[1]Forward Ranks'!AE106</f>
        <v>0.63318777292576423</v>
      </c>
      <c r="P106" s="1">
        <f>'[1]Forward Ranks'!AF106</f>
        <v>0.78602620087336239</v>
      </c>
      <c r="Q106">
        <f>'[1]Forward Ranks'!AH106</f>
        <v>0</v>
      </c>
      <c r="R106" s="1">
        <f>'[1]Forward Ranks'!AM106</f>
        <v>0.17467248908296942</v>
      </c>
      <c r="S106" s="1">
        <f>'[1]Forward Ranks'!AN106</f>
        <v>0.24017467248908297</v>
      </c>
      <c r="T106" s="1">
        <f>'[1]Forward Ranks'!AO106</f>
        <v>0.59388646288209612</v>
      </c>
      <c r="U106" s="1">
        <f>'[1]Forward Ranks'!AP106</f>
        <v>0.34061135371179041</v>
      </c>
      <c r="V106">
        <f>'[1]Forward Ranks'!AR106</f>
        <v>0</v>
      </c>
      <c r="W106" s="1">
        <f>'[1]Forward Ranks'!AW106</f>
        <v>0.40393013100436681</v>
      </c>
      <c r="X106" s="1">
        <f>'[1]Forward Ranks'!AX106</f>
        <v>0.73362445414847166</v>
      </c>
      <c r="Y106" s="1">
        <f>'[1]Forward Ranks'!AY106</f>
        <v>0.46724890829694321</v>
      </c>
      <c r="Z106" s="1">
        <f>'[1]Forward Ranks'!AZ106</f>
        <v>0.55240174672489084</v>
      </c>
      <c r="AA106">
        <f>'[1]Forward Ranks'!BB106</f>
        <v>0</v>
      </c>
      <c r="AB106" s="1">
        <f>'[1]Forward Ranks'!BG106</f>
        <v>0.73144104803493448</v>
      </c>
      <c r="AC106" s="1">
        <f>'[1]Forward Ranks'!BH106</f>
        <v>0.50655021834061131</v>
      </c>
      <c r="AD106" s="1">
        <f>'[1]Forward Ranks'!BI106</f>
        <v>0.69868995633187769</v>
      </c>
      <c r="AE106" s="1">
        <f>'[1]Forward Ranks'!BJ106</f>
        <v>0.64628820960698685</v>
      </c>
      <c r="AF106">
        <f>'[1]Forward Ranks'!BL106</f>
        <v>0</v>
      </c>
      <c r="AG106" s="1">
        <f>'[1]Forward Ranks'!BQ106</f>
        <v>0.70305676855895194</v>
      </c>
      <c r="AH106" s="1">
        <f>'[1]Forward Ranks'!BR106</f>
        <v>0.92576419213973804</v>
      </c>
      <c r="AI106" s="1">
        <f>'[1]Forward Ranks'!BS106</f>
        <v>0.79912663755458513</v>
      </c>
      <c r="AJ106" s="1">
        <f>'[1]Forward Ranks'!BT106</f>
        <v>0.888646288209607</v>
      </c>
      <c r="AL106" s="2">
        <f>'[1]Forward Ranks'!BX106</f>
        <v>0.71615720524017468</v>
      </c>
      <c r="AN106" t="str">
        <f>'[1]Forward Ranks'!B106</f>
        <v>N.J</v>
      </c>
      <c r="AO106">
        <f>'[1]F on ice'!E106</f>
        <v>82</v>
      </c>
      <c r="AP106" s="2">
        <f>'[1]Impact Score Math'!E106</f>
        <v>0.77354709418837675</v>
      </c>
      <c r="AQ106">
        <f>'[1]Impact Score Math'!G106</f>
        <v>114</v>
      </c>
      <c r="AT106" s="1">
        <f>'[1]Forward Ranks'!CJ106</f>
        <v>0.89519650655021832</v>
      </c>
      <c r="AU106" s="1">
        <f>'[1]Forward Ranks'!CK106</f>
        <v>4.3668122270742356E-2</v>
      </c>
    </row>
    <row r="107" spans="1:47" x14ac:dyDescent="0.3">
      <c r="A107" t="str">
        <f>'[1]Forward Ranks'!A107</f>
        <v>Denis Gurianov</v>
      </c>
      <c r="B107">
        <f>'[1]Forward Ranks'!D107</f>
        <v>0</v>
      </c>
      <c r="C107" s="1">
        <f>'[1]Forward Ranks'!I107</f>
        <v>0.23799126637554585</v>
      </c>
      <c r="D107" s="1">
        <f>'[1]Forward Ranks'!J107</f>
        <v>0.10043668122270742</v>
      </c>
      <c r="E107" s="1">
        <f>'[1]Forward Ranks'!K107</f>
        <v>0.15938864628820962</v>
      </c>
      <c r="F107" s="1">
        <f>'[1]Forward Ranks'!L107</f>
        <v>8.5152838427947602E-2</v>
      </c>
      <c r="G107">
        <f>'[1]Forward Ranks'!N107</f>
        <v>0</v>
      </c>
      <c r="H107" s="1">
        <f>'[1]Forward Ranks'!S107</f>
        <v>0.24454148471615719</v>
      </c>
      <c r="I107" s="1">
        <f>'[1]Forward Ranks'!T107</f>
        <v>0.18777292576419213</v>
      </c>
      <c r="J107" s="1">
        <f>'[1]Forward Ranks'!U107</f>
        <v>0.51091703056768556</v>
      </c>
      <c r="K107" s="1">
        <f>'[1]Forward Ranks'!V107</f>
        <v>0.13755458515283842</v>
      </c>
      <c r="L107">
        <f>'[1]Forward Ranks'!X107</f>
        <v>0</v>
      </c>
      <c r="M107" s="1">
        <f>'[1]Forward Ranks'!AC107</f>
        <v>0.11790393013100436</v>
      </c>
      <c r="N107" s="1">
        <f>'[1]Forward Ranks'!AD107</f>
        <v>0.29039301310043669</v>
      </c>
      <c r="O107" s="1">
        <f>'[1]Forward Ranks'!AE107</f>
        <v>0.51965065502183405</v>
      </c>
      <c r="P107" s="1">
        <f>'[1]Forward Ranks'!AF107</f>
        <v>0.20087336244541484</v>
      </c>
      <c r="Q107">
        <f>'[1]Forward Ranks'!AH107</f>
        <v>0</v>
      </c>
      <c r="R107" s="1">
        <f>'[1]Forward Ranks'!AM107</f>
        <v>0.30131004366812225</v>
      </c>
      <c r="S107" s="1">
        <f>'[1]Forward Ranks'!AN107</f>
        <v>0.1331877729257642</v>
      </c>
      <c r="T107" s="1">
        <f>'[1]Forward Ranks'!AO107</f>
        <v>0.10262008733624454</v>
      </c>
      <c r="U107" s="1">
        <f>'[1]Forward Ranks'!AP107</f>
        <v>9.606986899563319E-2</v>
      </c>
      <c r="V107">
        <f>'[1]Forward Ranks'!AR107</f>
        <v>0</v>
      </c>
      <c r="W107" s="1">
        <f>'[1]Forward Ranks'!AW107</f>
        <v>0.12008733624454149</v>
      </c>
      <c r="X107" s="1">
        <f>'[1]Forward Ranks'!AX107</f>
        <v>0.37991266375545851</v>
      </c>
      <c r="Y107" s="1">
        <f>'[1]Forward Ranks'!AY107</f>
        <v>0.53275109170305679</v>
      </c>
      <c r="Z107" s="1">
        <f>'[1]Forward Ranks'!AZ107</f>
        <v>0.18995633187772926</v>
      </c>
      <c r="AA107">
        <f>'[1]Forward Ranks'!BB107</f>
        <v>0</v>
      </c>
      <c r="AB107" s="1">
        <f>'[1]Forward Ranks'!BG107</f>
        <v>0.40393013100436681</v>
      </c>
      <c r="AC107" s="1">
        <f>'[1]Forward Ranks'!BH107</f>
        <v>0.33406113537117904</v>
      </c>
      <c r="AD107" s="1">
        <f>'[1]Forward Ranks'!BI107</f>
        <v>0.18122270742358079</v>
      </c>
      <c r="AE107" s="1">
        <f>'[1]Forward Ranks'!BJ107</f>
        <v>0.388646288209607</v>
      </c>
      <c r="AF107">
        <f>'[1]Forward Ranks'!BL107</f>
        <v>0</v>
      </c>
      <c r="AG107" s="1">
        <f>'[1]Forward Ranks'!BQ107</f>
        <v>0.13973799126637554</v>
      </c>
      <c r="AH107" s="1">
        <f>'[1]Forward Ranks'!BR107</f>
        <v>0.11572052401746726</v>
      </c>
      <c r="AI107" s="1">
        <f>'[1]Forward Ranks'!BS107</f>
        <v>0.1943231441048035</v>
      </c>
      <c r="AJ107" s="1">
        <f>'[1]Forward Ranks'!BT107</f>
        <v>7.8602620087336247E-2</v>
      </c>
      <c r="AL107" s="2">
        <f>'[1]Forward Ranks'!BX107</f>
        <v>3.0567685589519649E-2</v>
      </c>
      <c r="AN107" t="str">
        <f>'[1]Forward Ranks'!B107</f>
        <v>DAL, MTL</v>
      </c>
      <c r="AO107">
        <f>'[1]F on ice'!E107</f>
        <v>66</v>
      </c>
      <c r="AP107" s="2">
        <f>'[1]Impact Score Math'!E107</f>
        <v>0.12024048096192384</v>
      </c>
      <c r="AQ107">
        <f>'[1]Impact Score Math'!G107</f>
        <v>440</v>
      </c>
      <c r="AT107" s="1">
        <f>'[1]Forward Ranks'!CJ107</f>
        <v>0.83842794759825323</v>
      </c>
      <c r="AU107" s="1">
        <f>'[1]Forward Ranks'!CK107</f>
        <v>0.14847161572052403</v>
      </c>
    </row>
    <row r="108" spans="1:47" x14ac:dyDescent="0.3">
      <c r="A108" t="str">
        <f>'[1]Forward Ranks'!A108</f>
        <v>Denis Malgin</v>
      </c>
      <c r="B108">
        <f>'[1]Forward Ranks'!D108</f>
        <v>0</v>
      </c>
      <c r="C108" s="1">
        <f>'[1]Forward Ranks'!I108</f>
        <v>0.75982532751091703</v>
      </c>
      <c r="D108" s="1">
        <f>'[1]Forward Ranks'!J108</f>
        <v>0.48908296943231439</v>
      </c>
      <c r="E108" s="1">
        <f>'[1]Forward Ranks'!K108</f>
        <v>0.36244541484716158</v>
      </c>
      <c r="F108" s="1">
        <f>'[1]Forward Ranks'!L108</f>
        <v>0.66375545851528384</v>
      </c>
      <c r="G108">
        <f>'[1]Forward Ranks'!N108</f>
        <v>0</v>
      </c>
      <c r="H108" s="1">
        <f>'[1]Forward Ranks'!S108</f>
        <v>0.91048034934497812</v>
      </c>
      <c r="I108" s="1">
        <f>'[1]Forward Ranks'!T108</f>
        <v>0.20524017467248909</v>
      </c>
      <c r="J108" s="1">
        <f>'[1]Forward Ranks'!U108</f>
        <v>0.36244541484716158</v>
      </c>
      <c r="K108" s="1">
        <f>'[1]Forward Ranks'!V108</f>
        <v>0.62227074235807855</v>
      </c>
      <c r="L108">
        <f>'[1]Forward Ranks'!X108</f>
        <v>0</v>
      </c>
      <c r="M108" s="1">
        <f>'[1]Forward Ranks'!AC108</f>
        <v>0.89082969432314407</v>
      </c>
      <c r="N108" s="1">
        <f>'[1]Forward Ranks'!AD108</f>
        <v>0.60480349344978168</v>
      </c>
      <c r="O108" s="1">
        <f>'[1]Forward Ranks'!AE108</f>
        <v>0.82969432314410485</v>
      </c>
      <c r="P108" s="1">
        <f>'[1]Forward Ranks'!AF108</f>
        <v>0.83842794759825323</v>
      </c>
      <c r="Q108">
        <f>'[1]Forward Ranks'!AH108</f>
        <v>0</v>
      </c>
      <c r="R108" s="1">
        <f>'[1]Forward Ranks'!AM108</f>
        <v>0.65283842794759828</v>
      </c>
      <c r="S108" s="1">
        <f>'[1]Forward Ranks'!AN108</f>
        <v>0.36244541484716158</v>
      </c>
      <c r="T108" s="1">
        <f>'[1]Forward Ranks'!AO108</f>
        <v>0.16157205240174671</v>
      </c>
      <c r="U108" s="1">
        <f>'[1]Forward Ranks'!AP108</f>
        <v>0.5240174672489083</v>
      </c>
      <c r="V108">
        <f>'[1]Forward Ranks'!AR108</f>
        <v>0</v>
      </c>
      <c r="W108" s="1">
        <f>'[1]Forward Ranks'!AW108</f>
        <v>0.82751091703056767</v>
      </c>
      <c r="X108" s="1">
        <f>'[1]Forward Ranks'!AX108</f>
        <v>0.51746724890829698</v>
      </c>
      <c r="Y108" s="1">
        <f>'[1]Forward Ranks'!AY108</f>
        <v>0.73799126637554591</v>
      </c>
      <c r="Z108" s="1">
        <f>'[1]Forward Ranks'!AZ108</f>
        <v>0.63100436681222705</v>
      </c>
      <c r="AA108">
        <f>'[1]Forward Ranks'!BB108</f>
        <v>0</v>
      </c>
      <c r="AB108" s="1">
        <f>'[1]Forward Ranks'!BG108</f>
        <v>0.1703056768558952</v>
      </c>
      <c r="AC108" s="1">
        <f>'[1]Forward Ranks'!BH108</f>
        <v>0.43886462882096072</v>
      </c>
      <c r="AD108" s="1">
        <f>'[1]Forward Ranks'!BI108</f>
        <v>0.16812227074235808</v>
      </c>
      <c r="AE108" s="1">
        <f>'[1]Forward Ranks'!BJ108</f>
        <v>0.388646288209607</v>
      </c>
      <c r="AF108">
        <f>'[1]Forward Ranks'!BL108</f>
        <v>0</v>
      </c>
      <c r="AG108" s="1">
        <f>'[1]Forward Ranks'!BQ108</f>
        <v>0.88209606986899558</v>
      </c>
      <c r="AH108" s="1">
        <f>'[1]Forward Ranks'!BR108</f>
        <v>0.51746724890829698</v>
      </c>
      <c r="AI108" s="1">
        <f>'[1]Forward Ranks'!BS108</f>
        <v>0.64192139737991272</v>
      </c>
      <c r="AJ108" s="1">
        <f>'[1]Forward Ranks'!BT108</f>
        <v>0.81877729257641918</v>
      </c>
      <c r="AL108" s="2">
        <f>'[1]Forward Ranks'!BX108</f>
        <v>0.86899563318777295</v>
      </c>
      <c r="AN108" t="str">
        <f>'[1]Forward Ranks'!B108</f>
        <v>COL, TOR</v>
      </c>
      <c r="AO108">
        <f>'[1]F on ice'!E108</f>
        <v>65</v>
      </c>
      <c r="AP108" s="2">
        <f>'[1]Impact Score Math'!E108</f>
        <v>0.67535070140280562</v>
      </c>
      <c r="AQ108">
        <f>'[1]Impact Score Math'!G108</f>
        <v>163</v>
      </c>
      <c r="AT108" s="1">
        <f>'[1]Forward Ranks'!CJ108</f>
        <v>0.85807860262008728</v>
      </c>
      <c r="AU108" s="1">
        <f>'[1]Forward Ranks'!CK108</f>
        <v>0.37336244541484714</v>
      </c>
    </row>
    <row r="109" spans="1:47" x14ac:dyDescent="0.3">
      <c r="A109" t="str">
        <f>'[1]Forward Ranks'!A109</f>
        <v>Derek Grant</v>
      </c>
      <c r="B109">
        <f>'[1]Forward Ranks'!D109</f>
        <v>0</v>
      </c>
      <c r="C109" s="1">
        <f>'[1]Forward Ranks'!I109</f>
        <v>7.8602620087336247E-2</v>
      </c>
      <c r="D109" s="1">
        <f>'[1]Forward Ranks'!J109</f>
        <v>0.2183406113537118</v>
      </c>
      <c r="E109" s="1">
        <f>'[1]Forward Ranks'!K109</f>
        <v>0.33842794759825329</v>
      </c>
      <c r="F109" s="1">
        <f>'[1]Forward Ranks'!L109</f>
        <v>0.21179039301310043</v>
      </c>
      <c r="G109">
        <f>'[1]Forward Ranks'!N109</f>
        <v>0</v>
      </c>
      <c r="H109" s="1">
        <f>'[1]Forward Ranks'!S109</f>
        <v>0.10480349344978165</v>
      </c>
      <c r="I109" s="1">
        <f>'[1]Forward Ranks'!T109</f>
        <v>0.81222707423580787</v>
      </c>
      <c r="J109" s="1">
        <f>'[1]Forward Ranks'!U109</f>
        <v>0.8253275109170306</v>
      </c>
      <c r="K109" s="1">
        <f>'[1]Forward Ranks'!V109</f>
        <v>0.52838427947598254</v>
      </c>
      <c r="L109">
        <f>'[1]Forward Ranks'!X109</f>
        <v>0</v>
      </c>
      <c r="M109" s="1">
        <f>'[1]Forward Ranks'!AC109</f>
        <v>1.0917030567685589E-2</v>
      </c>
      <c r="N109" s="1">
        <f>'[1]Forward Ranks'!AD109</f>
        <v>3.9301310043668124E-2</v>
      </c>
      <c r="O109" s="1">
        <f>'[1]Forward Ranks'!AE109</f>
        <v>0.32096069868995636</v>
      </c>
      <c r="P109" s="1">
        <f>'[1]Forward Ranks'!AF109</f>
        <v>2.4017467248908297E-2</v>
      </c>
      <c r="Q109">
        <f>'[1]Forward Ranks'!AH109</f>
        <v>0</v>
      </c>
      <c r="R109" s="1">
        <f>'[1]Forward Ranks'!AM109</f>
        <v>0.50218340611353707</v>
      </c>
      <c r="S109" s="1">
        <f>'[1]Forward Ranks'!AN109</f>
        <v>0.6746724890829694</v>
      </c>
      <c r="T109" s="1">
        <f>'[1]Forward Ranks'!AO109</f>
        <v>0.48471615720524019</v>
      </c>
      <c r="U109" s="1">
        <f>'[1]Forward Ranks'!AP109</f>
        <v>0.61572052401746724</v>
      </c>
      <c r="V109">
        <f>'[1]Forward Ranks'!AR109</f>
        <v>0</v>
      </c>
      <c r="W109" s="1">
        <f>'[1]Forward Ranks'!AW109</f>
        <v>0.16812227074235808</v>
      </c>
      <c r="X109" s="1">
        <f>'[1]Forward Ranks'!AX109</f>
        <v>0.53056768558951961</v>
      </c>
      <c r="Y109" s="1">
        <f>'[1]Forward Ranks'!AY109</f>
        <v>0.85152838427947597</v>
      </c>
      <c r="Z109" s="1">
        <f>'[1]Forward Ranks'!AZ109</f>
        <v>0.30786026200873362</v>
      </c>
      <c r="AA109">
        <f>'[1]Forward Ranks'!BB109</f>
        <v>0</v>
      </c>
      <c r="AB109" s="1">
        <f>'[1]Forward Ranks'!BG109</f>
        <v>0.30131004366812225</v>
      </c>
      <c r="AC109" s="1">
        <f>'[1]Forward Ranks'!BH109</f>
        <v>1.3100436681222707E-2</v>
      </c>
      <c r="AD109" s="1">
        <f>'[1]Forward Ranks'!BI109</f>
        <v>0.59388646288209612</v>
      </c>
      <c r="AE109" s="1">
        <f>'[1]Forward Ranks'!BJ109</f>
        <v>0.78820960698689957</v>
      </c>
      <c r="AF109">
        <f>'[1]Forward Ranks'!BL109</f>
        <v>0</v>
      </c>
      <c r="AG109" s="1">
        <f>'[1]Forward Ranks'!BQ109</f>
        <v>1.5283842794759825E-2</v>
      </c>
      <c r="AH109" s="1">
        <f>'[1]Forward Ranks'!BR109</f>
        <v>6.5502183406113537E-2</v>
      </c>
      <c r="AI109" s="1">
        <f>'[1]Forward Ranks'!BS109</f>
        <v>0.26855895196506552</v>
      </c>
      <c r="AJ109" s="1">
        <f>'[1]Forward Ranks'!BT109</f>
        <v>4.5851528384279479E-2</v>
      </c>
      <c r="AL109" s="2">
        <f>'[1]Forward Ranks'!BX109</f>
        <v>0.12663755458515283</v>
      </c>
      <c r="AN109" t="str">
        <f>'[1]Forward Ranks'!B109</f>
        <v>ANA</v>
      </c>
      <c r="AO109">
        <f>'[1]F on ice'!E109</f>
        <v>46</v>
      </c>
      <c r="AP109" s="2">
        <f>'[1]Impact Score Math'!E109</f>
        <v>0.20440881763527055</v>
      </c>
      <c r="AQ109">
        <f>'[1]Impact Score Math'!G109</f>
        <v>398</v>
      </c>
      <c r="AT109" s="1">
        <f>'[1]Forward Ranks'!CJ109</f>
        <v>0.33624454148471616</v>
      </c>
      <c r="AU109" s="1">
        <f>'[1]Forward Ranks'!CK109</f>
        <v>0.24017467248908297</v>
      </c>
    </row>
    <row r="110" spans="1:47" x14ac:dyDescent="0.3">
      <c r="A110" t="str">
        <f>'[1]Forward Ranks'!A110</f>
        <v>Derek Ryan</v>
      </c>
      <c r="B110">
        <f>'[1]Forward Ranks'!D110</f>
        <v>0</v>
      </c>
      <c r="C110" s="1">
        <f>'[1]Forward Ranks'!I110</f>
        <v>0.38209606986899564</v>
      </c>
      <c r="D110" s="1">
        <f>'[1]Forward Ranks'!J110</f>
        <v>0.70305676855895194</v>
      </c>
      <c r="E110" s="1">
        <f>'[1]Forward Ranks'!K110</f>
        <v>0.43231441048034935</v>
      </c>
      <c r="F110" s="1">
        <f>'[1]Forward Ranks'!L110</f>
        <v>0.65283842794759828</v>
      </c>
      <c r="G110">
        <f>'[1]Forward Ranks'!N110</f>
        <v>0</v>
      </c>
      <c r="H110" s="1">
        <f>'[1]Forward Ranks'!S110</f>
        <v>0.72489082969432317</v>
      </c>
      <c r="I110" s="1">
        <f>'[1]Forward Ranks'!T110</f>
        <v>9.1703056768558958E-2</v>
      </c>
      <c r="J110" s="1">
        <f>'[1]Forward Ranks'!U110</f>
        <v>0.11572052401746726</v>
      </c>
      <c r="K110" s="1">
        <f>'[1]Forward Ranks'!V110</f>
        <v>0.27510917030567683</v>
      </c>
      <c r="L110">
        <f>'[1]Forward Ranks'!X110</f>
        <v>0</v>
      </c>
      <c r="M110" s="1">
        <f>'[1]Forward Ranks'!AC110</f>
        <v>0.888646288209607</v>
      </c>
      <c r="N110" s="1">
        <f>'[1]Forward Ranks'!AD110</f>
        <v>0.99126637554585151</v>
      </c>
      <c r="O110" s="1">
        <f>'[1]Forward Ranks'!AE110</f>
        <v>0.89956331877729256</v>
      </c>
      <c r="P110" s="1">
        <f>'[1]Forward Ranks'!AF110</f>
        <v>0.96506550218340614</v>
      </c>
      <c r="Q110">
        <f>'[1]Forward Ranks'!AH110</f>
        <v>0</v>
      </c>
      <c r="R110" s="1">
        <f>'[1]Forward Ranks'!AM110</f>
        <v>0.26419213973799127</v>
      </c>
      <c r="S110" s="1">
        <f>'[1]Forward Ranks'!AN110</f>
        <v>0.36899563318777295</v>
      </c>
      <c r="T110" s="1">
        <f>'[1]Forward Ranks'!AO110</f>
        <v>0.24672489082969432</v>
      </c>
      <c r="U110" s="1">
        <f>'[1]Forward Ranks'!AP110</f>
        <v>0.36244541484716158</v>
      </c>
      <c r="V110">
        <f>'[1]Forward Ranks'!AR110</f>
        <v>0</v>
      </c>
      <c r="W110" s="1">
        <f>'[1]Forward Ranks'!AW110</f>
        <v>0.89082969432314407</v>
      </c>
      <c r="X110" s="1">
        <f>'[1]Forward Ranks'!AX110</f>
        <v>0.96943231441048039</v>
      </c>
      <c r="Y110" s="1">
        <f>'[1]Forward Ranks'!AY110</f>
        <v>0.92576419213973804</v>
      </c>
      <c r="Z110" s="1">
        <f>'[1]Forward Ranks'!AZ110</f>
        <v>0.96943231441048039</v>
      </c>
      <c r="AA110">
        <f>'[1]Forward Ranks'!BB110</f>
        <v>0</v>
      </c>
      <c r="AB110" s="1">
        <f>'[1]Forward Ranks'!BG110</f>
        <v>0.11135371179039301</v>
      </c>
      <c r="AC110" s="1">
        <f>'[1]Forward Ranks'!BH110</f>
        <v>0.26419213973799127</v>
      </c>
      <c r="AD110" s="1">
        <f>'[1]Forward Ranks'!BI110</f>
        <v>0.48253275109170307</v>
      </c>
      <c r="AE110" s="1">
        <f>'[1]Forward Ranks'!BJ110</f>
        <v>0.78820960698689957</v>
      </c>
      <c r="AF110">
        <f>'[1]Forward Ranks'!BL110</f>
        <v>0</v>
      </c>
      <c r="AG110" s="1">
        <f>'[1]Forward Ranks'!BQ110</f>
        <v>0.6506550218340611</v>
      </c>
      <c r="AH110" s="1">
        <f>'[1]Forward Ranks'!BR110</f>
        <v>0.94323144104803491</v>
      </c>
      <c r="AI110" s="1">
        <f>'[1]Forward Ranks'!BS110</f>
        <v>0.78820960698689957</v>
      </c>
      <c r="AJ110" s="1">
        <f>'[1]Forward Ranks'!BT110</f>
        <v>0.90829694323144106</v>
      </c>
      <c r="AL110" s="2">
        <f>'[1]Forward Ranks'!BX110</f>
        <v>0.75327510917030571</v>
      </c>
      <c r="AN110" t="str">
        <f>'[1]Forward Ranks'!B110</f>
        <v>EDM</v>
      </c>
      <c r="AO110">
        <f>'[1]F on ice'!E110</f>
        <v>80</v>
      </c>
      <c r="AP110" s="2">
        <f>'[1]Impact Score Math'!E110</f>
        <v>0.56513026052104209</v>
      </c>
      <c r="AQ110">
        <f>'[1]Impact Score Math'!G110</f>
        <v>218</v>
      </c>
      <c r="AT110" s="1">
        <f>'[1]Forward Ranks'!CJ110</f>
        <v>0.39519650655021832</v>
      </c>
      <c r="AU110" s="1">
        <f>'[1]Forward Ranks'!CK110</f>
        <v>0.2576419213973799</v>
      </c>
    </row>
    <row r="111" spans="1:47" x14ac:dyDescent="0.3">
      <c r="A111" t="str">
        <f>'[1]Forward Ranks'!A111</f>
        <v>Derek Stepan</v>
      </c>
      <c r="B111">
        <f>'[1]Forward Ranks'!D111</f>
        <v>0</v>
      </c>
      <c r="C111" s="1">
        <f>'[1]Forward Ranks'!I111</f>
        <v>0.99781659388646293</v>
      </c>
      <c r="D111" s="1">
        <f>'[1]Forward Ranks'!J111</f>
        <v>0.88646288209606983</v>
      </c>
      <c r="E111" s="1">
        <f>'[1]Forward Ranks'!K111</f>
        <v>0.30349344978165937</v>
      </c>
      <c r="F111" s="1">
        <f>'[1]Forward Ranks'!L111</f>
        <v>0.96943231441048039</v>
      </c>
      <c r="G111">
        <f>'[1]Forward Ranks'!N111</f>
        <v>0</v>
      </c>
      <c r="H111" s="1">
        <f>'[1]Forward Ranks'!S111</f>
        <v>0.26419213973799127</v>
      </c>
      <c r="I111" s="1">
        <f>'[1]Forward Ranks'!T111</f>
        <v>0.10480349344978165</v>
      </c>
      <c r="J111" s="1">
        <f>'[1]Forward Ranks'!U111</f>
        <v>0.29475982532751094</v>
      </c>
      <c r="K111" s="1">
        <f>'[1]Forward Ranks'!V111</f>
        <v>9.1703056768558958E-2</v>
      </c>
      <c r="L111">
        <f>'[1]Forward Ranks'!X111</f>
        <v>0</v>
      </c>
      <c r="M111" s="1">
        <f>'[1]Forward Ranks'!AC111</f>
        <v>0.99563318777292575</v>
      </c>
      <c r="N111" s="1">
        <f>'[1]Forward Ranks'!AD111</f>
        <v>0.98253275109170302</v>
      </c>
      <c r="O111" s="1">
        <f>'[1]Forward Ranks'!AE111</f>
        <v>0.97161572052401746</v>
      </c>
      <c r="P111" s="1">
        <f>'[1]Forward Ranks'!AF111</f>
        <v>0.99344978165938869</v>
      </c>
      <c r="Q111">
        <f>'[1]Forward Ranks'!AH111</f>
        <v>0</v>
      </c>
      <c r="R111" s="1">
        <f>'[1]Forward Ranks'!AM111</f>
        <v>0.95851528384279472</v>
      </c>
      <c r="S111" s="1">
        <f>'[1]Forward Ranks'!AN111</f>
        <v>0.65283842794759828</v>
      </c>
      <c r="T111" s="1">
        <f>'[1]Forward Ranks'!AO111</f>
        <v>0.31004366812227074</v>
      </c>
      <c r="U111" s="1">
        <f>'[1]Forward Ranks'!AP111</f>
        <v>0.83842794759825323</v>
      </c>
      <c r="V111">
        <f>'[1]Forward Ranks'!AR111</f>
        <v>0</v>
      </c>
      <c r="W111" s="1">
        <f>'[1]Forward Ranks'!AW111</f>
        <v>0.86462882096069871</v>
      </c>
      <c r="X111" s="1">
        <f>'[1]Forward Ranks'!AX111</f>
        <v>0.77074235807860259</v>
      </c>
      <c r="Y111" s="1">
        <f>'[1]Forward Ranks'!AY111</f>
        <v>0.88646288209606983</v>
      </c>
      <c r="Z111" s="1">
        <f>'[1]Forward Ranks'!AZ111</f>
        <v>0.84279475982532748</v>
      </c>
      <c r="AA111">
        <f>'[1]Forward Ranks'!BB111</f>
        <v>0</v>
      </c>
      <c r="AB111" s="1">
        <f>'[1]Forward Ranks'!BG111</f>
        <v>1.5283842794759825E-2</v>
      </c>
      <c r="AC111" s="1">
        <f>'[1]Forward Ranks'!BH111</f>
        <v>0.89519650655021832</v>
      </c>
      <c r="AD111" s="1">
        <f>'[1]Forward Ranks'!BI111</f>
        <v>6.1135371179039298E-2</v>
      </c>
      <c r="AE111" s="1">
        <f>'[1]Forward Ranks'!BJ111</f>
        <v>0.35807860262008734</v>
      </c>
      <c r="AF111">
        <f>'[1]Forward Ranks'!BL111</f>
        <v>0</v>
      </c>
      <c r="AG111" s="1">
        <f>'[1]Forward Ranks'!BQ111</f>
        <v>0.99781659388646293</v>
      </c>
      <c r="AH111" s="1">
        <f>'[1]Forward Ranks'!BR111</f>
        <v>0.98908296943231444</v>
      </c>
      <c r="AI111" s="1">
        <f>'[1]Forward Ranks'!BS111</f>
        <v>0.87772925764192145</v>
      </c>
      <c r="AJ111" s="1">
        <f>'[1]Forward Ranks'!BT111</f>
        <v>0.99781659388646293</v>
      </c>
      <c r="AL111" s="2">
        <f>'[1]Forward Ranks'!BX111</f>
        <v>0.93886462882096067</v>
      </c>
      <c r="AN111" t="str">
        <f>'[1]Forward Ranks'!B111</f>
        <v>CAR</v>
      </c>
      <c r="AO111">
        <f>'[1]F on ice'!E111</f>
        <v>73</v>
      </c>
      <c r="AP111" s="2">
        <f>'[1]Impact Score Math'!E111</f>
        <v>0.59919839679358722</v>
      </c>
      <c r="AQ111">
        <f>'[1]Impact Score Math'!G111</f>
        <v>201</v>
      </c>
      <c r="AT111" s="1">
        <f>'[1]Forward Ranks'!CJ111</f>
        <v>0.83187772925764192</v>
      </c>
      <c r="AU111" s="1">
        <f>'[1]Forward Ranks'!CK111</f>
        <v>0.16812227074235808</v>
      </c>
    </row>
    <row r="112" spans="1:47" x14ac:dyDescent="0.3">
      <c r="A112" t="str">
        <f>'[1]Forward Ranks'!A112</f>
        <v>Derick Brassard</v>
      </c>
      <c r="B112">
        <f>'[1]Forward Ranks'!D112</f>
        <v>0</v>
      </c>
      <c r="C112" s="1">
        <f>'[1]Forward Ranks'!I112</f>
        <v>0.59388646288209612</v>
      </c>
      <c r="D112" s="1">
        <f>'[1]Forward Ranks'!J112</f>
        <v>0.52620087336244536</v>
      </c>
      <c r="E112" s="1">
        <f>'[1]Forward Ranks'!K112</f>
        <v>0.40393013100436681</v>
      </c>
      <c r="F112" s="1">
        <f>'[1]Forward Ranks'!L112</f>
        <v>0.50436681222707425</v>
      </c>
      <c r="G112">
        <f>'[1]Forward Ranks'!N112</f>
        <v>0</v>
      </c>
      <c r="H112" s="1">
        <f>'[1]Forward Ranks'!S112</f>
        <v>0.64847161572052403</v>
      </c>
      <c r="I112" s="1">
        <f>'[1]Forward Ranks'!T112</f>
        <v>0.10480349344978165</v>
      </c>
      <c r="J112" s="1">
        <f>'[1]Forward Ranks'!U112</f>
        <v>0.27947598253275108</v>
      </c>
      <c r="K112" s="1">
        <f>'[1]Forward Ranks'!V112</f>
        <v>0.24454148471615719</v>
      </c>
      <c r="L112">
        <f>'[1]Forward Ranks'!X112</f>
        <v>0</v>
      </c>
      <c r="M112" s="1">
        <f>'[1]Forward Ranks'!AC112</f>
        <v>0.66157205240174677</v>
      </c>
      <c r="N112" s="1">
        <f>'[1]Forward Ranks'!AD112</f>
        <v>0.4606986899563319</v>
      </c>
      <c r="O112" s="1">
        <f>'[1]Forward Ranks'!AE112</f>
        <v>0.89956331877729256</v>
      </c>
      <c r="P112" s="1">
        <f>'[1]Forward Ranks'!AF112</f>
        <v>0.40174672489082969</v>
      </c>
      <c r="Q112">
        <f>'[1]Forward Ranks'!AH112</f>
        <v>0</v>
      </c>
      <c r="R112" s="1">
        <f>'[1]Forward Ranks'!AM112</f>
        <v>0.23580786026200873</v>
      </c>
      <c r="S112" s="1">
        <f>'[1]Forward Ranks'!AN112</f>
        <v>0.38427947598253276</v>
      </c>
      <c r="T112" s="1">
        <f>'[1]Forward Ranks'!AO112</f>
        <v>0.51310043668122274</v>
      </c>
      <c r="U112" s="1">
        <f>'[1]Forward Ranks'!AP112</f>
        <v>0.31659388646288211</v>
      </c>
      <c r="V112">
        <f>'[1]Forward Ranks'!AR112</f>
        <v>0</v>
      </c>
      <c r="W112" s="1">
        <f>'[1]Forward Ranks'!AW112</f>
        <v>0.72270742358078599</v>
      </c>
      <c r="X112" s="1">
        <f>'[1]Forward Ranks'!AX112</f>
        <v>0.53056768558951961</v>
      </c>
      <c r="Y112" s="1">
        <f>'[1]Forward Ranks'!AY112</f>
        <v>0.98471615720524019</v>
      </c>
      <c r="Z112" s="1">
        <f>'[1]Forward Ranks'!AZ112</f>
        <v>0.48034934497816595</v>
      </c>
      <c r="AA112">
        <f>'[1]Forward Ranks'!BB112</f>
        <v>0</v>
      </c>
      <c r="AB112" s="1">
        <f>'[1]Forward Ranks'!BG112</f>
        <v>0.1331877729257642</v>
      </c>
      <c r="AC112" s="1">
        <f>'[1]Forward Ranks'!BH112</f>
        <v>0.20305676855895197</v>
      </c>
      <c r="AD112" s="1">
        <f>'[1]Forward Ranks'!BI112</f>
        <v>0.33406113537117904</v>
      </c>
      <c r="AE112" s="1">
        <f>'[1]Forward Ranks'!BJ112</f>
        <v>0.74672489082969429</v>
      </c>
      <c r="AF112">
        <f>'[1]Forward Ranks'!BL112</f>
        <v>0</v>
      </c>
      <c r="AG112" s="1">
        <f>'[1]Forward Ranks'!BQ112</f>
        <v>0.64192139737991272</v>
      </c>
      <c r="AH112" s="1">
        <f>'[1]Forward Ranks'!BR112</f>
        <v>0.4759825327510917</v>
      </c>
      <c r="AI112" s="1">
        <f>'[1]Forward Ranks'!BS112</f>
        <v>0.77729257641921401</v>
      </c>
      <c r="AJ112" s="1">
        <f>'[1]Forward Ranks'!BT112</f>
        <v>0.45414847161572053</v>
      </c>
      <c r="AL112" s="2">
        <f>'[1]Forward Ranks'!BX112</f>
        <v>0.42139737991266374</v>
      </c>
      <c r="AN112" t="str">
        <f>'[1]Forward Ranks'!B112</f>
        <v>OTT</v>
      </c>
      <c r="AO112">
        <f>'[1]F on ice'!E112</f>
        <v>62</v>
      </c>
      <c r="AP112" s="2">
        <f>'[1]Impact Score Math'!E112</f>
        <v>0.37675350701402804</v>
      </c>
      <c r="AQ112">
        <f>'[1]Impact Score Math'!G112</f>
        <v>312</v>
      </c>
      <c r="AT112" s="1">
        <f>'[1]Forward Ranks'!CJ112</f>
        <v>0.2205240174672489</v>
      </c>
      <c r="AU112" s="1">
        <f>'[1]Forward Ranks'!CK112</f>
        <v>0.42358078602620086</v>
      </c>
    </row>
    <row r="113" spans="1:47" x14ac:dyDescent="0.3">
      <c r="A113" t="str">
        <f>'[1]Forward Ranks'!A113</f>
        <v>Devin Shore</v>
      </c>
      <c r="B113">
        <f>'[1]Forward Ranks'!D113</f>
        <v>0</v>
      </c>
      <c r="C113" s="1">
        <f>'[1]Forward Ranks'!I113</f>
        <v>0.27729257641921395</v>
      </c>
      <c r="D113" s="1">
        <f>'[1]Forward Ranks'!J113</f>
        <v>0.53711790393013104</v>
      </c>
      <c r="E113" s="1">
        <f>'[1]Forward Ranks'!K113</f>
        <v>0.20960698689956331</v>
      </c>
      <c r="F113" s="1">
        <f>'[1]Forward Ranks'!L113</f>
        <v>0.48689956331877732</v>
      </c>
      <c r="G113">
        <f>'[1]Forward Ranks'!N113</f>
        <v>0</v>
      </c>
      <c r="H113" s="1">
        <f>'[1]Forward Ranks'!S113</f>
        <v>2.6200873362445413E-2</v>
      </c>
      <c r="I113" s="1">
        <f>'[1]Forward Ranks'!T113</f>
        <v>0.72052401746724892</v>
      </c>
      <c r="J113" s="1">
        <f>'[1]Forward Ranks'!U113</f>
        <v>0.86244541484716153</v>
      </c>
      <c r="K113" s="1">
        <f>'[1]Forward Ranks'!V113</f>
        <v>0.28602620087336245</v>
      </c>
      <c r="L113">
        <f>'[1]Forward Ranks'!X113</f>
        <v>0</v>
      </c>
      <c r="M113" s="1">
        <f>'[1]Forward Ranks'!AC113</f>
        <v>0.50873362445414849</v>
      </c>
      <c r="N113" s="1">
        <f>'[1]Forward Ranks'!AD113</f>
        <v>0.63100436681222705</v>
      </c>
      <c r="O113" s="1">
        <f>'[1]Forward Ranks'!AE113</f>
        <v>1</v>
      </c>
      <c r="P113" s="1">
        <f>'[1]Forward Ranks'!AF113</f>
        <v>0.40174672489082969</v>
      </c>
      <c r="Q113">
        <f>'[1]Forward Ranks'!AH113</f>
        <v>0</v>
      </c>
      <c r="R113" s="1">
        <f>'[1]Forward Ranks'!AM113</f>
        <v>0.10698689956331878</v>
      </c>
      <c r="S113" s="1">
        <f>'[1]Forward Ranks'!AN113</f>
        <v>0.12882096069868995</v>
      </c>
      <c r="T113" s="1">
        <f>'[1]Forward Ranks'!AO113</f>
        <v>5.8951965065502182E-2</v>
      </c>
      <c r="U113" s="1">
        <f>'[1]Forward Ranks'!AP113</f>
        <v>0.21179039301310043</v>
      </c>
      <c r="V113">
        <f>'[1]Forward Ranks'!AR113</f>
        <v>0</v>
      </c>
      <c r="W113" s="1">
        <f>'[1]Forward Ranks'!AW113</f>
        <v>0.45414847161572053</v>
      </c>
      <c r="X113" s="1">
        <f>'[1]Forward Ranks'!AX113</f>
        <v>0.36026200873362446</v>
      </c>
      <c r="Y113" s="1">
        <f>'[1]Forward Ranks'!AY113</f>
        <v>1</v>
      </c>
      <c r="Z113" s="1">
        <f>'[1]Forward Ranks'!AZ113</f>
        <v>0.34061135371179041</v>
      </c>
      <c r="AA113">
        <f>'[1]Forward Ranks'!BB113</f>
        <v>0</v>
      </c>
      <c r="AB113" s="1">
        <f>'[1]Forward Ranks'!BG113</f>
        <v>2.1834061135371178E-2</v>
      </c>
      <c r="AC113" s="1">
        <f>'[1]Forward Ranks'!BH113</f>
        <v>0.6026200873362445</v>
      </c>
      <c r="AD113" s="1">
        <f>'[1]Forward Ranks'!BI113</f>
        <v>0.21397379912663755</v>
      </c>
      <c r="AE113" s="1">
        <f>'[1]Forward Ranks'!BJ113</f>
        <v>0.93449781659388642</v>
      </c>
      <c r="AF113">
        <f>'[1]Forward Ranks'!BL113</f>
        <v>0</v>
      </c>
      <c r="AG113" s="1">
        <f>'[1]Forward Ranks'!BQ113</f>
        <v>0.34279475982532753</v>
      </c>
      <c r="AH113" s="1">
        <f>'[1]Forward Ranks'!BR113</f>
        <v>0.58296943231441045</v>
      </c>
      <c r="AI113" s="1">
        <f>'[1]Forward Ranks'!BS113</f>
        <v>0.97161572052401746</v>
      </c>
      <c r="AJ113" s="1">
        <f>'[1]Forward Ranks'!BT113</f>
        <v>0.42576419213973798</v>
      </c>
      <c r="AL113" s="2">
        <f>'[1]Forward Ranks'!BX113</f>
        <v>0.23362445414847161</v>
      </c>
      <c r="AN113" t="str">
        <f>'[1]Forward Ranks'!B113</f>
        <v>EDM</v>
      </c>
      <c r="AO113">
        <f>'[1]F on ice'!E113</f>
        <v>47</v>
      </c>
      <c r="AP113" s="2">
        <f>'[1]Impact Score Math'!E113</f>
        <v>0.21442885771543085</v>
      </c>
      <c r="AQ113">
        <f>'[1]Impact Score Math'!G113</f>
        <v>393</v>
      </c>
      <c r="AT113" s="1">
        <f>'[1]Forward Ranks'!CJ113</f>
        <v>0.88209606986899558</v>
      </c>
      <c r="AU113" s="1">
        <f>'[1]Forward Ranks'!CK113</f>
        <v>0.51528384279475981</v>
      </c>
    </row>
    <row r="114" spans="1:47" x14ac:dyDescent="0.3">
      <c r="A114" t="str">
        <f>'[1]Forward Ranks'!A114</f>
        <v>Dillon Dube</v>
      </c>
      <c r="B114">
        <f>'[1]Forward Ranks'!D114</f>
        <v>0</v>
      </c>
      <c r="C114" s="1">
        <f>'[1]Forward Ranks'!I114</f>
        <v>0.85152838427947597</v>
      </c>
      <c r="D114" s="1">
        <f>'[1]Forward Ranks'!J114</f>
        <v>0.31877729257641924</v>
      </c>
      <c r="E114" s="1">
        <f>'[1]Forward Ranks'!K114</f>
        <v>0.79912663755458513</v>
      </c>
      <c r="F114" s="1">
        <f>'[1]Forward Ranks'!L114</f>
        <v>0.66375545851528384</v>
      </c>
      <c r="G114">
        <f>'[1]Forward Ranks'!N114</f>
        <v>0</v>
      </c>
      <c r="H114" s="1">
        <f>'[1]Forward Ranks'!S114</f>
        <v>0.64847161572052403</v>
      </c>
      <c r="I114" s="1">
        <f>'[1]Forward Ranks'!T114</f>
        <v>0.88646288209606983</v>
      </c>
      <c r="J114" s="1">
        <f>'[1]Forward Ranks'!U114</f>
        <v>0.70305676855895194</v>
      </c>
      <c r="K114" s="1">
        <f>'[1]Forward Ranks'!V114</f>
        <v>0.85152838427947597</v>
      </c>
      <c r="L114">
        <f>'[1]Forward Ranks'!X114</f>
        <v>0</v>
      </c>
      <c r="M114" s="1">
        <f>'[1]Forward Ranks'!AC114</f>
        <v>0.69432314410480345</v>
      </c>
      <c r="N114" s="1">
        <f>'[1]Forward Ranks'!AD114</f>
        <v>0.38209606986899564</v>
      </c>
      <c r="O114" s="1">
        <f>'[1]Forward Ranks'!AE114</f>
        <v>9.8253275109170299E-2</v>
      </c>
      <c r="P114" s="1">
        <f>'[1]Forward Ranks'!AF114</f>
        <v>0.34934497816593885</v>
      </c>
      <c r="Q114">
        <f>'[1]Forward Ranks'!AH114</f>
        <v>0</v>
      </c>
      <c r="R114" s="1">
        <f>'[1]Forward Ranks'!AM114</f>
        <v>0.35371179039301309</v>
      </c>
      <c r="S114" s="1">
        <f>'[1]Forward Ranks'!AN114</f>
        <v>0.15283842794759825</v>
      </c>
      <c r="T114" s="1">
        <f>'[1]Forward Ranks'!AO114</f>
        <v>0.70960698689956336</v>
      </c>
      <c r="U114" s="1">
        <f>'[1]Forward Ranks'!AP114</f>
        <v>0.26200873362445415</v>
      </c>
      <c r="V114">
        <f>'[1]Forward Ranks'!AR114</f>
        <v>0</v>
      </c>
      <c r="W114" s="1">
        <f>'[1]Forward Ranks'!AW114</f>
        <v>0.13537117903930132</v>
      </c>
      <c r="X114" s="1">
        <f>'[1]Forward Ranks'!AX114</f>
        <v>5.8951965065502182E-2</v>
      </c>
      <c r="Y114" s="1">
        <f>'[1]Forward Ranks'!AY114</f>
        <v>2.8384279475982533E-2</v>
      </c>
      <c r="Z114" s="1">
        <f>'[1]Forward Ranks'!AZ114</f>
        <v>6.1135371179039298E-2</v>
      </c>
      <c r="AA114">
        <f>'[1]Forward Ranks'!BB114</f>
        <v>0</v>
      </c>
      <c r="AB114" s="1">
        <f>'[1]Forward Ranks'!BG114</f>
        <v>0.48253275109170307</v>
      </c>
      <c r="AC114" s="1">
        <f>'[1]Forward Ranks'!BH114</f>
        <v>0.77510917030567683</v>
      </c>
      <c r="AD114" s="1">
        <f>'[1]Forward Ranks'!BI114</f>
        <v>0.70742358078602618</v>
      </c>
      <c r="AE114" s="1">
        <f>'[1]Forward Ranks'!BJ114</f>
        <v>0.15938864628820962</v>
      </c>
      <c r="AF114">
        <f>'[1]Forward Ranks'!BL114</f>
        <v>0</v>
      </c>
      <c r="AG114" s="1">
        <f>'[1]Forward Ranks'!BQ114</f>
        <v>0.85371179039301315</v>
      </c>
      <c r="AH114" s="1">
        <f>'[1]Forward Ranks'!BR114</f>
        <v>0.29912663755458513</v>
      </c>
      <c r="AI114" s="1">
        <f>'[1]Forward Ranks'!BS114</f>
        <v>0.4126637554585153</v>
      </c>
      <c r="AJ114" s="1">
        <f>'[1]Forward Ranks'!BT114</f>
        <v>0.52620087336244536</v>
      </c>
      <c r="AL114" s="2">
        <f>'[1]Forward Ranks'!BX114</f>
        <v>0.56550218340611358</v>
      </c>
      <c r="AN114" t="str">
        <f>'[1]Forward Ranks'!B114</f>
        <v>CGY</v>
      </c>
      <c r="AO114">
        <f>'[1]F on ice'!E114</f>
        <v>82</v>
      </c>
      <c r="AP114" s="2">
        <f>'[1]Impact Score Math'!E114</f>
        <v>0.60721442885771548</v>
      </c>
      <c r="AQ114">
        <f>'[1]Impact Score Math'!G114</f>
        <v>197</v>
      </c>
      <c r="AT114" s="1">
        <f>'[1]Forward Ranks'!CJ114</f>
        <v>0.27947598253275108</v>
      </c>
      <c r="AU114" s="1">
        <f>'[1]Forward Ranks'!CK114</f>
        <v>0.64192139737991272</v>
      </c>
    </row>
    <row r="115" spans="1:47" x14ac:dyDescent="0.3">
      <c r="A115" t="str">
        <f>'[1]Forward Ranks'!A115</f>
        <v>Dominik Kubalik</v>
      </c>
      <c r="B115">
        <f>'[1]Forward Ranks'!D115</f>
        <v>0</v>
      </c>
      <c r="C115" s="1">
        <f>'[1]Forward Ranks'!I115</f>
        <v>0.25327510917030566</v>
      </c>
      <c r="D115" s="1">
        <f>'[1]Forward Ranks'!J115</f>
        <v>0.11572052401746726</v>
      </c>
      <c r="E115" s="1">
        <f>'[1]Forward Ranks'!K115</f>
        <v>0.60043668122270744</v>
      </c>
      <c r="F115" s="1">
        <f>'[1]Forward Ranks'!L115</f>
        <v>0.27729257641921395</v>
      </c>
      <c r="G115">
        <f>'[1]Forward Ranks'!N115</f>
        <v>0</v>
      </c>
      <c r="H115" s="1">
        <f>'[1]Forward Ranks'!S115</f>
        <v>0.62227074235807855</v>
      </c>
      <c r="I115" s="1">
        <f>'[1]Forward Ranks'!T115</f>
        <v>0.31877729257641924</v>
      </c>
      <c r="J115" s="1">
        <f>'[1]Forward Ranks'!U115</f>
        <v>0.52183406113537123</v>
      </c>
      <c r="K115" s="1">
        <f>'[1]Forward Ranks'!V115</f>
        <v>0.43013100436681223</v>
      </c>
      <c r="L115">
        <f>'[1]Forward Ranks'!X115</f>
        <v>0</v>
      </c>
      <c r="M115" s="1">
        <f>'[1]Forward Ranks'!AC115</f>
        <v>0.27947598253275108</v>
      </c>
      <c r="N115" s="1">
        <f>'[1]Forward Ranks'!AD115</f>
        <v>0.29475982532751094</v>
      </c>
      <c r="O115" s="1">
        <f>'[1]Forward Ranks'!AE115</f>
        <v>0.1943231441048035</v>
      </c>
      <c r="P115" s="1">
        <f>'[1]Forward Ranks'!AF115</f>
        <v>0.32532751091703055</v>
      </c>
      <c r="Q115">
        <f>'[1]Forward Ranks'!AH115</f>
        <v>0</v>
      </c>
      <c r="R115" s="1">
        <f>'[1]Forward Ranks'!AM115</f>
        <v>0.63100436681222705</v>
      </c>
      <c r="S115" s="1">
        <f>'[1]Forward Ranks'!AN115</f>
        <v>0.39082969432314413</v>
      </c>
      <c r="T115" s="1">
        <f>'[1]Forward Ranks'!AO115</f>
        <v>0.78820960698689957</v>
      </c>
      <c r="U115" s="1">
        <f>'[1]Forward Ranks'!AP115</f>
        <v>0.66375545851528384</v>
      </c>
      <c r="V115">
        <f>'[1]Forward Ranks'!AR115</f>
        <v>0</v>
      </c>
      <c r="W115" s="1">
        <f>'[1]Forward Ranks'!AW115</f>
        <v>0.19868995633187772</v>
      </c>
      <c r="X115" s="1">
        <f>'[1]Forward Ranks'!AX115</f>
        <v>0.34934497816593885</v>
      </c>
      <c r="Y115" s="1">
        <f>'[1]Forward Ranks'!AY115</f>
        <v>0.24890829694323144</v>
      </c>
      <c r="Z115" s="1">
        <f>'[1]Forward Ranks'!AZ115</f>
        <v>0.21179039301310043</v>
      </c>
      <c r="AA115">
        <f>'[1]Forward Ranks'!BB115</f>
        <v>0</v>
      </c>
      <c r="AB115" s="1">
        <f>'[1]Forward Ranks'!BG115</f>
        <v>0.41921397379912662</v>
      </c>
      <c r="AC115" s="1">
        <f>'[1]Forward Ranks'!BH115</f>
        <v>0.46506550218340609</v>
      </c>
      <c r="AD115" s="1">
        <f>'[1]Forward Ranks'!BI115</f>
        <v>0.75982532751091703</v>
      </c>
      <c r="AE115" s="1">
        <f>'[1]Forward Ranks'!BJ115</f>
        <v>0.46288209606986902</v>
      </c>
      <c r="AF115">
        <f>'[1]Forward Ranks'!BL115</f>
        <v>0</v>
      </c>
      <c r="AG115" s="1">
        <f>'[1]Forward Ranks'!BQ115</f>
        <v>0.23580786026200873</v>
      </c>
      <c r="AH115" s="1">
        <f>'[1]Forward Ranks'!BR115</f>
        <v>0.12882096069868995</v>
      </c>
      <c r="AI115" s="1">
        <f>'[1]Forward Ranks'!BS115</f>
        <v>0.37772925764192139</v>
      </c>
      <c r="AJ115" s="1">
        <f>'[1]Forward Ranks'!BT115</f>
        <v>0.26637554585152839</v>
      </c>
      <c r="AL115" s="2">
        <f>'[1]Forward Ranks'!BX115</f>
        <v>0.27947598253275108</v>
      </c>
      <c r="AN115" t="str">
        <f>'[1]Forward Ranks'!B115</f>
        <v>DET</v>
      </c>
      <c r="AO115">
        <f>'[1]F on ice'!E115</f>
        <v>81</v>
      </c>
      <c r="AP115" s="2">
        <f>'[1]Impact Score Math'!E115</f>
        <v>0.36472945891783565</v>
      </c>
      <c r="AQ115">
        <f>'[1]Impact Score Math'!G115</f>
        <v>318</v>
      </c>
      <c r="AT115" s="1">
        <f>'[1]Forward Ranks'!CJ115</f>
        <v>0.58078602620087338</v>
      </c>
      <c r="AU115" s="1">
        <f>'[1]Forward Ranks'!CK115</f>
        <v>0.54803493449781659</v>
      </c>
    </row>
    <row r="116" spans="1:47" x14ac:dyDescent="0.3">
      <c r="A116" t="str">
        <f>'[1]Forward Ranks'!A116</f>
        <v>Drake Batherson</v>
      </c>
      <c r="B116">
        <f>'[1]Forward Ranks'!D116</f>
        <v>0</v>
      </c>
      <c r="C116" s="1">
        <f>'[1]Forward Ranks'!I116</f>
        <v>0.84061135371179041</v>
      </c>
      <c r="D116" s="1">
        <f>'[1]Forward Ranks'!J116</f>
        <v>0.61790393013100442</v>
      </c>
      <c r="E116" s="1">
        <f>'[1]Forward Ranks'!K116</f>
        <v>0.34934497816593885</v>
      </c>
      <c r="F116" s="1">
        <f>'[1]Forward Ranks'!L116</f>
        <v>0.70960698689956336</v>
      </c>
      <c r="G116">
        <f>'[1]Forward Ranks'!N116</f>
        <v>0</v>
      </c>
      <c r="H116" s="1">
        <f>'[1]Forward Ranks'!S116</f>
        <v>0.1222707423580786</v>
      </c>
      <c r="I116" s="1">
        <f>'[1]Forward Ranks'!T116</f>
        <v>0.69868995633187769</v>
      </c>
      <c r="J116" s="1">
        <f>'[1]Forward Ranks'!U116</f>
        <v>0.79475982532751088</v>
      </c>
      <c r="K116" s="1">
        <f>'[1]Forward Ranks'!V116</f>
        <v>0.43886462882096072</v>
      </c>
      <c r="L116">
        <f>'[1]Forward Ranks'!X116</f>
        <v>0</v>
      </c>
      <c r="M116" s="1">
        <f>'[1]Forward Ranks'!AC116</f>
        <v>0.44759825327510916</v>
      </c>
      <c r="N116" s="1">
        <f>'[1]Forward Ranks'!AD116</f>
        <v>0.33842794759825329</v>
      </c>
      <c r="O116" s="1">
        <f>'[1]Forward Ranks'!AE116</f>
        <v>8.9519650655021835E-2</v>
      </c>
      <c r="P116" s="1">
        <f>'[1]Forward Ranks'!AF116</f>
        <v>0.31441048034934499</v>
      </c>
      <c r="Q116">
        <f>'[1]Forward Ranks'!AH116</f>
        <v>0</v>
      </c>
      <c r="R116" s="1">
        <f>'[1]Forward Ranks'!AM116</f>
        <v>0.70305676855895194</v>
      </c>
      <c r="S116" s="1">
        <f>'[1]Forward Ranks'!AN116</f>
        <v>0.43013100436681223</v>
      </c>
      <c r="T116" s="1">
        <f>'[1]Forward Ranks'!AO116</f>
        <v>0.44323144104803491</v>
      </c>
      <c r="U116" s="1">
        <f>'[1]Forward Ranks'!AP116</f>
        <v>0.55021834061135366</v>
      </c>
      <c r="V116">
        <f>'[1]Forward Ranks'!AR116</f>
        <v>0</v>
      </c>
      <c r="W116" s="1">
        <f>'[1]Forward Ranks'!AW116</f>
        <v>0.36681222707423583</v>
      </c>
      <c r="X116" s="1">
        <f>'[1]Forward Ranks'!AX116</f>
        <v>0.22707423580786026</v>
      </c>
      <c r="Y116" s="1">
        <f>'[1]Forward Ranks'!AY116</f>
        <v>6.1135371179039298E-2</v>
      </c>
      <c r="Z116" s="1">
        <f>'[1]Forward Ranks'!AZ116</f>
        <v>0.22707423580786026</v>
      </c>
      <c r="AA116">
        <f>'[1]Forward Ranks'!BB116</f>
        <v>0</v>
      </c>
      <c r="AB116" s="1">
        <f>'[1]Forward Ranks'!BG116</f>
        <v>0.87772925764192145</v>
      </c>
      <c r="AC116" s="1">
        <f>'[1]Forward Ranks'!BH116</f>
        <v>0.94323144104803491</v>
      </c>
      <c r="AD116" s="1">
        <f>'[1]Forward Ranks'!BI116</f>
        <v>0.15938864628820962</v>
      </c>
      <c r="AE116" s="1">
        <f>'[1]Forward Ranks'!BJ116</f>
        <v>3.2751091703056769E-2</v>
      </c>
      <c r="AF116">
        <f>'[1]Forward Ranks'!BL116</f>
        <v>0</v>
      </c>
      <c r="AG116" s="1">
        <f>'[1]Forward Ranks'!BQ116</f>
        <v>0.74017467248908297</v>
      </c>
      <c r="AH116" s="1">
        <f>'[1]Forward Ranks'!BR116</f>
        <v>0.47379912663755458</v>
      </c>
      <c r="AI116" s="1">
        <f>'[1]Forward Ranks'!BS116</f>
        <v>0.15720524017467249</v>
      </c>
      <c r="AJ116" s="1">
        <f>'[1]Forward Ranks'!BT116</f>
        <v>0.55240174672489084</v>
      </c>
      <c r="AL116" s="2">
        <f>'[1]Forward Ranks'!BX116</f>
        <v>0.50873362445414849</v>
      </c>
      <c r="AN116" t="str">
        <f>'[1]Forward Ranks'!B116</f>
        <v>OTT</v>
      </c>
      <c r="AO116">
        <f>'[1]F on ice'!E116</f>
        <v>82</v>
      </c>
      <c r="AP116" s="2">
        <f>'[1]Impact Score Math'!E116</f>
        <v>0.66933867735470942</v>
      </c>
      <c r="AQ116">
        <f>'[1]Impact Score Math'!G116</f>
        <v>166</v>
      </c>
      <c r="AT116" s="1">
        <f>'[1]Forward Ranks'!CJ116</f>
        <v>0.54366812227074235</v>
      </c>
      <c r="AU116" s="1">
        <f>'[1]Forward Ranks'!CK116</f>
        <v>0.51528384279475981</v>
      </c>
    </row>
    <row r="117" spans="1:47" x14ac:dyDescent="0.3">
      <c r="A117" t="str">
        <f>'[1]Forward Ranks'!A117</f>
        <v>Drew O'Connor</v>
      </c>
      <c r="B117">
        <f>'[1]Forward Ranks'!D117</f>
        <v>0</v>
      </c>
      <c r="C117" s="1">
        <f>'[1]Forward Ranks'!I117</f>
        <v>0.77074235807860259</v>
      </c>
      <c r="D117" s="1">
        <f>'[1]Forward Ranks'!J117</f>
        <v>0.8253275109170306</v>
      </c>
      <c r="E117" s="1">
        <f>'[1]Forward Ranks'!K117</f>
        <v>0.28384279475982532</v>
      </c>
      <c r="F117" s="1">
        <f>'[1]Forward Ranks'!L117</f>
        <v>0.76855895196506552</v>
      </c>
      <c r="G117">
        <f>'[1]Forward Ranks'!N117</f>
        <v>0</v>
      </c>
      <c r="H117" s="1">
        <f>'[1]Forward Ranks'!S117</f>
        <v>0.56986899563318782</v>
      </c>
      <c r="I117" s="1">
        <f>'[1]Forward Ranks'!T117</f>
        <v>0.42139737991266374</v>
      </c>
      <c r="J117" s="1">
        <f>'[1]Forward Ranks'!U117</f>
        <v>0.34279475982532753</v>
      </c>
      <c r="K117" s="1">
        <f>'[1]Forward Ranks'!V117</f>
        <v>0.48689956331877732</v>
      </c>
      <c r="L117">
        <f>'[1]Forward Ranks'!X117</f>
        <v>0</v>
      </c>
      <c r="M117" s="1">
        <f>'[1]Forward Ranks'!AC117</f>
        <v>0.59388646288209612</v>
      </c>
      <c r="N117" s="1">
        <f>'[1]Forward Ranks'!AD117</f>
        <v>0.15720524017467249</v>
      </c>
      <c r="O117" s="1">
        <f>'[1]Forward Ranks'!AE117</f>
        <v>0.47816593886462883</v>
      </c>
      <c r="P117" s="1">
        <f>'[1]Forward Ranks'!AF117</f>
        <v>0.62008733624454149</v>
      </c>
      <c r="Q117">
        <f>'[1]Forward Ranks'!AH117</f>
        <v>0</v>
      </c>
      <c r="R117" s="1">
        <f>'[1]Forward Ranks'!AM117</f>
        <v>0.22925764192139739</v>
      </c>
      <c r="S117" s="1">
        <f>'[1]Forward Ranks'!AN117</f>
        <v>0.26419213973799127</v>
      </c>
      <c r="T117" s="1">
        <f>'[1]Forward Ranks'!AO117</f>
        <v>0.31004366812227074</v>
      </c>
      <c r="U117" s="1">
        <f>'[1]Forward Ranks'!AP117</f>
        <v>0.17903930131004367</v>
      </c>
      <c r="V117">
        <f>'[1]Forward Ranks'!AR117</f>
        <v>0</v>
      </c>
      <c r="W117" s="1">
        <f>'[1]Forward Ranks'!AW117</f>
        <v>0.75764192139737996</v>
      </c>
      <c r="X117" s="1">
        <f>'[1]Forward Ranks'!AX117</f>
        <v>0.42576419213973798</v>
      </c>
      <c r="Y117" s="1">
        <f>'[1]Forward Ranks'!AY117</f>
        <v>0.73799126637554591</v>
      </c>
      <c r="Z117" s="1">
        <f>'[1]Forward Ranks'!AZ117</f>
        <v>0.86681222707423577</v>
      </c>
      <c r="AA117">
        <f>'[1]Forward Ranks'!BB117</f>
        <v>0</v>
      </c>
      <c r="AB117" s="1">
        <f>'[1]Forward Ranks'!BG117</f>
        <v>6.3318777292576414E-2</v>
      </c>
      <c r="AC117" s="1">
        <f>'[1]Forward Ranks'!BH117</f>
        <v>6.5502183406113537E-2</v>
      </c>
      <c r="AD117" s="1">
        <f>'[1]Forward Ranks'!BI117</f>
        <v>0.15502183406113537</v>
      </c>
      <c r="AE117" s="1">
        <f>'[1]Forward Ranks'!BJ117</f>
        <v>0.20524017467248909</v>
      </c>
      <c r="AF117">
        <f>'[1]Forward Ranks'!BL117</f>
        <v>0</v>
      </c>
      <c r="AG117" s="1">
        <f>'[1]Forward Ranks'!BQ117</f>
        <v>0.73580786026200873</v>
      </c>
      <c r="AH117" s="1">
        <f>'[1]Forward Ranks'!BR117</f>
        <v>0.58296943231441045</v>
      </c>
      <c r="AI117" s="1">
        <f>'[1]Forward Ranks'!BS117</f>
        <v>0.3056768558951965</v>
      </c>
      <c r="AJ117" s="1">
        <f>'[1]Forward Ranks'!BT117</f>
        <v>0.77074235807860259</v>
      </c>
      <c r="AL117" s="2">
        <f>'[1]Forward Ranks'!BX117</f>
        <v>0.63100436681222705</v>
      </c>
      <c r="AN117" t="str">
        <f>'[1]Forward Ranks'!B117</f>
        <v>PIT</v>
      </c>
      <c r="AO117">
        <f>'[1]F on ice'!E117</f>
        <v>46</v>
      </c>
      <c r="AP117" s="2">
        <f>'[1]Impact Score Math'!E117</f>
        <v>0.46893787575150303</v>
      </c>
      <c r="AQ117">
        <f>'[1]Impact Score Math'!G117</f>
        <v>266</v>
      </c>
      <c r="AT117" s="1">
        <f>'[1]Forward Ranks'!CJ117</f>
        <v>0.39519650655021832</v>
      </c>
      <c r="AU117" s="1">
        <f>'[1]Forward Ranks'!CK117</f>
        <v>0.5</v>
      </c>
    </row>
    <row r="118" spans="1:47" x14ac:dyDescent="0.3">
      <c r="A118" t="str">
        <f>'[1]Forward Ranks'!A118</f>
        <v>Dryden Hunt</v>
      </c>
      <c r="B118">
        <f>'[1]Forward Ranks'!D118</f>
        <v>0</v>
      </c>
      <c r="C118" s="1">
        <f>'[1]Forward Ranks'!I118</f>
        <v>0.10043668122270742</v>
      </c>
      <c r="D118" s="1">
        <f>'[1]Forward Ranks'!J118</f>
        <v>3.9301310043668124E-2</v>
      </c>
      <c r="E118" s="1">
        <f>'[1]Forward Ranks'!K118</f>
        <v>1.9650655021834062E-2</v>
      </c>
      <c r="F118" s="1">
        <f>'[1]Forward Ranks'!L118</f>
        <v>2.6200873362445413E-2</v>
      </c>
      <c r="G118">
        <f>'[1]Forward Ranks'!N118</f>
        <v>0</v>
      </c>
      <c r="H118" s="1">
        <f>'[1]Forward Ranks'!S118</f>
        <v>0.4126637554585153</v>
      </c>
      <c r="I118" s="1">
        <f>'[1]Forward Ranks'!T118</f>
        <v>2.1834061135371178E-3</v>
      </c>
      <c r="J118" s="1">
        <f>'[1]Forward Ranks'!U118</f>
        <v>2.1834061135371178E-3</v>
      </c>
      <c r="K118" s="1">
        <f>'[1]Forward Ranks'!V118</f>
        <v>2.1834061135371178E-2</v>
      </c>
      <c r="L118">
        <f>'[1]Forward Ranks'!X118</f>
        <v>0</v>
      </c>
      <c r="M118" s="1">
        <f>'[1]Forward Ranks'!AC118</f>
        <v>0.95414847161572047</v>
      </c>
      <c r="N118" s="1">
        <f>'[1]Forward Ranks'!AD118</f>
        <v>0.81877729257641918</v>
      </c>
      <c r="O118" s="1">
        <f>'[1]Forward Ranks'!AE118</f>
        <v>0.20742358078602621</v>
      </c>
      <c r="P118" s="1">
        <f>'[1]Forward Ranks'!AF118</f>
        <v>0.87772925764192145</v>
      </c>
      <c r="Q118">
        <f>'[1]Forward Ranks'!AH118</f>
        <v>0</v>
      </c>
      <c r="R118" s="1">
        <f>'[1]Forward Ranks'!AM118</f>
        <v>6.3318777292576414E-2</v>
      </c>
      <c r="S118" s="1">
        <f>'[1]Forward Ranks'!AN118</f>
        <v>2.1834061135371178E-2</v>
      </c>
      <c r="T118" s="1">
        <f>'[1]Forward Ranks'!AO118</f>
        <v>3.2751091703056769E-2</v>
      </c>
      <c r="U118" s="1">
        <f>'[1]Forward Ranks'!AP118</f>
        <v>2.4017467248908297E-2</v>
      </c>
      <c r="V118">
        <f>'[1]Forward Ranks'!AR118</f>
        <v>0</v>
      </c>
      <c r="W118" s="1">
        <f>'[1]Forward Ranks'!AW118</f>
        <v>0.95196506550218341</v>
      </c>
      <c r="X118" s="1">
        <f>'[1]Forward Ranks'!AX118</f>
        <v>0.75327510917030571</v>
      </c>
      <c r="Y118" s="1">
        <f>'[1]Forward Ranks'!AY118</f>
        <v>5.0218340611353711E-2</v>
      </c>
      <c r="Z118" s="1">
        <f>'[1]Forward Ranks'!AZ118</f>
        <v>0.68995633187772931</v>
      </c>
      <c r="AA118">
        <f>'[1]Forward Ranks'!BB118</f>
        <v>0</v>
      </c>
      <c r="AB118" s="1">
        <f>'[1]Forward Ranks'!BG118</f>
        <v>6.5502183406113534E-3</v>
      </c>
      <c r="AC118" s="1">
        <f>'[1]Forward Ranks'!BH118</f>
        <v>0.79912663755458513</v>
      </c>
      <c r="AD118" s="1">
        <f>'[1]Forward Ranks'!BI118</f>
        <v>1.7467248908296942E-2</v>
      </c>
      <c r="AE118" s="1">
        <f>'[1]Forward Ranks'!BJ118</f>
        <v>2.1834061135371178E-3</v>
      </c>
      <c r="AF118">
        <f>'[1]Forward Ranks'!BL118</f>
        <v>0</v>
      </c>
      <c r="AG118" s="1">
        <f>'[1]Forward Ranks'!BQ118</f>
        <v>0.4759825327510917</v>
      </c>
      <c r="AH118" s="1">
        <f>'[1]Forward Ranks'!BR118</f>
        <v>0.1943231441048035</v>
      </c>
      <c r="AI118" s="1">
        <f>'[1]Forward Ranks'!BS118</f>
        <v>8.7336244541484712E-3</v>
      </c>
      <c r="AJ118" s="1">
        <f>'[1]Forward Ranks'!BT118</f>
        <v>0.15502183406113537</v>
      </c>
      <c r="AL118" s="2">
        <f>'[1]Forward Ranks'!BX118</f>
        <v>0.23144104803493451</v>
      </c>
      <c r="AN118" t="str">
        <f>'[1]Forward Ranks'!B118</f>
        <v>COL, NYR, TOR</v>
      </c>
      <c r="AO118">
        <f>'[1]F on ice'!E118</f>
        <v>37</v>
      </c>
      <c r="AP118" s="2">
        <f>'[1]Impact Score Math'!E118</f>
        <v>0.19438877755511022</v>
      </c>
      <c r="AQ118">
        <f>'[1]Impact Score Math'!G118</f>
        <v>403</v>
      </c>
      <c r="AT118" s="1">
        <f>'[1]Forward Ranks'!CJ118</f>
        <v>0.10262008733624454</v>
      </c>
      <c r="AU118" s="1">
        <f>'[1]Forward Ranks'!CK118</f>
        <v>0.93013100436681218</v>
      </c>
    </row>
    <row r="119" spans="1:47" x14ac:dyDescent="0.3">
      <c r="A119" t="str">
        <f>'[1]Forward Ranks'!A119</f>
        <v>Dylan Cozens</v>
      </c>
      <c r="B119">
        <f>'[1]Forward Ranks'!D119</f>
        <v>0</v>
      </c>
      <c r="C119" s="1">
        <f>'[1]Forward Ranks'!I119</f>
        <v>0.75545851528384278</v>
      </c>
      <c r="D119" s="1">
        <f>'[1]Forward Ranks'!J119</f>
        <v>0.68558951965065507</v>
      </c>
      <c r="E119" s="1">
        <f>'[1]Forward Ranks'!K119</f>
        <v>0.85371179039301315</v>
      </c>
      <c r="F119" s="1">
        <f>'[1]Forward Ranks'!L119</f>
        <v>0.85152838427947597</v>
      </c>
      <c r="G119">
        <f>'[1]Forward Ranks'!N119</f>
        <v>0</v>
      </c>
      <c r="H119" s="1">
        <f>'[1]Forward Ranks'!S119</f>
        <v>0.95851528384279472</v>
      </c>
      <c r="I119" s="1">
        <f>'[1]Forward Ranks'!T119</f>
        <v>0.68995633187772931</v>
      </c>
      <c r="J119" s="1">
        <f>'[1]Forward Ranks'!U119</f>
        <v>0.8253275109170306</v>
      </c>
      <c r="K119" s="1">
        <f>'[1]Forward Ranks'!V119</f>
        <v>0.93013100436681218</v>
      </c>
      <c r="L119">
        <f>'[1]Forward Ranks'!X119</f>
        <v>0</v>
      </c>
      <c r="M119" s="1">
        <f>'[1]Forward Ranks'!AC119</f>
        <v>8.9519650655021835E-2</v>
      </c>
      <c r="N119" s="1">
        <f>'[1]Forward Ranks'!AD119</f>
        <v>7.4235807860262015E-2</v>
      </c>
      <c r="O119" s="1">
        <f>'[1]Forward Ranks'!AE119</f>
        <v>7.8602620087336247E-2</v>
      </c>
      <c r="P119" s="1">
        <f>'[1]Forward Ranks'!AF119</f>
        <v>0.11353711790393013</v>
      </c>
      <c r="Q119">
        <f>'[1]Forward Ranks'!AH119</f>
        <v>0</v>
      </c>
      <c r="R119" s="1">
        <f>'[1]Forward Ranks'!AM119</f>
        <v>0.70742358078602618</v>
      </c>
      <c r="S119" s="1">
        <f>'[1]Forward Ranks'!AN119</f>
        <v>0.73799126637554591</v>
      </c>
      <c r="T119" s="1">
        <f>'[1]Forward Ranks'!AO119</f>
        <v>0.69213973799126638</v>
      </c>
      <c r="U119" s="1">
        <f>'[1]Forward Ranks'!AP119</f>
        <v>0.82096069868995636</v>
      </c>
      <c r="V119">
        <f>'[1]Forward Ranks'!AR119</f>
        <v>0</v>
      </c>
      <c r="W119" s="1">
        <f>'[1]Forward Ranks'!AW119</f>
        <v>2.8384279475982533E-2</v>
      </c>
      <c r="X119" s="1">
        <f>'[1]Forward Ranks'!AX119</f>
        <v>0.11572052401746726</v>
      </c>
      <c r="Y119" s="1">
        <f>'[1]Forward Ranks'!AY119</f>
        <v>0.18995633187772926</v>
      </c>
      <c r="Z119" s="1">
        <f>'[1]Forward Ranks'!AZ119</f>
        <v>0.14192139737991266</v>
      </c>
      <c r="AA119">
        <f>'[1]Forward Ranks'!BB119</f>
        <v>0</v>
      </c>
      <c r="AB119" s="1">
        <f>'[1]Forward Ranks'!BG119</f>
        <v>0.40829694323144106</v>
      </c>
      <c r="AC119" s="1">
        <f>'[1]Forward Ranks'!BH119</f>
        <v>0.54148471615720528</v>
      </c>
      <c r="AD119" s="1">
        <f>'[1]Forward Ranks'!BI119</f>
        <v>0.80786026200873362</v>
      </c>
      <c r="AE119" s="1">
        <f>'[1]Forward Ranks'!BJ119</f>
        <v>0.54803493449781659</v>
      </c>
      <c r="AF119">
        <f>'[1]Forward Ranks'!BL119</f>
        <v>0</v>
      </c>
      <c r="AG119" s="1">
        <f>'[1]Forward Ranks'!BQ119</f>
        <v>0.41484716157205243</v>
      </c>
      <c r="AH119" s="1">
        <f>'[1]Forward Ranks'!BR119</f>
        <v>0.34061135371179041</v>
      </c>
      <c r="AI119" s="1">
        <f>'[1]Forward Ranks'!BS119</f>
        <v>0.43449781659388648</v>
      </c>
      <c r="AJ119" s="1">
        <f>'[1]Forward Ranks'!BT119</f>
        <v>0.50873362445414849</v>
      </c>
      <c r="AL119" s="2">
        <f>'[1]Forward Ranks'!BX119</f>
        <v>0.56113537117903933</v>
      </c>
      <c r="AN119" t="str">
        <f>'[1]Forward Ranks'!B119</f>
        <v>BUF</v>
      </c>
      <c r="AO119">
        <f>'[1]F on ice'!E119</f>
        <v>81</v>
      </c>
      <c r="AP119" s="2">
        <f>'[1]Impact Score Math'!E119</f>
        <v>0.58116232464929862</v>
      </c>
      <c r="AQ119">
        <f>'[1]Impact Score Math'!G119</f>
        <v>210</v>
      </c>
      <c r="AT119" s="1">
        <f>'[1]Forward Ranks'!CJ119</f>
        <v>0.42794759825327511</v>
      </c>
      <c r="AU119" s="1">
        <f>'[1]Forward Ranks'!CK119</f>
        <v>0.76637554585152834</v>
      </c>
    </row>
    <row r="120" spans="1:47" x14ac:dyDescent="0.3">
      <c r="A120" t="str">
        <f>'[1]Forward Ranks'!A120</f>
        <v>Dylan Gambrell</v>
      </c>
      <c r="B120">
        <f>'[1]Forward Ranks'!D120</f>
        <v>0</v>
      </c>
      <c r="C120" s="1">
        <f>'[1]Forward Ranks'!I120</f>
        <v>7.2052401746724892E-2</v>
      </c>
      <c r="D120" s="1">
        <f>'[1]Forward Ranks'!J120</f>
        <v>9.1703056768558958E-2</v>
      </c>
      <c r="E120" s="1">
        <f>'[1]Forward Ranks'!K120</f>
        <v>8.9519650655021835E-2</v>
      </c>
      <c r="F120" s="1">
        <f>'[1]Forward Ranks'!L120</f>
        <v>5.0218340611353711E-2</v>
      </c>
      <c r="G120">
        <f>'[1]Forward Ranks'!N120</f>
        <v>0</v>
      </c>
      <c r="H120" s="1">
        <f>'[1]Forward Ranks'!S120</f>
        <v>0.20742358078602621</v>
      </c>
      <c r="I120" s="1">
        <f>'[1]Forward Ranks'!T120</f>
        <v>7.4235807860262015E-2</v>
      </c>
      <c r="J120" s="1">
        <f>'[1]Forward Ranks'!U120</f>
        <v>0.19868995633187772</v>
      </c>
      <c r="K120" s="1">
        <f>'[1]Forward Ranks'!V120</f>
        <v>6.768558951965066E-2</v>
      </c>
      <c r="L120">
        <f>'[1]Forward Ranks'!X120</f>
        <v>0</v>
      </c>
      <c r="M120" s="1">
        <f>'[1]Forward Ranks'!AC120</f>
        <v>0.59825327510917026</v>
      </c>
      <c r="N120" s="1">
        <f>'[1]Forward Ranks'!AD120</f>
        <v>0.41484716157205243</v>
      </c>
      <c r="O120" s="1">
        <f>'[1]Forward Ranks'!AE120</f>
        <v>0.72052401746724892</v>
      </c>
      <c r="P120" s="1">
        <f>'[1]Forward Ranks'!AF120</f>
        <v>0.50436681222707425</v>
      </c>
      <c r="Q120">
        <f>'[1]Forward Ranks'!AH120</f>
        <v>0</v>
      </c>
      <c r="R120" s="1">
        <f>'[1]Forward Ranks'!AM120</f>
        <v>6.5502183406113534E-3</v>
      </c>
      <c r="S120" s="1">
        <f>'[1]Forward Ranks'!AN120</f>
        <v>4.5851528384279479E-2</v>
      </c>
      <c r="T120" s="1">
        <f>'[1]Forward Ranks'!AO120</f>
        <v>7.4235807860262015E-2</v>
      </c>
      <c r="U120" s="1">
        <f>'[1]Forward Ranks'!AP120</f>
        <v>1.5283842794759825E-2</v>
      </c>
      <c r="V120">
        <f>'[1]Forward Ranks'!AR120</f>
        <v>0</v>
      </c>
      <c r="W120" s="1">
        <f>'[1]Forward Ranks'!AW120</f>
        <v>0.39956331877729256</v>
      </c>
      <c r="X120" s="1">
        <f>'[1]Forward Ranks'!AX120</f>
        <v>0.31222707423580787</v>
      </c>
      <c r="Y120" s="1">
        <f>'[1]Forward Ranks'!AY120</f>
        <v>0.9366812227074236</v>
      </c>
      <c r="Z120" s="1">
        <f>'[1]Forward Ranks'!AZ120</f>
        <v>0.46288209606986902</v>
      </c>
      <c r="AA120">
        <f>'[1]Forward Ranks'!BB120</f>
        <v>0</v>
      </c>
      <c r="AB120" s="1">
        <f>'[1]Forward Ranks'!BG120</f>
        <v>5.458515283842795E-2</v>
      </c>
      <c r="AC120" s="1">
        <f>'[1]Forward Ranks'!BH120</f>
        <v>0.10043668122270742</v>
      </c>
      <c r="AD120" s="1">
        <f>'[1]Forward Ranks'!BI120</f>
        <v>0.17903930131004367</v>
      </c>
      <c r="AE120" s="1">
        <f>'[1]Forward Ranks'!BJ120</f>
        <v>0.388646288209607</v>
      </c>
      <c r="AF120">
        <f>'[1]Forward Ranks'!BL120</f>
        <v>0</v>
      </c>
      <c r="AG120" s="1">
        <f>'[1]Forward Ranks'!BQ120</f>
        <v>0.17903930131004367</v>
      </c>
      <c r="AH120" s="1">
        <f>'[1]Forward Ranks'!BR120</f>
        <v>0.15502183406113537</v>
      </c>
      <c r="AI120" s="1">
        <f>'[1]Forward Ranks'!BS120</f>
        <v>0.21615720524017468</v>
      </c>
      <c r="AJ120" s="1">
        <f>'[1]Forward Ranks'!BT120</f>
        <v>0.10262008733624454</v>
      </c>
      <c r="AL120" s="2">
        <f>'[1]Forward Ranks'!BX120</f>
        <v>4.8034934497816595E-2</v>
      </c>
      <c r="AN120" t="str">
        <f>'[1]Forward Ranks'!B120</f>
        <v>OTT</v>
      </c>
      <c r="AO120">
        <f>'[1]F on ice'!E120</f>
        <v>60</v>
      </c>
      <c r="AP120" s="2">
        <f>'[1]Impact Score Math'!E120</f>
        <v>0.11823647294589178</v>
      </c>
      <c r="AQ120">
        <f>'[1]Impact Score Math'!G120</f>
        <v>441</v>
      </c>
      <c r="AT120" s="1">
        <f>'[1]Forward Ranks'!CJ120</f>
        <v>0.25109170305676853</v>
      </c>
      <c r="AU120" s="1">
        <f>'[1]Forward Ranks'!CK120</f>
        <v>1.5283842794759825E-2</v>
      </c>
    </row>
    <row r="121" spans="1:47" x14ac:dyDescent="0.3">
      <c r="A121" t="str">
        <f>'[1]Forward Ranks'!A121</f>
        <v>Dylan Guenther</v>
      </c>
      <c r="B121">
        <f>'[1]Forward Ranks'!D121</f>
        <v>0</v>
      </c>
      <c r="C121" s="1">
        <f>'[1]Forward Ranks'!I121</f>
        <v>8.9519650655021835E-2</v>
      </c>
      <c r="D121" s="1">
        <f>'[1]Forward Ranks'!J121</f>
        <v>4.148471615720524E-2</v>
      </c>
      <c r="E121" s="1">
        <f>'[1]Forward Ranks'!K121</f>
        <v>0.10262008733624454</v>
      </c>
      <c r="F121" s="1">
        <f>'[1]Forward Ranks'!L121</f>
        <v>3.0567685589519649E-2</v>
      </c>
      <c r="G121">
        <f>'[1]Forward Ranks'!N121</f>
        <v>0</v>
      </c>
      <c r="H121" s="1">
        <f>'[1]Forward Ranks'!S121</f>
        <v>8.9519650655021835E-2</v>
      </c>
      <c r="I121" s="1">
        <f>'[1]Forward Ranks'!T121</f>
        <v>0.71179039301310043</v>
      </c>
      <c r="J121" s="1">
        <f>'[1]Forward Ranks'!U121</f>
        <v>0.19868995633187772</v>
      </c>
      <c r="K121" s="1">
        <f>'[1]Forward Ranks'!V121</f>
        <v>0.43013100436681223</v>
      </c>
      <c r="L121">
        <f>'[1]Forward Ranks'!X121</f>
        <v>0</v>
      </c>
      <c r="M121" s="1">
        <f>'[1]Forward Ranks'!AC121</f>
        <v>0.2205240174672489</v>
      </c>
      <c r="N121" s="1">
        <f>'[1]Forward Ranks'!AD121</f>
        <v>0.18995633187772926</v>
      </c>
      <c r="O121" s="1">
        <f>'[1]Forward Ranks'!AE121</f>
        <v>0.40611353711790393</v>
      </c>
      <c r="P121" s="1">
        <f>'[1]Forward Ranks'!AF121</f>
        <v>0.22925764192139739</v>
      </c>
      <c r="Q121">
        <f>'[1]Forward Ranks'!AH121</f>
        <v>0</v>
      </c>
      <c r="R121" s="1">
        <f>'[1]Forward Ranks'!AM121</f>
        <v>0.4606986899563319</v>
      </c>
      <c r="S121" s="1">
        <f>'[1]Forward Ranks'!AN121</f>
        <v>0.26637554585152839</v>
      </c>
      <c r="T121" s="1">
        <f>'[1]Forward Ranks'!AO121</f>
        <v>0.38646288209606988</v>
      </c>
      <c r="U121" s="1">
        <f>'[1]Forward Ranks'!AP121</f>
        <v>0.25327510917030566</v>
      </c>
      <c r="V121">
        <f>'[1]Forward Ranks'!AR121</f>
        <v>0</v>
      </c>
      <c r="W121" s="1">
        <f>'[1]Forward Ranks'!AW121</f>
        <v>0.44104803493449779</v>
      </c>
      <c r="X121" s="1">
        <f>'[1]Forward Ranks'!AX121</f>
        <v>0.49781659388646288</v>
      </c>
      <c r="Y121" s="1">
        <f>'[1]Forward Ranks'!AY121</f>
        <v>0.59825327510917026</v>
      </c>
      <c r="Z121" s="1">
        <f>'[1]Forward Ranks'!AZ121</f>
        <v>0.46288209606986902</v>
      </c>
      <c r="AA121">
        <f>'[1]Forward Ranks'!BB121</f>
        <v>0</v>
      </c>
      <c r="AB121" s="1">
        <f>'[1]Forward Ranks'!BG121</f>
        <v>0.27729257641921395</v>
      </c>
      <c r="AC121" s="1">
        <f>'[1]Forward Ranks'!BH121</f>
        <v>0.37772925764192139</v>
      </c>
      <c r="AD121" s="1">
        <f>'[1]Forward Ranks'!BI121</f>
        <v>0.16375545851528384</v>
      </c>
      <c r="AE121" s="1">
        <f>'[1]Forward Ranks'!BJ121</f>
        <v>0.27510917030567683</v>
      </c>
      <c r="AF121">
        <f>'[1]Forward Ranks'!BL121</f>
        <v>0</v>
      </c>
      <c r="AG121" s="1">
        <f>'[1]Forward Ranks'!BQ121</f>
        <v>9.606986899563319E-2</v>
      </c>
      <c r="AH121" s="1">
        <f>'[1]Forward Ranks'!BR121</f>
        <v>5.0218340611353711E-2</v>
      </c>
      <c r="AI121" s="1">
        <f>'[1]Forward Ranks'!BS121</f>
        <v>0.11135371179039301</v>
      </c>
      <c r="AJ121" s="1">
        <f>'[1]Forward Ranks'!BT121</f>
        <v>3.7117903930131008E-2</v>
      </c>
      <c r="AL121" s="2">
        <f>'[1]Forward Ranks'!BX121</f>
        <v>0.1091703056768559</v>
      </c>
      <c r="AN121" t="str">
        <f>'[1]Forward Ranks'!B121</f>
        <v>ARI</v>
      </c>
      <c r="AO121">
        <f>'[1]F on ice'!E121</f>
        <v>33</v>
      </c>
      <c r="AP121" s="2">
        <f>'[1]Impact Score Math'!E121</f>
        <v>0.19038076152304609</v>
      </c>
      <c r="AQ121">
        <f>'[1]Impact Score Math'!G121</f>
        <v>405</v>
      </c>
      <c r="AT121" s="1">
        <f>'[1]Forward Ranks'!CJ121</f>
        <v>0.41484716157205243</v>
      </c>
      <c r="AU121" s="1">
        <f>'[1]Forward Ranks'!CK121</f>
        <v>6.5502183406113534E-3</v>
      </c>
    </row>
    <row r="122" spans="1:47" x14ac:dyDescent="0.3">
      <c r="A122" t="str">
        <f>'[1]Forward Ranks'!A122</f>
        <v>Dylan Holloway</v>
      </c>
      <c r="B122">
        <f>'[1]Forward Ranks'!D122</f>
        <v>0</v>
      </c>
      <c r="C122" s="1">
        <f>'[1]Forward Ranks'!I122</f>
        <v>0.51528384279475981</v>
      </c>
      <c r="D122" s="1">
        <f>'[1]Forward Ranks'!J122</f>
        <v>0.55458515283842791</v>
      </c>
      <c r="E122" s="1">
        <f>'[1]Forward Ranks'!K122</f>
        <v>0.36244541484716158</v>
      </c>
      <c r="F122" s="1">
        <f>'[1]Forward Ranks'!L122</f>
        <v>0.46943231441048033</v>
      </c>
      <c r="G122">
        <f>'[1]Forward Ranks'!N122</f>
        <v>0</v>
      </c>
      <c r="H122" s="1">
        <f>'[1]Forward Ranks'!S122</f>
        <v>0.16593886462882096</v>
      </c>
      <c r="I122" s="1">
        <f>'[1]Forward Ranks'!T122</f>
        <v>0.37336244541484714</v>
      </c>
      <c r="J122" s="1">
        <f>'[1]Forward Ranks'!U122</f>
        <v>0.15065502183406113</v>
      </c>
      <c r="K122" s="1">
        <f>'[1]Forward Ranks'!V122</f>
        <v>0.18558951965065501</v>
      </c>
      <c r="L122">
        <f>'[1]Forward Ranks'!X122</f>
        <v>0</v>
      </c>
      <c r="M122" s="1">
        <f>'[1]Forward Ranks'!AC122</f>
        <v>0.56768558951965065</v>
      </c>
      <c r="N122" s="1">
        <f>'[1]Forward Ranks'!AD122</f>
        <v>0.95851528384279472</v>
      </c>
      <c r="O122" s="1">
        <f>'[1]Forward Ranks'!AE122</f>
        <v>0.65938864628820959</v>
      </c>
      <c r="P122" s="1">
        <f>'[1]Forward Ranks'!AF122</f>
        <v>0.85371179039301315</v>
      </c>
      <c r="Q122">
        <f>'[1]Forward Ranks'!AH122</f>
        <v>0</v>
      </c>
      <c r="R122" s="1">
        <f>'[1]Forward Ranks'!AM122</f>
        <v>0.40174672489082969</v>
      </c>
      <c r="S122" s="1">
        <f>'[1]Forward Ranks'!AN122</f>
        <v>0.31004366812227074</v>
      </c>
      <c r="T122" s="1">
        <f>'[1]Forward Ranks'!AO122</f>
        <v>0.27074235807860264</v>
      </c>
      <c r="U122" s="1">
        <f>'[1]Forward Ranks'!AP122</f>
        <v>0.22925764192139739</v>
      </c>
      <c r="V122">
        <f>'[1]Forward Ranks'!AR122</f>
        <v>0</v>
      </c>
      <c r="W122" s="1">
        <f>'[1]Forward Ranks'!AW122</f>
        <v>0.53493449781659386</v>
      </c>
      <c r="X122" s="1">
        <f>'[1]Forward Ranks'!AX122</f>
        <v>0.91703056768558955</v>
      </c>
      <c r="Y122" s="1">
        <f>'[1]Forward Ranks'!AY122</f>
        <v>0.77729257641921401</v>
      </c>
      <c r="Z122" s="1">
        <f>'[1]Forward Ranks'!AZ122</f>
        <v>0.88427947598253276</v>
      </c>
      <c r="AA122">
        <f>'[1]Forward Ranks'!BB122</f>
        <v>0</v>
      </c>
      <c r="AB122" s="1">
        <f>'[1]Forward Ranks'!BG122</f>
        <v>2.8384279475982533E-2</v>
      </c>
      <c r="AC122" s="1">
        <f>'[1]Forward Ranks'!BH122</f>
        <v>0.84061135371179041</v>
      </c>
      <c r="AD122" s="1">
        <f>'[1]Forward Ranks'!BI122</f>
        <v>0.30349344978165937</v>
      </c>
      <c r="AE122" s="1">
        <f>'[1]Forward Ranks'!BJ122</f>
        <v>0.50436681222707425</v>
      </c>
      <c r="AF122">
        <f>'[1]Forward Ranks'!BL122</f>
        <v>0</v>
      </c>
      <c r="AG122" s="1">
        <f>'[1]Forward Ranks'!BQ122</f>
        <v>0.51746724890829698</v>
      </c>
      <c r="AH122" s="1">
        <f>'[1]Forward Ranks'!BR122</f>
        <v>0.84497816593886466</v>
      </c>
      <c r="AI122" s="1">
        <f>'[1]Forward Ranks'!BS122</f>
        <v>0.48471615720524019</v>
      </c>
      <c r="AJ122" s="1">
        <f>'[1]Forward Ranks'!BT122</f>
        <v>0.72489082969432317</v>
      </c>
      <c r="AL122" s="2">
        <f>'[1]Forward Ranks'!BX122</f>
        <v>0.48034934497816595</v>
      </c>
      <c r="AN122" t="str">
        <f>'[1]Forward Ranks'!B122</f>
        <v>EDM</v>
      </c>
      <c r="AO122">
        <f>'[1]F on ice'!E122</f>
        <v>51</v>
      </c>
      <c r="AP122" s="2">
        <f>'[1]Impact Score Math'!E122</f>
        <v>0.34068136272545091</v>
      </c>
      <c r="AQ122">
        <f>'[1]Impact Score Math'!G122</f>
        <v>330</v>
      </c>
      <c r="AT122" s="1">
        <f>'[1]Forward Ranks'!CJ122</f>
        <v>0.21179039301310043</v>
      </c>
      <c r="AU122" s="1">
        <f>'[1]Forward Ranks'!CK122</f>
        <v>0.93886462882096067</v>
      </c>
    </row>
    <row r="123" spans="1:47" x14ac:dyDescent="0.3">
      <c r="A123" t="str">
        <f>'[1]Forward Ranks'!A123</f>
        <v>Dylan Larkin</v>
      </c>
      <c r="B123">
        <f>'[1]Forward Ranks'!D123</f>
        <v>0</v>
      </c>
      <c r="C123" s="1">
        <f>'[1]Forward Ranks'!I123</f>
        <v>0.63100436681222705</v>
      </c>
      <c r="D123" s="1">
        <f>'[1]Forward Ranks'!J123</f>
        <v>0.44759825327510916</v>
      </c>
      <c r="E123" s="1">
        <f>'[1]Forward Ranks'!K123</f>
        <v>0.5873362445414847</v>
      </c>
      <c r="F123" s="1">
        <f>'[1]Forward Ranks'!L123</f>
        <v>0.53493449781659386</v>
      </c>
      <c r="G123">
        <f>'[1]Forward Ranks'!N123</f>
        <v>0</v>
      </c>
      <c r="H123" s="1">
        <f>'[1]Forward Ranks'!S123</f>
        <v>0.30786026200873362</v>
      </c>
      <c r="I123" s="1">
        <f>'[1]Forward Ranks'!T123</f>
        <v>0.83624454148471616</v>
      </c>
      <c r="J123" s="1">
        <f>'[1]Forward Ranks'!U123</f>
        <v>0.89519650655021832</v>
      </c>
      <c r="K123" s="1">
        <f>'[1]Forward Ranks'!V123</f>
        <v>0.64410480349344978</v>
      </c>
      <c r="L123">
        <f>'[1]Forward Ranks'!X123</f>
        <v>0</v>
      </c>
      <c r="M123" s="1">
        <f>'[1]Forward Ranks'!AC123</f>
        <v>0.39737991266375544</v>
      </c>
      <c r="N123" s="1">
        <f>'[1]Forward Ranks'!AD123</f>
        <v>0.26200873362445415</v>
      </c>
      <c r="O123" s="1">
        <f>'[1]Forward Ranks'!AE123</f>
        <v>7.2052401746724892E-2</v>
      </c>
      <c r="P123" s="1">
        <f>'[1]Forward Ranks'!AF123</f>
        <v>0.34279475982532753</v>
      </c>
      <c r="Q123">
        <f>'[1]Forward Ranks'!AH123</f>
        <v>0</v>
      </c>
      <c r="R123" s="1">
        <f>'[1]Forward Ranks'!AM123</f>
        <v>0.95851528384279472</v>
      </c>
      <c r="S123" s="1">
        <f>'[1]Forward Ranks'!AN123</f>
        <v>0.86462882096069871</v>
      </c>
      <c r="T123" s="1">
        <f>'[1]Forward Ranks'!AO123</f>
        <v>0.77510917030567683</v>
      </c>
      <c r="U123" s="1">
        <f>'[1]Forward Ranks'!AP123</f>
        <v>0.9126637554585153</v>
      </c>
      <c r="V123">
        <f>'[1]Forward Ranks'!AR123</f>
        <v>0</v>
      </c>
      <c r="W123" s="1">
        <f>'[1]Forward Ranks'!AW123</f>
        <v>0.38646288209606988</v>
      </c>
      <c r="X123" s="1">
        <f>'[1]Forward Ranks'!AX123</f>
        <v>0.29475982532751094</v>
      </c>
      <c r="Y123" s="1">
        <f>'[1]Forward Ranks'!AY123</f>
        <v>5.0218340611353711E-2</v>
      </c>
      <c r="Z123" s="1">
        <f>'[1]Forward Ranks'!AZ123</f>
        <v>0.24454148471615719</v>
      </c>
      <c r="AA123">
        <f>'[1]Forward Ranks'!BB123</f>
        <v>0</v>
      </c>
      <c r="AB123" s="1">
        <f>'[1]Forward Ranks'!BG123</f>
        <v>0.65283842794759828</v>
      </c>
      <c r="AC123" s="1">
        <f>'[1]Forward Ranks'!BH123</f>
        <v>0.53056768558951961</v>
      </c>
      <c r="AD123" s="1">
        <f>'[1]Forward Ranks'!BI123</f>
        <v>0.48253275109170307</v>
      </c>
      <c r="AE123" s="1">
        <f>'[1]Forward Ranks'!BJ123</f>
        <v>0.14628820960698691</v>
      </c>
      <c r="AF123">
        <f>'[1]Forward Ranks'!BL123</f>
        <v>0</v>
      </c>
      <c r="AG123" s="1">
        <f>'[1]Forward Ranks'!BQ123</f>
        <v>0.5393013100436681</v>
      </c>
      <c r="AH123" s="1">
        <f>'[1]Forward Ranks'!BR123</f>
        <v>0.34279475982532753</v>
      </c>
      <c r="AI123" s="1">
        <f>'[1]Forward Ranks'!BS123</f>
        <v>0.25327510917030566</v>
      </c>
      <c r="AJ123" s="1">
        <f>'[1]Forward Ranks'!BT123</f>
        <v>0.42576419213973798</v>
      </c>
      <c r="AL123" s="2">
        <f>'[1]Forward Ranks'!BX123</f>
        <v>0.67903930131004364</v>
      </c>
      <c r="AN123" t="str">
        <f>'[1]Forward Ranks'!B123</f>
        <v>DET</v>
      </c>
      <c r="AO123">
        <f>'[1]F on ice'!E123</f>
        <v>80</v>
      </c>
      <c r="AP123" s="2">
        <f>'[1]Impact Score Math'!E123</f>
        <v>0.73146292585170336</v>
      </c>
      <c r="AQ123">
        <f>'[1]Impact Score Math'!G123</f>
        <v>135</v>
      </c>
      <c r="AT123" s="1">
        <f>'[1]Forward Ranks'!CJ123</f>
        <v>0.43886462882096072</v>
      </c>
      <c r="AU123" s="1">
        <f>'[1]Forward Ranks'!CK123</f>
        <v>0.50873362445414849</v>
      </c>
    </row>
    <row r="124" spans="1:47" x14ac:dyDescent="0.3">
      <c r="A124" t="str">
        <f>'[1]Forward Ranks'!A124</f>
        <v>Dylan Strome</v>
      </c>
      <c r="B124">
        <f>'[1]Forward Ranks'!D124</f>
        <v>0</v>
      </c>
      <c r="C124" s="1">
        <f>'[1]Forward Ranks'!I124</f>
        <v>0.80567685589519655</v>
      </c>
      <c r="D124" s="1">
        <f>'[1]Forward Ranks'!J124</f>
        <v>0.74672489082969429</v>
      </c>
      <c r="E124" s="1">
        <f>'[1]Forward Ranks'!K124</f>
        <v>0.85807860262008728</v>
      </c>
      <c r="F124" s="1">
        <f>'[1]Forward Ranks'!L124</f>
        <v>0.86026200873362446</v>
      </c>
      <c r="G124">
        <f>'[1]Forward Ranks'!N124</f>
        <v>0</v>
      </c>
      <c r="H124" s="1">
        <f>'[1]Forward Ranks'!S124</f>
        <v>0.80786026200873362</v>
      </c>
      <c r="I124" s="1">
        <f>'[1]Forward Ranks'!T124</f>
        <v>0.78602620087336239</v>
      </c>
      <c r="J124" s="1">
        <f>'[1]Forward Ranks'!U124</f>
        <v>0.61790393013100442</v>
      </c>
      <c r="K124" s="1">
        <f>'[1]Forward Ranks'!V124</f>
        <v>0.86244541484716153</v>
      </c>
      <c r="L124">
        <f>'[1]Forward Ranks'!X124</f>
        <v>0</v>
      </c>
      <c r="M124" s="1">
        <f>'[1]Forward Ranks'!AC124</f>
        <v>0.16375545851528384</v>
      </c>
      <c r="N124" s="1">
        <f>'[1]Forward Ranks'!AD124</f>
        <v>0.1703056768558952</v>
      </c>
      <c r="O124" s="1">
        <f>'[1]Forward Ranks'!AE124</f>
        <v>0.31004366812227074</v>
      </c>
      <c r="P124" s="1">
        <f>'[1]Forward Ranks'!AF124</f>
        <v>0.27510917030567683</v>
      </c>
      <c r="Q124">
        <f>'[1]Forward Ranks'!AH124</f>
        <v>0</v>
      </c>
      <c r="R124" s="1">
        <f>'[1]Forward Ranks'!AM124</f>
        <v>0.85807860262008728</v>
      </c>
      <c r="S124" s="1">
        <f>'[1]Forward Ranks'!AN124</f>
        <v>0.86244541484716153</v>
      </c>
      <c r="T124" s="1">
        <f>'[1]Forward Ranks'!AO124</f>
        <v>0.86462882096069871</v>
      </c>
      <c r="U124" s="1">
        <f>'[1]Forward Ranks'!AP124</f>
        <v>0.92139737991266379</v>
      </c>
      <c r="V124">
        <f>'[1]Forward Ranks'!AR124</f>
        <v>0</v>
      </c>
      <c r="W124" s="1">
        <f>'[1]Forward Ranks'!AW124</f>
        <v>0.15065502183406113</v>
      </c>
      <c r="X124" s="1">
        <f>'[1]Forward Ranks'!AX124</f>
        <v>0.1091703056768559</v>
      </c>
      <c r="Y124" s="1">
        <f>'[1]Forward Ranks'!AY124</f>
        <v>0.39737991266375544</v>
      </c>
      <c r="Z124" s="1">
        <f>'[1]Forward Ranks'!AZ124</f>
        <v>0.30786026200873362</v>
      </c>
      <c r="AA124">
        <f>'[1]Forward Ranks'!BB124</f>
        <v>0</v>
      </c>
      <c r="AB124" s="1">
        <f>'[1]Forward Ranks'!BG124</f>
        <v>0.6266375545851528</v>
      </c>
      <c r="AC124" s="1">
        <f>'[1]Forward Ranks'!BH124</f>
        <v>0.96943231441048039</v>
      </c>
      <c r="AD124" s="1">
        <f>'[1]Forward Ranks'!BI124</f>
        <v>0.81004366812227069</v>
      </c>
      <c r="AE124" s="1">
        <f>'[1]Forward Ranks'!BJ124</f>
        <v>0.68340611353711789</v>
      </c>
      <c r="AF124">
        <f>'[1]Forward Ranks'!BL124</f>
        <v>0</v>
      </c>
      <c r="AG124" s="1">
        <f>'[1]Forward Ranks'!BQ124</f>
        <v>0.51528384279475981</v>
      </c>
      <c r="AH124" s="1">
        <f>'[1]Forward Ranks'!BR124</f>
        <v>0.48689956331877732</v>
      </c>
      <c r="AI124" s="1">
        <f>'[1]Forward Ranks'!BS124</f>
        <v>0.64410480349344978</v>
      </c>
      <c r="AJ124" s="1">
        <f>'[1]Forward Ranks'!BT124</f>
        <v>0.70524017467248912</v>
      </c>
      <c r="AL124" s="2">
        <f>'[1]Forward Ranks'!BX124</f>
        <v>0.76855895196506552</v>
      </c>
      <c r="AN124" t="str">
        <f>'[1]Forward Ranks'!B124</f>
        <v>WSH</v>
      </c>
      <c r="AO124">
        <f>'[1]F on ice'!E124</f>
        <v>81</v>
      </c>
      <c r="AP124" s="2">
        <f>'[1]Impact Score Math'!E124</f>
        <v>0.77555110220440882</v>
      </c>
      <c r="AQ124">
        <f>'[1]Impact Score Math'!G124</f>
        <v>113</v>
      </c>
      <c r="AT124" s="1">
        <f>'[1]Forward Ranks'!CJ124</f>
        <v>0.63100436681222705</v>
      </c>
      <c r="AU124" s="1">
        <f>'[1]Forward Ranks'!CK124</f>
        <v>5.458515283842795E-2</v>
      </c>
    </row>
    <row r="125" spans="1:47" x14ac:dyDescent="0.3">
      <c r="A125" t="str">
        <f>'[1]Forward Ranks'!A125</f>
        <v>Eeli Tolvanen</v>
      </c>
      <c r="B125">
        <f>'[1]Forward Ranks'!D125</f>
        <v>0</v>
      </c>
      <c r="C125" s="1">
        <f>'[1]Forward Ranks'!I125</f>
        <v>0.72052401746724892</v>
      </c>
      <c r="D125" s="1">
        <f>'[1]Forward Ranks'!J125</f>
        <v>0.1703056768558952</v>
      </c>
      <c r="E125" s="1">
        <f>'[1]Forward Ranks'!K125</f>
        <v>0.90393013100436681</v>
      </c>
      <c r="F125" s="1">
        <f>'[1]Forward Ranks'!L125</f>
        <v>0.31659388646288211</v>
      </c>
      <c r="G125">
        <f>'[1]Forward Ranks'!N125</f>
        <v>0</v>
      </c>
      <c r="H125" s="1">
        <f>'[1]Forward Ranks'!S125</f>
        <v>0.89519650655021832</v>
      </c>
      <c r="I125" s="1">
        <f>'[1]Forward Ranks'!T125</f>
        <v>0.22707423580786026</v>
      </c>
      <c r="J125" s="1">
        <f>'[1]Forward Ranks'!U125</f>
        <v>0.32751091703056767</v>
      </c>
      <c r="K125" s="1">
        <f>'[1]Forward Ranks'!V125</f>
        <v>0.62882096069868998</v>
      </c>
      <c r="L125">
        <f>'[1]Forward Ranks'!X125</f>
        <v>0</v>
      </c>
      <c r="M125" s="1">
        <f>'[1]Forward Ranks'!AC125</f>
        <v>0.83406113537117899</v>
      </c>
      <c r="N125" s="1">
        <f>'[1]Forward Ranks'!AD125</f>
        <v>0.76637554585152834</v>
      </c>
      <c r="O125" s="1">
        <f>'[1]Forward Ranks'!AE125</f>
        <v>0.57860262008733621</v>
      </c>
      <c r="P125" s="1">
        <f>'[1]Forward Ranks'!AF125</f>
        <v>0.82751091703056767</v>
      </c>
      <c r="Q125">
        <f>'[1]Forward Ranks'!AH125</f>
        <v>0</v>
      </c>
      <c r="R125" s="1">
        <f>'[1]Forward Ranks'!AM125</f>
        <v>0.67685589519650657</v>
      </c>
      <c r="S125" s="1">
        <f>'[1]Forward Ranks'!AN125</f>
        <v>0.37336244541484714</v>
      </c>
      <c r="T125" s="1">
        <f>'[1]Forward Ranks'!AO125</f>
        <v>0.75327510917030571</v>
      </c>
      <c r="U125" s="1">
        <f>'[1]Forward Ranks'!AP125</f>
        <v>0.37117903930131002</v>
      </c>
      <c r="V125">
        <f>'[1]Forward Ranks'!AR125</f>
        <v>0</v>
      </c>
      <c r="W125" s="1">
        <f>'[1]Forward Ranks'!AW125</f>
        <v>0.50218340611353707</v>
      </c>
      <c r="X125" s="1">
        <f>'[1]Forward Ranks'!AX125</f>
        <v>0.51310043668122274</v>
      </c>
      <c r="Y125" s="1">
        <f>'[1]Forward Ranks'!AY125</f>
        <v>0.58296943231441045</v>
      </c>
      <c r="Z125" s="1">
        <f>'[1]Forward Ranks'!AZ125</f>
        <v>0.63100436681222705</v>
      </c>
      <c r="AA125">
        <f>'[1]Forward Ranks'!BB125</f>
        <v>0</v>
      </c>
      <c r="AB125" s="1">
        <f>'[1]Forward Ranks'!BG125</f>
        <v>0.42358078602620086</v>
      </c>
      <c r="AC125" s="1">
        <f>'[1]Forward Ranks'!BH125</f>
        <v>0.69213973799126638</v>
      </c>
      <c r="AD125" s="1">
        <f>'[1]Forward Ranks'!BI125</f>
        <v>0.94104803493449785</v>
      </c>
      <c r="AE125" s="1">
        <f>'[1]Forward Ranks'!BJ125</f>
        <v>0.74672489082969429</v>
      </c>
      <c r="AF125">
        <f>'[1]Forward Ranks'!BL125</f>
        <v>0</v>
      </c>
      <c r="AG125" s="1">
        <f>'[1]Forward Ranks'!BQ125</f>
        <v>0.82314410480349343</v>
      </c>
      <c r="AH125" s="1">
        <f>'[1]Forward Ranks'!BR125</f>
        <v>0.36244541484716158</v>
      </c>
      <c r="AI125" s="1">
        <f>'[1]Forward Ranks'!BS125</f>
        <v>0.86681222707423577</v>
      </c>
      <c r="AJ125" s="1">
        <f>'[1]Forward Ranks'!BT125</f>
        <v>0.56986899563318782</v>
      </c>
      <c r="AL125" s="2">
        <f>'[1]Forward Ranks'!BX125</f>
        <v>0.72052401746724892</v>
      </c>
      <c r="AN125" t="str">
        <f>'[1]Forward Ranks'!B125</f>
        <v>NSH, SEA</v>
      </c>
      <c r="AO125">
        <f>'[1]F on ice'!E125</f>
        <v>61</v>
      </c>
      <c r="AP125" s="2">
        <f>'[1]Impact Score Math'!E125</f>
        <v>0.69138276553106215</v>
      </c>
      <c r="AQ125">
        <f>'[1]Impact Score Math'!G125</f>
        <v>155</v>
      </c>
      <c r="AT125" s="1">
        <f>'[1]Forward Ranks'!CJ125</f>
        <v>0.63100436681222705</v>
      </c>
      <c r="AU125" s="1">
        <f>'[1]Forward Ranks'!CK125</f>
        <v>0.10043668122270742</v>
      </c>
    </row>
    <row r="126" spans="1:47" x14ac:dyDescent="0.3">
      <c r="A126" t="str">
        <f>'[1]Forward Ranks'!A126</f>
        <v>Eetu Luostarinen</v>
      </c>
      <c r="B126">
        <f>'[1]Forward Ranks'!D126</f>
        <v>0</v>
      </c>
      <c r="C126" s="1">
        <f>'[1]Forward Ranks'!I126</f>
        <v>0.86462882096069871</v>
      </c>
      <c r="D126" s="1">
        <f>'[1]Forward Ranks'!J126</f>
        <v>0.90829694323144106</v>
      </c>
      <c r="E126" s="1">
        <f>'[1]Forward Ranks'!K126</f>
        <v>0.87772925764192145</v>
      </c>
      <c r="F126" s="1">
        <f>'[1]Forward Ranks'!L126</f>
        <v>0.86899563318777295</v>
      </c>
      <c r="G126">
        <f>'[1]Forward Ranks'!N126</f>
        <v>0</v>
      </c>
      <c r="H126" s="1">
        <f>'[1]Forward Ranks'!S126</f>
        <v>0.75764192139737996</v>
      </c>
      <c r="I126" s="1">
        <f>'[1]Forward Ranks'!T126</f>
        <v>0.68122270742358082</v>
      </c>
      <c r="J126" s="1">
        <f>'[1]Forward Ranks'!U126</f>
        <v>0.32751091703056767</v>
      </c>
      <c r="K126" s="1">
        <f>'[1]Forward Ranks'!V126</f>
        <v>0.75764192139737996</v>
      </c>
      <c r="L126">
        <f>'[1]Forward Ranks'!X126</f>
        <v>0</v>
      </c>
      <c r="M126" s="1">
        <f>'[1]Forward Ranks'!AC126</f>
        <v>0.63318777292576423</v>
      </c>
      <c r="N126" s="1">
        <f>'[1]Forward Ranks'!AD126</f>
        <v>0.50655021834061131</v>
      </c>
      <c r="O126" s="1">
        <f>'[1]Forward Ranks'!AE126</f>
        <v>0.79039301310043664</v>
      </c>
      <c r="P126" s="1">
        <f>'[1]Forward Ranks'!AF126</f>
        <v>0.65502183406113534</v>
      </c>
      <c r="Q126">
        <f>'[1]Forward Ranks'!AH126</f>
        <v>0</v>
      </c>
      <c r="R126" s="1">
        <f>'[1]Forward Ranks'!AM126</f>
        <v>0.42794759825327511</v>
      </c>
      <c r="S126" s="1">
        <f>'[1]Forward Ranks'!AN126</f>
        <v>0.63973799126637554</v>
      </c>
      <c r="T126" s="1">
        <f>'[1]Forward Ranks'!AO126</f>
        <v>0.72270742358078599</v>
      </c>
      <c r="U126" s="1">
        <f>'[1]Forward Ranks'!AP126</f>
        <v>0.54148471615720528</v>
      </c>
      <c r="V126">
        <f>'[1]Forward Ranks'!AR126</f>
        <v>0</v>
      </c>
      <c r="W126" s="1">
        <f>'[1]Forward Ranks'!AW126</f>
        <v>0.81441048034934493</v>
      </c>
      <c r="X126" s="1">
        <f>'[1]Forward Ranks'!AX126</f>
        <v>0.79694323144104806</v>
      </c>
      <c r="Y126" s="1">
        <f>'[1]Forward Ranks'!AY126</f>
        <v>0.83624454148471616</v>
      </c>
      <c r="Z126" s="1">
        <f>'[1]Forward Ranks'!AZ126</f>
        <v>0.81441048034934493</v>
      </c>
      <c r="AA126">
        <f>'[1]Forward Ranks'!BB126</f>
        <v>0</v>
      </c>
      <c r="AB126" s="1">
        <f>'[1]Forward Ranks'!BG126</f>
        <v>0.53493449781659386</v>
      </c>
      <c r="AC126" s="1">
        <f>'[1]Forward Ranks'!BH126</f>
        <v>0.69868995633187769</v>
      </c>
      <c r="AD126" s="1">
        <f>'[1]Forward Ranks'!BI126</f>
        <v>0.78820960698689957</v>
      </c>
      <c r="AE126" s="1">
        <f>'[1]Forward Ranks'!BJ126</f>
        <v>0.85589519650655022</v>
      </c>
      <c r="AF126">
        <f>'[1]Forward Ranks'!BL126</f>
        <v>0</v>
      </c>
      <c r="AG126" s="1">
        <f>'[1]Forward Ranks'!BQ126</f>
        <v>0.84497816593886466</v>
      </c>
      <c r="AH126" s="1">
        <f>'[1]Forward Ranks'!BR126</f>
        <v>0.85371179039301315</v>
      </c>
      <c r="AI126" s="1">
        <f>'[1]Forward Ranks'!BS126</f>
        <v>0.92139737991266379</v>
      </c>
      <c r="AJ126" s="1">
        <f>'[1]Forward Ranks'!BT126</f>
        <v>0.88427947598253276</v>
      </c>
      <c r="AL126" s="2">
        <f>'[1]Forward Ranks'!BX126</f>
        <v>0.89519650655021832</v>
      </c>
      <c r="AN126" t="str">
        <f>'[1]Forward Ranks'!B126</f>
        <v>FLA</v>
      </c>
      <c r="AO126">
        <f>'[1]F on ice'!E126</f>
        <v>82</v>
      </c>
      <c r="AP126" s="2">
        <f>'[1]Impact Score Math'!E126</f>
        <v>0.84769539078156309</v>
      </c>
      <c r="AQ126">
        <f>'[1]Impact Score Math'!G126</f>
        <v>77</v>
      </c>
      <c r="AT126" s="1">
        <f>'[1]Forward Ranks'!CJ126</f>
        <v>0.61572052401746724</v>
      </c>
      <c r="AU126" s="1">
        <f>'[1]Forward Ranks'!CK126</f>
        <v>0.40829694323144106</v>
      </c>
    </row>
    <row r="127" spans="1:47" x14ac:dyDescent="0.3">
      <c r="A127" t="str">
        <f>'[1]Forward Ranks'!A127</f>
        <v>Elias Lindholm</v>
      </c>
      <c r="B127">
        <f>'[1]Forward Ranks'!D127</f>
        <v>0</v>
      </c>
      <c r="C127" s="1">
        <f>'[1]Forward Ranks'!I127</f>
        <v>0.89301310043668125</v>
      </c>
      <c r="D127" s="1">
        <f>'[1]Forward Ranks'!J127</f>
        <v>0.48689956331877732</v>
      </c>
      <c r="E127" s="1">
        <f>'[1]Forward Ranks'!K127</f>
        <v>0.8253275109170306</v>
      </c>
      <c r="F127" s="1">
        <f>'[1]Forward Ranks'!L127</f>
        <v>0.84279475982532748</v>
      </c>
      <c r="G127">
        <f>'[1]Forward Ranks'!N127</f>
        <v>0</v>
      </c>
      <c r="H127" s="1">
        <f>'[1]Forward Ranks'!S127</f>
        <v>0.388646288209607</v>
      </c>
      <c r="I127" s="1">
        <f>'[1]Forward Ranks'!T127</f>
        <v>0.90611353711790388</v>
      </c>
      <c r="J127" s="1">
        <f>'[1]Forward Ranks'!U127</f>
        <v>0.8733624454148472</v>
      </c>
      <c r="K127" s="1">
        <f>'[1]Forward Ranks'!V127</f>
        <v>0.81222707423580787</v>
      </c>
      <c r="L127">
        <f>'[1]Forward Ranks'!X127</f>
        <v>0</v>
      </c>
      <c r="M127" s="1">
        <f>'[1]Forward Ranks'!AC127</f>
        <v>0.74890829694323147</v>
      </c>
      <c r="N127" s="1">
        <f>'[1]Forward Ranks'!AD127</f>
        <v>0.84497816593886466</v>
      </c>
      <c r="O127" s="1">
        <f>'[1]Forward Ranks'!AE127</f>
        <v>0.33624454148471616</v>
      </c>
      <c r="P127" s="1">
        <f>'[1]Forward Ranks'!AF127</f>
        <v>0.71834061135371174</v>
      </c>
      <c r="Q127">
        <f>'[1]Forward Ranks'!AH127</f>
        <v>0</v>
      </c>
      <c r="R127" s="1">
        <f>'[1]Forward Ranks'!AM127</f>
        <v>0.4759825327510917</v>
      </c>
      <c r="S127" s="1">
        <f>'[1]Forward Ranks'!AN127</f>
        <v>0.29912663755458513</v>
      </c>
      <c r="T127" s="1">
        <f>'[1]Forward Ranks'!AO127</f>
        <v>0.72270742358078599</v>
      </c>
      <c r="U127" s="1">
        <f>'[1]Forward Ranks'!AP127</f>
        <v>0.5633187772925764</v>
      </c>
      <c r="V127">
        <f>'[1]Forward Ranks'!AR127</f>
        <v>0</v>
      </c>
      <c r="W127" s="1">
        <f>'[1]Forward Ranks'!AW127</f>
        <v>0.22489082969432314</v>
      </c>
      <c r="X127" s="1">
        <f>'[1]Forward Ranks'!AX127</f>
        <v>0.611353711790393</v>
      </c>
      <c r="Y127" s="1">
        <f>'[1]Forward Ranks'!AY127</f>
        <v>0.34716157205240172</v>
      </c>
      <c r="Z127" s="1">
        <f>'[1]Forward Ranks'!AZ127</f>
        <v>0.39956331877729256</v>
      </c>
      <c r="AA127">
        <f>'[1]Forward Ranks'!BB127</f>
        <v>0</v>
      </c>
      <c r="AB127" s="1">
        <f>'[1]Forward Ranks'!BG127</f>
        <v>0.55021834061135366</v>
      </c>
      <c r="AC127" s="1">
        <f>'[1]Forward Ranks'!BH127</f>
        <v>0.44323144104803491</v>
      </c>
      <c r="AD127" s="1">
        <f>'[1]Forward Ranks'!BI127</f>
        <v>0.72489082969432317</v>
      </c>
      <c r="AE127" s="1">
        <f>'[1]Forward Ranks'!BJ127</f>
        <v>0.35807860262008734</v>
      </c>
      <c r="AF127">
        <f>'[1]Forward Ranks'!BL127</f>
        <v>0</v>
      </c>
      <c r="AG127" s="1">
        <f>'[1]Forward Ranks'!BQ127</f>
        <v>0.91921397379912662</v>
      </c>
      <c r="AH127" s="1">
        <f>'[1]Forward Ranks'!BR127</f>
        <v>0.69213973799126638</v>
      </c>
      <c r="AI127" s="1">
        <f>'[1]Forward Ranks'!BS127</f>
        <v>0.62882096069868998</v>
      </c>
      <c r="AJ127" s="1">
        <f>'[1]Forward Ranks'!BT127</f>
        <v>0.85807860262008728</v>
      </c>
      <c r="AL127" s="2">
        <f>'[1]Forward Ranks'!BX127</f>
        <v>0.78165938864628826</v>
      </c>
      <c r="AN127" t="str">
        <f>'[1]Forward Ranks'!B127</f>
        <v>CGY</v>
      </c>
      <c r="AO127">
        <f>'[1]F on ice'!E127</f>
        <v>80</v>
      </c>
      <c r="AP127" s="2">
        <f>'[1]Impact Score Math'!E127</f>
        <v>0.76953907815631262</v>
      </c>
      <c r="AQ127">
        <f>'[1]Impact Score Math'!G127</f>
        <v>116</v>
      </c>
      <c r="AT127" s="1">
        <f>'[1]Forward Ranks'!CJ127</f>
        <v>0.91921397379912662</v>
      </c>
      <c r="AU127" s="1">
        <f>'[1]Forward Ranks'!CK127</f>
        <v>0.30349344978165937</v>
      </c>
    </row>
    <row r="128" spans="1:47" x14ac:dyDescent="0.3">
      <c r="A128" t="str">
        <f>'[1]Forward Ranks'!A128</f>
        <v>Elias Pettersson</v>
      </c>
      <c r="B128">
        <f>'[1]Forward Ranks'!D128</f>
        <v>0</v>
      </c>
      <c r="C128" s="1">
        <f>'[1]Forward Ranks'!I128</f>
        <v>0.4126637554585153</v>
      </c>
      <c r="D128" s="1">
        <f>'[1]Forward Ranks'!J128</f>
        <v>0.56550218340611358</v>
      </c>
      <c r="E128" s="1">
        <f>'[1]Forward Ranks'!K128</f>
        <v>0.93886462882096067</v>
      </c>
      <c r="F128" s="1">
        <f>'[1]Forward Ranks'!L128</f>
        <v>0.64192139737991272</v>
      </c>
      <c r="G128">
        <f>'[1]Forward Ranks'!N128</f>
        <v>0</v>
      </c>
      <c r="H128" s="1">
        <f>'[1]Forward Ranks'!S128</f>
        <v>0.87991266375545851</v>
      </c>
      <c r="I128" s="1">
        <f>'[1]Forward Ranks'!T128</f>
        <v>0.98908296943231444</v>
      </c>
      <c r="J128" s="1">
        <f>'[1]Forward Ranks'!U128</f>
        <v>0.9606986899563319</v>
      </c>
      <c r="K128" s="1">
        <f>'[1]Forward Ranks'!V128</f>
        <v>0.98689956331877726</v>
      </c>
      <c r="L128">
        <f>'[1]Forward Ranks'!X128</f>
        <v>0</v>
      </c>
      <c r="M128" s="1">
        <f>'[1]Forward Ranks'!AC128</f>
        <v>0.74890829694323147</v>
      </c>
      <c r="N128" s="1">
        <f>'[1]Forward Ranks'!AD128</f>
        <v>0.54585152838427953</v>
      </c>
      <c r="O128" s="1">
        <f>'[1]Forward Ranks'!AE128</f>
        <v>0.27947598253275108</v>
      </c>
      <c r="P128" s="1">
        <f>'[1]Forward Ranks'!AF128</f>
        <v>0.78602620087336239</v>
      </c>
      <c r="Q128">
        <f>'[1]Forward Ranks'!AH128</f>
        <v>0</v>
      </c>
      <c r="R128" s="1">
        <f>'[1]Forward Ranks'!AM128</f>
        <v>0.74454148471615722</v>
      </c>
      <c r="S128" s="1">
        <f>'[1]Forward Ranks'!AN128</f>
        <v>0.74672489082969429</v>
      </c>
      <c r="T128" s="1">
        <f>'[1]Forward Ranks'!AO128</f>
        <v>0.9606986899563319</v>
      </c>
      <c r="U128" s="1">
        <f>'[1]Forward Ranks'!AP128</f>
        <v>0.87554585152838427</v>
      </c>
      <c r="V128">
        <f>'[1]Forward Ranks'!AR128</f>
        <v>0</v>
      </c>
      <c r="W128" s="1">
        <f>'[1]Forward Ranks'!AW128</f>
        <v>0.888646288209607</v>
      </c>
      <c r="X128" s="1">
        <f>'[1]Forward Ranks'!AX128</f>
        <v>0.76200873362445409</v>
      </c>
      <c r="Y128" s="1">
        <f>'[1]Forward Ranks'!AY128</f>
        <v>0.46724890829694321</v>
      </c>
      <c r="Z128" s="1">
        <f>'[1]Forward Ranks'!AZ128</f>
        <v>0.94104803493449785</v>
      </c>
      <c r="AA128">
        <f>'[1]Forward Ranks'!BB128</f>
        <v>0</v>
      </c>
      <c r="AB128" s="1">
        <f>'[1]Forward Ranks'!BG128</f>
        <v>0.84279475982532748</v>
      </c>
      <c r="AC128" s="1">
        <f>'[1]Forward Ranks'!BH128</f>
        <v>0.70305676855895194</v>
      </c>
      <c r="AD128" s="1">
        <f>'[1]Forward Ranks'!BI128</f>
        <v>0.97161572052401746</v>
      </c>
      <c r="AE128" s="1">
        <f>'[1]Forward Ranks'!BJ128</f>
        <v>0.80349344978165937</v>
      </c>
      <c r="AF128">
        <f>'[1]Forward Ranks'!BL128</f>
        <v>0</v>
      </c>
      <c r="AG128" s="1">
        <f>'[1]Forward Ranks'!BQ128</f>
        <v>0.59170305676855894</v>
      </c>
      <c r="AH128" s="1">
        <f>'[1]Forward Ranks'!BR128</f>
        <v>0.53275109170305679</v>
      </c>
      <c r="AI128" s="1">
        <f>'[1]Forward Ranks'!BS128</f>
        <v>0.74235807860262004</v>
      </c>
      <c r="AJ128" s="1">
        <f>'[1]Forward Ranks'!BT128</f>
        <v>0.77729257641921401</v>
      </c>
      <c r="AL128" s="2">
        <f>'[1]Forward Ranks'!BX128</f>
        <v>0.94978165938864634</v>
      </c>
      <c r="AN128" t="str">
        <f>'[1]Forward Ranks'!B128</f>
        <v>VAN</v>
      </c>
      <c r="AO128">
        <f>'[1]F on ice'!E128</f>
        <v>80</v>
      </c>
      <c r="AP128" s="2">
        <f>'[1]Impact Score Math'!E128</f>
        <v>0.95791583166332661</v>
      </c>
      <c r="AQ128">
        <f>'[1]Impact Score Math'!G128</f>
        <v>22</v>
      </c>
      <c r="AT128" s="1">
        <f>'[1]Forward Ranks'!CJ128</f>
        <v>0.89956331877729256</v>
      </c>
      <c r="AU128" s="1">
        <f>'[1]Forward Ranks'!CK128</f>
        <v>0.9366812227074236</v>
      </c>
    </row>
    <row r="129" spans="1:47" x14ac:dyDescent="0.3">
      <c r="A129" t="str">
        <f>'[1]Forward Ranks'!A129</f>
        <v>Elmer Soderblom</v>
      </c>
      <c r="B129">
        <f>'[1]Forward Ranks'!D129</f>
        <v>0</v>
      </c>
      <c r="C129" s="1">
        <f>'[1]Forward Ranks'!I129</f>
        <v>0.35589519650655022</v>
      </c>
      <c r="D129" s="1">
        <f>'[1]Forward Ranks'!J129</f>
        <v>0.22925764192139739</v>
      </c>
      <c r="E129" s="1">
        <f>'[1]Forward Ranks'!K129</f>
        <v>0.83842794759825323</v>
      </c>
      <c r="F129" s="1">
        <f>'[1]Forward Ranks'!L129</f>
        <v>0.39956331877729256</v>
      </c>
      <c r="G129">
        <f>'[1]Forward Ranks'!N129</f>
        <v>0</v>
      </c>
      <c r="H129" s="1">
        <f>'[1]Forward Ranks'!S129</f>
        <v>0.95414847161572047</v>
      </c>
      <c r="I129" s="1">
        <f>'[1]Forward Ranks'!T129</f>
        <v>0.36026200873362446</v>
      </c>
      <c r="J129" s="1">
        <f>'[1]Forward Ranks'!U129</f>
        <v>0.13755458515283842</v>
      </c>
      <c r="K129" s="1">
        <f>'[1]Forward Ranks'!V129</f>
        <v>0.81877729257641918</v>
      </c>
      <c r="L129">
        <f>'[1]Forward Ranks'!X129</f>
        <v>0</v>
      </c>
      <c r="M129" s="1">
        <f>'[1]Forward Ranks'!AC129</f>
        <v>0.79694323144104806</v>
      </c>
      <c r="N129" s="1">
        <f>'[1]Forward Ranks'!AD129</f>
        <v>0.98471615720524019</v>
      </c>
      <c r="O129" s="1">
        <f>'[1]Forward Ranks'!AE129</f>
        <v>0.14847161572052403</v>
      </c>
      <c r="P129" s="1">
        <f>'[1]Forward Ranks'!AF129</f>
        <v>0.9606986899563319</v>
      </c>
      <c r="Q129">
        <f>'[1]Forward Ranks'!AH129</f>
        <v>0</v>
      </c>
      <c r="R129" s="1">
        <f>'[1]Forward Ranks'!AM129</f>
        <v>0.75764192139737996</v>
      </c>
      <c r="S129" s="1">
        <f>'[1]Forward Ranks'!AN129</f>
        <v>0.49563318777292575</v>
      </c>
      <c r="T129" s="1">
        <f>'[1]Forward Ranks'!AO129</f>
        <v>0.89519650655021832</v>
      </c>
      <c r="U129" s="1">
        <f>'[1]Forward Ranks'!AP129</f>
        <v>0.75545851528384278</v>
      </c>
      <c r="V129">
        <f>'[1]Forward Ranks'!AR129</f>
        <v>0</v>
      </c>
      <c r="W129" s="1">
        <f>'[1]Forward Ranks'!AW129</f>
        <v>0.93449781659388642</v>
      </c>
      <c r="X129" s="1">
        <f>'[1]Forward Ranks'!AX129</f>
        <v>0.98689956331877726</v>
      </c>
      <c r="Y129" s="1">
        <f>'[1]Forward Ranks'!AY129</f>
        <v>0.10480349344978165</v>
      </c>
      <c r="Z129" s="1">
        <f>'[1]Forward Ranks'!AZ129</f>
        <v>0.97161572052401746</v>
      </c>
      <c r="AA129">
        <f>'[1]Forward Ranks'!BB129</f>
        <v>0</v>
      </c>
      <c r="AB129" s="1">
        <f>'[1]Forward Ranks'!BG129</f>
        <v>0.25109170305676853</v>
      </c>
      <c r="AC129" s="1">
        <f>'[1]Forward Ranks'!BH129</f>
        <v>0.76419213973799127</v>
      </c>
      <c r="AD129" s="1">
        <f>'[1]Forward Ranks'!BI129</f>
        <v>0.87772925764192145</v>
      </c>
      <c r="AE129" s="1">
        <f>'[1]Forward Ranks'!BJ129</f>
        <v>0.53711790393013104</v>
      </c>
      <c r="AF129">
        <f>'[1]Forward Ranks'!BL129</f>
        <v>0</v>
      </c>
      <c r="AG129" s="1">
        <f>'[1]Forward Ranks'!BQ129</f>
        <v>0.5633187772925764</v>
      </c>
      <c r="AH129" s="1">
        <f>'[1]Forward Ranks'!BR129</f>
        <v>0.69432314410480345</v>
      </c>
      <c r="AI129" s="1">
        <f>'[1]Forward Ranks'!BS129</f>
        <v>0.48471615720524019</v>
      </c>
      <c r="AJ129" s="1">
        <f>'[1]Forward Ranks'!BT129</f>
        <v>0.79475982532751088</v>
      </c>
      <c r="AL129" s="2">
        <f>'[1]Forward Ranks'!BX129</f>
        <v>0.88646288209606983</v>
      </c>
      <c r="AN129" t="str">
        <f>'[1]Forward Ranks'!B129</f>
        <v>DET</v>
      </c>
      <c r="AO129">
        <f>'[1]F on ice'!E129</f>
        <v>21</v>
      </c>
      <c r="AP129" s="2">
        <f>'[1]Impact Score Math'!E129</f>
        <v>0.7234468937875751</v>
      </c>
      <c r="AQ129">
        <f>'[1]Impact Score Math'!G129</f>
        <v>139</v>
      </c>
      <c r="AT129" s="1">
        <f>'[1]Forward Ranks'!CJ129</f>
        <v>0.45633187772925765</v>
      </c>
      <c r="AU129" s="1">
        <f>'[1]Forward Ranks'!CK129</f>
        <v>0.62882096069868998</v>
      </c>
    </row>
    <row r="130" spans="1:47" x14ac:dyDescent="0.3">
      <c r="A130" t="str">
        <f>'[1]Forward Ranks'!A130</f>
        <v>Emil Bemstrom</v>
      </c>
      <c r="B130">
        <f>'[1]Forward Ranks'!D130</f>
        <v>0</v>
      </c>
      <c r="C130" s="1">
        <f>'[1]Forward Ranks'!I130</f>
        <v>0.55676855895196509</v>
      </c>
      <c r="D130" s="1">
        <f>'[1]Forward Ranks'!J130</f>
        <v>0.39082969432314413</v>
      </c>
      <c r="E130" s="1">
        <f>'[1]Forward Ranks'!K130</f>
        <v>0.40393013100436681</v>
      </c>
      <c r="F130" s="1">
        <f>'[1]Forward Ranks'!L130</f>
        <v>0.44323144104803491</v>
      </c>
      <c r="G130">
        <f>'[1]Forward Ranks'!N130</f>
        <v>0</v>
      </c>
      <c r="H130" s="1">
        <f>'[1]Forward Ranks'!S130</f>
        <v>7.8602620087336247E-2</v>
      </c>
      <c r="I130" s="1">
        <f>'[1]Forward Ranks'!T130</f>
        <v>0.75545851528384278</v>
      </c>
      <c r="J130" s="1">
        <f>'[1]Forward Ranks'!U130</f>
        <v>0.70305676855895194</v>
      </c>
      <c r="K130" s="1">
        <f>'[1]Forward Ranks'!V130</f>
        <v>0.44978165938864628</v>
      </c>
      <c r="L130">
        <f>'[1]Forward Ranks'!X130</f>
        <v>0</v>
      </c>
      <c r="M130" s="1">
        <f>'[1]Forward Ranks'!AC130</f>
        <v>8.5152838427947602E-2</v>
      </c>
      <c r="N130" s="1">
        <f>'[1]Forward Ranks'!AD130</f>
        <v>0.37117903930131002</v>
      </c>
      <c r="O130" s="1">
        <f>'[1]Forward Ranks'!AE130</f>
        <v>6.1135371179039298E-2</v>
      </c>
      <c r="P130" s="1">
        <f>'[1]Forward Ranks'!AF130</f>
        <v>0.19213973799126638</v>
      </c>
      <c r="Q130">
        <f>'[1]Forward Ranks'!AH130</f>
        <v>0</v>
      </c>
      <c r="R130" s="1">
        <f>'[1]Forward Ranks'!AM130</f>
        <v>0.77729257641921401</v>
      </c>
      <c r="S130" s="1">
        <f>'[1]Forward Ranks'!AN130</f>
        <v>0.67248908296943233</v>
      </c>
      <c r="T130" s="1">
        <f>'[1]Forward Ranks'!AO130</f>
        <v>0.66812227074235808</v>
      </c>
      <c r="U130" s="1">
        <f>'[1]Forward Ranks'!AP130</f>
        <v>0.6506550218340611</v>
      </c>
      <c r="V130">
        <f>'[1]Forward Ranks'!AR130</f>
        <v>0</v>
      </c>
      <c r="W130" s="1">
        <f>'[1]Forward Ranks'!AW130</f>
        <v>0.69213973799126638</v>
      </c>
      <c r="X130" s="1">
        <f>'[1]Forward Ranks'!AX130</f>
        <v>0.80349344978165937</v>
      </c>
      <c r="Y130" s="1">
        <f>'[1]Forward Ranks'!AY130</f>
        <v>0.41484716157205243</v>
      </c>
      <c r="Z130" s="1">
        <f>'[1]Forward Ranks'!AZ130</f>
        <v>0.81441048034934493</v>
      </c>
      <c r="AA130">
        <f>'[1]Forward Ranks'!BB130</f>
        <v>0</v>
      </c>
      <c r="AB130" s="1">
        <f>'[1]Forward Ranks'!BG130</f>
        <v>0.23362445414847161</v>
      </c>
      <c r="AC130" s="1">
        <f>'[1]Forward Ranks'!BH130</f>
        <v>0.64847161572052403</v>
      </c>
      <c r="AD130" s="1">
        <f>'[1]Forward Ranks'!BI130</f>
        <v>0.37772925764192139</v>
      </c>
      <c r="AE130" s="1">
        <f>'[1]Forward Ranks'!BJ130</f>
        <v>0.15938864628820962</v>
      </c>
      <c r="AF130">
        <f>'[1]Forward Ranks'!BL130</f>
        <v>0</v>
      </c>
      <c r="AG130" s="1">
        <f>'[1]Forward Ranks'!BQ130</f>
        <v>0.24672489082969432</v>
      </c>
      <c r="AH130" s="1">
        <f>'[1]Forward Ranks'!BR130</f>
        <v>0.35589519650655022</v>
      </c>
      <c r="AI130" s="1">
        <f>'[1]Forward Ranks'!BS130</f>
        <v>0.16375545851528384</v>
      </c>
      <c r="AJ130" s="1">
        <f>'[1]Forward Ranks'!BT130</f>
        <v>0.30786026200873362</v>
      </c>
      <c r="AL130" s="2">
        <f>'[1]Forward Ranks'!BX130</f>
        <v>0.45196506550218341</v>
      </c>
      <c r="AN130" t="str">
        <f>'[1]Forward Ranks'!B130</f>
        <v>CBJ</v>
      </c>
      <c r="AO130">
        <f>'[1]F on ice'!E130</f>
        <v>55</v>
      </c>
      <c r="AP130" s="2">
        <f>'[1]Impact Score Math'!E130</f>
        <v>0.44488977955911824</v>
      </c>
      <c r="AQ130">
        <f>'[1]Impact Score Math'!G130</f>
        <v>278</v>
      </c>
      <c r="AT130" s="1">
        <f>'[1]Forward Ranks'!CJ130</f>
        <v>0.94541484716157209</v>
      </c>
      <c r="AU130" s="1">
        <f>'[1]Forward Ranks'!CK130</f>
        <v>0.36244541484716158</v>
      </c>
    </row>
    <row r="131" spans="1:47" x14ac:dyDescent="0.3">
      <c r="A131" t="str">
        <f>'[1]Forward Ranks'!A131</f>
        <v>Eric Robinson</v>
      </c>
      <c r="B131">
        <f>'[1]Forward Ranks'!D131</f>
        <v>0</v>
      </c>
      <c r="C131" s="1">
        <f>'[1]Forward Ranks'!I131</f>
        <v>0.13973799126637554</v>
      </c>
      <c r="D131" s="1">
        <f>'[1]Forward Ranks'!J131</f>
        <v>0.24454148471615719</v>
      </c>
      <c r="E131" s="1">
        <f>'[1]Forward Ranks'!K131</f>
        <v>7.8602620087336247E-2</v>
      </c>
      <c r="F131" s="1">
        <f>'[1]Forward Ranks'!L131</f>
        <v>0.24672489082969432</v>
      </c>
      <c r="G131">
        <f>'[1]Forward Ranks'!N131</f>
        <v>0</v>
      </c>
      <c r="H131" s="1">
        <f>'[1]Forward Ranks'!S131</f>
        <v>0.6026200873362445</v>
      </c>
      <c r="I131" s="1">
        <f>'[1]Forward Ranks'!T131</f>
        <v>0.29694323144104806</v>
      </c>
      <c r="J131" s="1">
        <f>'[1]Forward Ranks'!U131</f>
        <v>0.16157205240174671</v>
      </c>
      <c r="K131" s="1">
        <f>'[1]Forward Ranks'!V131</f>
        <v>0.37117903930131002</v>
      </c>
      <c r="L131">
        <f>'[1]Forward Ranks'!X131</f>
        <v>0</v>
      </c>
      <c r="M131" s="1">
        <f>'[1]Forward Ranks'!AC131</f>
        <v>4.148471615720524E-2</v>
      </c>
      <c r="N131" s="1">
        <f>'[1]Forward Ranks'!AD131</f>
        <v>0.10698689956331878</v>
      </c>
      <c r="O131" s="1">
        <f>'[1]Forward Ranks'!AE131</f>
        <v>7.2052401746724892E-2</v>
      </c>
      <c r="P131" s="1">
        <f>'[1]Forward Ranks'!AF131</f>
        <v>6.9868995633187769E-2</v>
      </c>
      <c r="Q131">
        <f>'[1]Forward Ranks'!AH131</f>
        <v>0</v>
      </c>
      <c r="R131" s="1">
        <f>'[1]Forward Ranks'!AM131</f>
        <v>0.2205240174672489</v>
      </c>
      <c r="S131" s="1">
        <f>'[1]Forward Ranks'!AN131</f>
        <v>0.55240174672489084</v>
      </c>
      <c r="T131" s="1">
        <f>'[1]Forward Ranks'!AO131</f>
        <v>0.18558951965065501</v>
      </c>
      <c r="U131" s="1">
        <f>'[1]Forward Ranks'!AP131</f>
        <v>0.388646288209607</v>
      </c>
      <c r="V131">
        <f>'[1]Forward Ranks'!AR131</f>
        <v>0</v>
      </c>
      <c r="W131" s="1">
        <f>'[1]Forward Ranks'!AW131</f>
        <v>0.20742358078602621</v>
      </c>
      <c r="X131" s="1">
        <f>'[1]Forward Ranks'!AX131</f>
        <v>0.20960698689956331</v>
      </c>
      <c r="Y131" s="1">
        <f>'[1]Forward Ranks'!AY131</f>
        <v>0.53711790393013104</v>
      </c>
      <c r="Z131" s="1">
        <f>'[1]Forward Ranks'!AZ131</f>
        <v>0.1965065502183406</v>
      </c>
      <c r="AA131">
        <f>'[1]Forward Ranks'!BB131</f>
        <v>0</v>
      </c>
      <c r="AB131" s="1">
        <f>'[1]Forward Ranks'!BG131</f>
        <v>0.36462882096069871</v>
      </c>
      <c r="AC131" s="1">
        <f>'[1]Forward Ranks'!BH131</f>
        <v>7.6419213973799124E-2</v>
      </c>
      <c r="AD131" s="1">
        <f>'[1]Forward Ranks'!BI131</f>
        <v>9.3886462882096067E-2</v>
      </c>
      <c r="AE131" s="1">
        <f>'[1]Forward Ranks'!BJ131</f>
        <v>0.10043668122270742</v>
      </c>
      <c r="AF131">
        <f>'[1]Forward Ranks'!BL131</f>
        <v>0</v>
      </c>
      <c r="AG131" s="1">
        <f>'[1]Forward Ranks'!BQ131</f>
        <v>4.3668122270742356E-2</v>
      </c>
      <c r="AH131" s="1">
        <f>'[1]Forward Ranks'!BR131</f>
        <v>0.13537117903930132</v>
      </c>
      <c r="AI131" s="1">
        <f>'[1]Forward Ranks'!BS131</f>
        <v>4.148471615720524E-2</v>
      </c>
      <c r="AJ131" s="1">
        <f>'[1]Forward Ranks'!BT131</f>
        <v>9.3886462882096067E-2</v>
      </c>
      <c r="AL131" s="2">
        <f>'[1]Forward Ranks'!BX131</f>
        <v>8.296943231441048E-2</v>
      </c>
      <c r="AN131" t="str">
        <f>'[1]Forward Ranks'!B131</f>
        <v>CBJ</v>
      </c>
      <c r="AO131">
        <f>'[1]F on ice'!E131</f>
        <v>72</v>
      </c>
      <c r="AP131" s="2">
        <f>'[1]Impact Score Math'!E131</f>
        <v>0.17234468937875752</v>
      </c>
      <c r="AQ131">
        <f>'[1]Impact Score Math'!G131</f>
        <v>414</v>
      </c>
      <c r="AT131" s="1">
        <f>'[1]Forward Ranks'!CJ131</f>
        <v>0.93013100436681218</v>
      </c>
      <c r="AU131" s="1">
        <f>'[1]Forward Ranks'!CK131</f>
        <v>0.17903930131004367</v>
      </c>
    </row>
    <row r="132" spans="1:47" x14ac:dyDescent="0.3">
      <c r="A132" t="str">
        <f>'[1]Forward Ranks'!A132</f>
        <v>Eric Staal</v>
      </c>
      <c r="B132">
        <f>'[1]Forward Ranks'!D132</f>
        <v>0</v>
      </c>
      <c r="C132" s="1">
        <f>'[1]Forward Ranks'!I132</f>
        <v>0.81877729257641918</v>
      </c>
      <c r="D132" s="1">
        <f>'[1]Forward Ranks'!J132</f>
        <v>0.8493449781659389</v>
      </c>
      <c r="E132" s="1">
        <f>'[1]Forward Ranks'!K132</f>
        <v>0.44541484716157204</v>
      </c>
      <c r="F132" s="1">
        <f>'[1]Forward Ranks'!L132</f>
        <v>0.76200873362445409</v>
      </c>
      <c r="G132">
        <f>'[1]Forward Ranks'!N132</f>
        <v>0</v>
      </c>
      <c r="H132" s="1">
        <f>'[1]Forward Ranks'!S132</f>
        <v>0.74890829694323147</v>
      </c>
      <c r="I132" s="1">
        <f>'[1]Forward Ranks'!T132</f>
        <v>0.59606986899563319</v>
      </c>
      <c r="J132" s="1">
        <f>'[1]Forward Ranks'!U132</f>
        <v>0.55458515283842791</v>
      </c>
      <c r="K132" s="1">
        <f>'[1]Forward Ranks'!V132</f>
        <v>0.68122270742358082</v>
      </c>
      <c r="L132">
        <f>'[1]Forward Ranks'!X132</f>
        <v>0</v>
      </c>
      <c r="M132" s="1">
        <f>'[1]Forward Ranks'!AC132</f>
        <v>0.13973799126637554</v>
      </c>
      <c r="N132" s="1">
        <f>'[1]Forward Ranks'!AD132</f>
        <v>0.21615720524017468</v>
      </c>
      <c r="O132" s="1">
        <f>'[1]Forward Ranks'!AE132</f>
        <v>0.42358078602620086</v>
      </c>
      <c r="P132" s="1">
        <f>'[1]Forward Ranks'!AF132</f>
        <v>0.24017467248908297</v>
      </c>
      <c r="Q132">
        <f>'[1]Forward Ranks'!AH132</f>
        <v>0</v>
      </c>
      <c r="R132" s="1">
        <f>'[1]Forward Ranks'!AM132</f>
        <v>0.20742358078602621</v>
      </c>
      <c r="S132" s="1">
        <f>'[1]Forward Ranks'!AN132</f>
        <v>0.39082969432314413</v>
      </c>
      <c r="T132" s="1">
        <f>'[1]Forward Ranks'!AO132</f>
        <v>0.20087336244541484</v>
      </c>
      <c r="U132" s="1">
        <f>'[1]Forward Ranks'!AP132</f>
        <v>0.20305676855895197</v>
      </c>
      <c r="V132">
        <f>'[1]Forward Ranks'!AR132</f>
        <v>0</v>
      </c>
      <c r="W132" s="1">
        <f>'[1]Forward Ranks'!AW132</f>
        <v>9.1703056768558958E-2</v>
      </c>
      <c r="X132" s="1">
        <f>'[1]Forward Ranks'!AX132</f>
        <v>0.36899563318777295</v>
      </c>
      <c r="Y132" s="1">
        <f>'[1]Forward Ranks'!AY132</f>
        <v>0.36244541484716158</v>
      </c>
      <c r="Z132" s="1">
        <f>'[1]Forward Ranks'!AZ132</f>
        <v>0.2816593886462882</v>
      </c>
      <c r="AA132">
        <f>'[1]Forward Ranks'!BB132</f>
        <v>0</v>
      </c>
      <c r="AB132" s="1">
        <f>'[1]Forward Ranks'!BG132</f>
        <v>0.34934497816593885</v>
      </c>
      <c r="AC132" s="1">
        <f>'[1]Forward Ranks'!BH132</f>
        <v>0.48908296943231439</v>
      </c>
      <c r="AD132" s="1">
        <f>'[1]Forward Ranks'!BI132</f>
        <v>0.26419213973799127</v>
      </c>
      <c r="AE132" s="1">
        <f>'[1]Forward Ranks'!BJ132</f>
        <v>0.35807860262008734</v>
      </c>
      <c r="AF132">
        <f>'[1]Forward Ranks'!BL132</f>
        <v>0</v>
      </c>
      <c r="AG132" s="1">
        <f>'[1]Forward Ranks'!BQ132</f>
        <v>0.50218340611353707</v>
      </c>
      <c r="AH132" s="1">
        <f>'[1]Forward Ranks'!BR132</f>
        <v>0.66157205240174677</v>
      </c>
      <c r="AI132" s="1">
        <f>'[1]Forward Ranks'!BS132</f>
        <v>0.40174672489082969</v>
      </c>
      <c r="AJ132" s="1">
        <f>'[1]Forward Ranks'!BT132</f>
        <v>0.56550218340611358</v>
      </c>
      <c r="AL132" s="2">
        <f>'[1]Forward Ranks'!BX132</f>
        <v>0.40611353711790393</v>
      </c>
      <c r="AN132" t="str">
        <f>'[1]Forward Ranks'!B132</f>
        <v>FLA</v>
      </c>
      <c r="AO132">
        <f>'[1]F on ice'!E132</f>
        <v>72</v>
      </c>
      <c r="AP132" s="2">
        <f>'[1]Impact Score Math'!E132</f>
        <v>0.4468937875751503</v>
      </c>
      <c r="AQ132">
        <f>'[1]Impact Score Math'!G132</f>
        <v>277</v>
      </c>
      <c r="AT132" s="1">
        <f>'[1]Forward Ranks'!CJ132</f>
        <v>0.43886462882096072</v>
      </c>
      <c r="AU132" s="1">
        <f>'[1]Forward Ranks'!CK132</f>
        <v>0.11353711790393013</v>
      </c>
    </row>
    <row r="133" spans="1:47" x14ac:dyDescent="0.3">
      <c r="A133" t="str">
        <f>'[1]Forward Ranks'!A133</f>
        <v>Erik Haula</v>
      </c>
      <c r="B133">
        <f>'[1]Forward Ranks'!D133</f>
        <v>0</v>
      </c>
      <c r="C133" s="1">
        <f>'[1]Forward Ranks'!I133</f>
        <v>0.8733624454148472</v>
      </c>
      <c r="D133" s="1">
        <f>'[1]Forward Ranks'!J133</f>
        <v>0.8973799126637555</v>
      </c>
      <c r="E133" s="1">
        <f>'[1]Forward Ranks'!K133</f>
        <v>0.70524017467248912</v>
      </c>
      <c r="F133" s="1">
        <f>'[1]Forward Ranks'!L133</f>
        <v>0.89082969432314407</v>
      </c>
      <c r="G133">
        <f>'[1]Forward Ranks'!N133</f>
        <v>0</v>
      </c>
      <c r="H133" s="1">
        <f>'[1]Forward Ranks'!S133</f>
        <v>0.36681222707423583</v>
      </c>
      <c r="I133" s="1">
        <f>'[1]Forward Ranks'!T133</f>
        <v>0.55458515283842791</v>
      </c>
      <c r="J133" s="1">
        <f>'[1]Forward Ranks'!U133</f>
        <v>0.54803493449781659</v>
      </c>
      <c r="K133" s="1">
        <f>'[1]Forward Ranks'!V133</f>
        <v>0.47816593886462883</v>
      </c>
      <c r="L133">
        <f>'[1]Forward Ranks'!X133</f>
        <v>0</v>
      </c>
      <c r="M133" s="1">
        <f>'[1]Forward Ranks'!AC133</f>
        <v>0.72925764192139741</v>
      </c>
      <c r="N133" s="1">
        <f>'[1]Forward Ranks'!AD133</f>
        <v>0.91921397379912662</v>
      </c>
      <c r="O133" s="1">
        <f>'[1]Forward Ranks'!AE133</f>
        <v>0.51965065502183405</v>
      </c>
      <c r="P133" s="1">
        <f>'[1]Forward Ranks'!AF133</f>
        <v>0.75109170305676853</v>
      </c>
      <c r="Q133">
        <f>'[1]Forward Ranks'!AH133</f>
        <v>0</v>
      </c>
      <c r="R133" s="1">
        <f>'[1]Forward Ranks'!AM133</f>
        <v>0.62227074235807855</v>
      </c>
      <c r="S133" s="1">
        <f>'[1]Forward Ranks'!AN133</f>
        <v>0.61572052401746724</v>
      </c>
      <c r="T133" s="1">
        <f>'[1]Forward Ranks'!AO133</f>
        <v>0.50873362445414849</v>
      </c>
      <c r="U133" s="1">
        <f>'[1]Forward Ranks'!AP133</f>
        <v>0.58951965065502188</v>
      </c>
      <c r="V133">
        <f>'[1]Forward Ranks'!AR133</f>
        <v>0</v>
      </c>
      <c r="W133" s="1">
        <f>'[1]Forward Ranks'!AW133</f>
        <v>0.43231441048034935</v>
      </c>
      <c r="X133" s="1">
        <f>'[1]Forward Ranks'!AX133</f>
        <v>0.61790393013100442</v>
      </c>
      <c r="Y133" s="1">
        <f>'[1]Forward Ranks'!AY133</f>
        <v>0.3056768558951965</v>
      </c>
      <c r="Z133" s="1">
        <f>'[1]Forward Ranks'!AZ133</f>
        <v>0.41921397379912662</v>
      </c>
      <c r="AA133">
        <f>'[1]Forward Ranks'!BB133</f>
        <v>0</v>
      </c>
      <c r="AB133" s="1">
        <f>'[1]Forward Ranks'!BG133</f>
        <v>0.66375545851528384</v>
      </c>
      <c r="AC133" s="1">
        <f>'[1]Forward Ranks'!BH133</f>
        <v>0.54585152838427953</v>
      </c>
      <c r="AD133" s="1">
        <f>'[1]Forward Ranks'!BI133</f>
        <v>0.44978165938864628</v>
      </c>
      <c r="AE133" s="1">
        <f>'[1]Forward Ranks'!BJ133</f>
        <v>0.35807860262008734</v>
      </c>
      <c r="AF133">
        <f>'[1]Forward Ranks'!BL133</f>
        <v>0</v>
      </c>
      <c r="AG133" s="1">
        <f>'[1]Forward Ranks'!BQ133</f>
        <v>0.89956331877729256</v>
      </c>
      <c r="AH133" s="1">
        <f>'[1]Forward Ranks'!BR133</f>
        <v>0.96506550218340614</v>
      </c>
      <c r="AI133" s="1">
        <f>'[1]Forward Ranks'!BS133</f>
        <v>0.66375545851528384</v>
      </c>
      <c r="AJ133" s="1">
        <f>'[1]Forward Ranks'!BT133</f>
        <v>0.92794759825327511</v>
      </c>
      <c r="AL133" s="2">
        <f>'[1]Forward Ranks'!BX133</f>
        <v>0.77729257641921401</v>
      </c>
      <c r="AN133" t="str">
        <f>'[1]Forward Ranks'!B133</f>
        <v>N.J</v>
      </c>
      <c r="AO133">
        <f>'[1]F on ice'!E133</f>
        <v>80</v>
      </c>
      <c r="AP133" s="2">
        <f>'[1]Impact Score Math'!E133</f>
        <v>0.81162324649298601</v>
      </c>
      <c r="AQ133">
        <f>'[1]Impact Score Math'!G133</f>
        <v>95</v>
      </c>
      <c r="AT133" s="1">
        <f>'[1]Forward Ranks'!CJ133</f>
        <v>0.25109170305676853</v>
      </c>
      <c r="AU133" s="1">
        <f>'[1]Forward Ranks'!CK133</f>
        <v>0.23144104803493451</v>
      </c>
    </row>
    <row r="134" spans="1:47" x14ac:dyDescent="0.3">
      <c r="A134" t="str">
        <f>'[1]Forward Ranks'!A134</f>
        <v>Evan Rodrigues</v>
      </c>
      <c r="B134">
        <f>'[1]Forward Ranks'!D134</f>
        <v>0</v>
      </c>
      <c r="C134" s="1">
        <f>'[1]Forward Ranks'!I134</f>
        <v>0.85371179039301315</v>
      </c>
      <c r="D134" s="1">
        <f>'[1]Forward Ranks'!J134</f>
        <v>0.70960698689956336</v>
      </c>
      <c r="E134" s="1">
        <f>'[1]Forward Ranks'!K134</f>
        <v>0.75764192139737996</v>
      </c>
      <c r="F134" s="1">
        <f>'[1]Forward Ranks'!L134</f>
        <v>0.81222707423580787</v>
      </c>
      <c r="G134">
        <f>'[1]Forward Ranks'!N134</f>
        <v>0</v>
      </c>
      <c r="H134" s="1">
        <f>'[1]Forward Ranks'!S134</f>
        <v>0.24454148471615719</v>
      </c>
      <c r="I134" s="1">
        <f>'[1]Forward Ranks'!T134</f>
        <v>0.51528384279475981</v>
      </c>
      <c r="J134" s="1">
        <f>'[1]Forward Ranks'!U134</f>
        <v>0.48034934497816595</v>
      </c>
      <c r="K134" s="1">
        <f>'[1]Forward Ranks'!V134</f>
        <v>0.35371179039301309</v>
      </c>
      <c r="L134">
        <f>'[1]Forward Ranks'!X134</f>
        <v>0</v>
      </c>
      <c r="M134" s="1">
        <f>'[1]Forward Ranks'!AC134</f>
        <v>0.84497816593886466</v>
      </c>
      <c r="N134" s="1">
        <f>'[1]Forward Ranks'!AD134</f>
        <v>0.61790393013100442</v>
      </c>
      <c r="O134" s="1">
        <f>'[1]Forward Ranks'!AE134</f>
        <v>0.5393013100436681</v>
      </c>
      <c r="P134" s="1">
        <f>'[1]Forward Ranks'!AF134</f>
        <v>0.62008733624454149</v>
      </c>
      <c r="Q134">
        <f>'[1]Forward Ranks'!AH134</f>
        <v>0</v>
      </c>
      <c r="R134" s="1">
        <f>'[1]Forward Ranks'!AM134</f>
        <v>0.86462882096069871</v>
      </c>
      <c r="S134" s="1">
        <f>'[1]Forward Ranks'!AN134</f>
        <v>0.8253275109170306</v>
      </c>
      <c r="T134" s="1">
        <f>'[1]Forward Ranks'!AO134</f>
        <v>0.63973799126637554</v>
      </c>
      <c r="U134" s="1">
        <f>'[1]Forward Ranks'!AP134</f>
        <v>0.83187772925764192</v>
      </c>
      <c r="V134">
        <f>'[1]Forward Ranks'!AR134</f>
        <v>0</v>
      </c>
      <c r="W134" s="1">
        <f>'[1]Forward Ranks'!AW134</f>
        <v>0.83842794759825323</v>
      </c>
      <c r="X134" s="1">
        <f>'[1]Forward Ranks'!AX134</f>
        <v>0.62008733624454149</v>
      </c>
      <c r="Y134" s="1">
        <f>'[1]Forward Ranks'!AY134</f>
        <v>0.15283842794759825</v>
      </c>
      <c r="Z134" s="1">
        <f>'[1]Forward Ranks'!AZ134</f>
        <v>0.38209606986899564</v>
      </c>
      <c r="AA134">
        <f>'[1]Forward Ranks'!BB134</f>
        <v>0</v>
      </c>
      <c r="AB134" s="1">
        <f>'[1]Forward Ranks'!BG134</f>
        <v>0.94541484716157209</v>
      </c>
      <c r="AC134" s="1">
        <f>'[1]Forward Ranks'!BH134</f>
        <v>0.6266375545851528</v>
      </c>
      <c r="AD134" s="1">
        <f>'[1]Forward Ranks'!BI134</f>
        <v>0.48034934497816595</v>
      </c>
      <c r="AE134" s="1">
        <f>'[1]Forward Ranks'!BJ134</f>
        <v>0.42794759825327511</v>
      </c>
      <c r="AF134">
        <f>'[1]Forward Ranks'!BL134</f>
        <v>0</v>
      </c>
      <c r="AG134" s="1">
        <f>'[1]Forward Ranks'!BQ134</f>
        <v>0.90829694323144106</v>
      </c>
      <c r="AH134" s="1">
        <f>'[1]Forward Ranks'!BR134</f>
        <v>0.71397379912663761</v>
      </c>
      <c r="AI134" s="1">
        <f>'[1]Forward Ranks'!BS134</f>
        <v>0.72052401746724892</v>
      </c>
      <c r="AJ134" s="1">
        <f>'[1]Forward Ranks'!BT134</f>
        <v>0.80131004366812231</v>
      </c>
      <c r="AL134" s="2">
        <f>'[1]Forward Ranks'!BX134</f>
        <v>0.83842794759825323</v>
      </c>
      <c r="AN134" t="str">
        <f>'[1]Forward Ranks'!B134</f>
        <v>COL</v>
      </c>
      <c r="AO134">
        <f>'[1]F on ice'!E134</f>
        <v>69</v>
      </c>
      <c r="AP134" s="2">
        <f>'[1]Impact Score Math'!E134</f>
        <v>0.9298597194388778</v>
      </c>
      <c r="AQ134">
        <f>'[1]Impact Score Math'!G134</f>
        <v>36</v>
      </c>
      <c r="AT134" s="1">
        <f>'[1]Forward Ranks'!CJ134</f>
        <v>0.47379912663755458</v>
      </c>
      <c r="AU134" s="1">
        <f>'[1]Forward Ranks'!CK134</f>
        <v>0.54803493449781659</v>
      </c>
    </row>
    <row r="135" spans="1:47" x14ac:dyDescent="0.3">
      <c r="A135" t="str">
        <f>'[1]Forward Ranks'!A135</f>
        <v>Evander Kane</v>
      </c>
      <c r="B135">
        <f>'[1]Forward Ranks'!D135</f>
        <v>0</v>
      </c>
      <c r="C135" s="1">
        <f>'[1]Forward Ranks'!I135</f>
        <v>0.61572052401746724</v>
      </c>
      <c r="D135" s="1">
        <f>'[1]Forward Ranks'!J135</f>
        <v>0.70742358078602618</v>
      </c>
      <c r="E135" s="1">
        <f>'[1]Forward Ranks'!K135</f>
        <v>0.45196506550218341</v>
      </c>
      <c r="F135" s="1">
        <f>'[1]Forward Ranks'!L135</f>
        <v>0.6266375545851528</v>
      </c>
      <c r="G135">
        <f>'[1]Forward Ranks'!N135</f>
        <v>0</v>
      </c>
      <c r="H135" s="1">
        <f>'[1]Forward Ranks'!S135</f>
        <v>0.94978165938864634</v>
      </c>
      <c r="I135" s="1">
        <f>'[1]Forward Ranks'!T135</f>
        <v>0.21615720524017468</v>
      </c>
      <c r="J135" s="1">
        <f>'[1]Forward Ranks'!U135</f>
        <v>0.15938864628820962</v>
      </c>
      <c r="K135" s="1">
        <f>'[1]Forward Ranks'!V135</f>
        <v>0.71397379912663761</v>
      </c>
      <c r="L135">
        <f>'[1]Forward Ranks'!X135</f>
        <v>0</v>
      </c>
      <c r="M135" s="1">
        <f>'[1]Forward Ranks'!AC135</f>
        <v>0.39519650655021832</v>
      </c>
      <c r="N135" s="1">
        <f>'[1]Forward Ranks'!AD135</f>
        <v>0.52183406113537123</v>
      </c>
      <c r="O135" s="1">
        <f>'[1]Forward Ranks'!AE135</f>
        <v>0.23362445414847161</v>
      </c>
      <c r="P135" s="1">
        <f>'[1]Forward Ranks'!AF135</f>
        <v>0.15720524017467249</v>
      </c>
      <c r="Q135">
        <f>'[1]Forward Ranks'!AH135</f>
        <v>0</v>
      </c>
      <c r="R135" s="1">
        <f>'[1]Forward Ranks'!AM135</f>
        <v>0.46506550218340609</v>
      </c>
      <c r="S135" s="1">
        <f>'[1]Forward Ranks'!AN135</f>
        <v>0.20305676855895197</v>
      </c>
      <c r="T135" s="1">
        <f>'[1]Forward Ranks'!AO135</f>
        <v>0.16157205240174671</v>
      </c>
      <c r="U135" s="1">
        <f>'[1]Forward Ranks'!AP135</f>
        <v>0.19213973799126638</v>
      </c>
      <c r="V135">
        <f>'[1]Forward Ranks'!AR135</f>
        <v>0</v>
      </c>
      <c r="W135" s="1">
        <f>'[1]Forward Ranks'!AW135</f>
        <v>0.13973799126637554</v>
      </c>
      <c r="X135" s="1">
        <f>'[1]Forward Ranks'!AX135</f>
        <v>0.23362445414847161</v>
      </c>
      <c r="Y135" s="1">
        <f>'[1]Forward Ranks'!AY135</f>
        <v>3.9301310043668124E-2</v>
      </c>
      <c r="Z135" s="1">
        <f>'[1]Forward Ranks'!AZ135</f>
        <v>5.0218340611353711E-2</v>
      </c>
      <c r="AA135">
        <f>'[1]Forward Ranks'!BB135</f>
        <v>0</v>
      </c>
      <c r="AB135" s="1">
        <f>'[1]Forward Ranks'!BG135</f>
        <v>0.98908296943231444</v>
      </c>
      <c r="AC135" s="1">
        <f>'[1]Forward Ranks'!BH135</f>
        <v>0.58296943231441045</v>
      </c>
      <c r="AD135" s="1">
        <f>'[1]Forward Ranks'!BI135</f>
        <v>0.34934497816593885</v>
      </c>
      <c r="AE135" s="1">
        <f>'[1]Forward Ranks'!BJ135</f>
        <v>0.31877729257641924</v>
      </c>
      <c r="AF135">
        <f>'[1]Forward Ranks'!BL135</f>
        <v>0</v>
      </c>
      <c r="AG135" s="1">
        <f>'[1]Forward Ranks'!BQ135</f>
        <v>0.51746724890829698</v>
      </c>
      <c r="AH135" s="1">
        <f>'[1]Forward Ranks'!BR135</f>
        <v>0.63318777292576423</v>
      </c>
      <c r="AI135" s="1">
        <f>'[1]Forward Ranks'!BS135</f>
        <v>0.27729257641921395</v>
      </c>
      <c r="AJ135" s="1">
        <f>'[1]Forward Ranks'!BT135</f>
        <v>0.36681222707423583</v>
      </c>
      <c r="AL135" s="2">
        <f>'[1]Forward Ranks'!BX135</f>
        <v>0.32314410480349343</v>
      </c>
      <c r="AN135" t="str">
        <f>'[1]Forward Ranks'!B135</f>
        <v>EDM</v>
      </c>
      <c r="AO135">
        <f>'[1]F on ice'!E135</f>
        <v>41</v>
      </c>
      <c r="AP135" s="2">
        <f>'[1]Impact Score Math'!E135</f>
        <v>0.58917835671342689</v>
      </c>
      <c r="AQ135">
        <f>'[1]Impact Score Math'!G135</f>
        <v>206</v>
      </c>
      <c r="AT135" s="1">
        <f>'[1]Forward Ranks'!CJ135</f>
        <v>4.8034934497816595E-2</v>
      </c>
      <c r="AU135" s="1">
        <f>'[1]Forward Ranks'!CK135</f>
        <v>0.888646288209607</v>
      </c>
    </row>
    <row r="136" spans="1:47" x14ac:dyDescent="0.3">
      <c r="A136" t="str">
        <f>'[1]Forward Ranks'!A136</f>
        <v>Evgeni Malkin</v>
      </c>
      <c r="B136">
        <f>'[1]Forward Ranks'!D136</f>
        <v>0</v>
      </c>
      <c r="C136" s="1">
        <f>'[1]Forward Ranks'!I136</f>
        <v>0.9366812227074236</v>
      </c>
      <c r="D136" s="1">
        <f>'[1]Forward Ranks'!J136</f>
        <v>0.91703056768558955</v>
      </c>
      <c r="E136" s="1">
        <f>'[1]Forward Ranks'!K136</f>
        <v>0.67685589519650657</v>
      </c>
      <c r="F136" s="1">
        <f>'[1]Forward Ranks'!L136</f>
        <v>0.9606986899563319</v>
      </c>
      <c r="G136">
        <f>'[1]Forward Ranks'!N136</f>
        <v>0</v>
      </c>
      <c r="H136" s="1">
        <f>'[1]Forward Ranks'!S136</f>
        <v>0.67685589519650657</v>
      </c>
      <c r="I136" s="1">
        <f>'[1]Forward Ranks'!T136</f>
        <v>0.92794759825327511</v>
      </c>
      <c r="J136" s="1">
        <f>'[1]Forward Ranks'!U136</f>
        <v>0.95633187772925765</v>
      </c>
      <c r="K136" s="1">
        <f>'[1]Forward Ranks'!V136</f>
        <v>0.888646288209607</v>
      </c>
      <c r="L136">
        <f>'[1]Forward Ranks'!X136</f>
        <v>0</v>
      </c>
      <c r="M136" s="1">
        <f>'[1]Forward Ranks'!AC136</f>
        <v>0.54366812227074235</v>
      </c>
      <c r="N136" s="1">
        <f>'[1]Forward Ranks'!AD136</f>
        <v>0.4759825327510917</v>
      </c>
      <c r="O136" s="1">
        <f>'[1]Forward Ranks'!AE136</f>
        <v>0.40611353711790393</v>
      </c>
      <c r="P136" s="1">
        <f>'[1]Forward Ranks'!AF136</f>
        <v>0.39082969432314413</v>
      </c>
      <c r="Q136">
        <f>'[1]Forward Ranks'!AH136</f>
        <v>0</v>
      </c>
      <c r="R136" s="1">
        <f>'[1]Forward Ranks'!AM136</f>
        <v>0.85589519650655022</v>
      </c>
      <c r="S136" s="1">
        <f>'[1]Forward Ranks'!AN136</f>
        <v>0.81441048034934493</v>
      </c>
      <c r="T136" s="1">
        <f>'[1]Forward Ranks'!AO136</f>
        <v>0.69650655021834063</v>
      </c>
      <c r="U136" s="1">
        <f>'[1]Forward Ranks'!AP136</f>
        <v>0.90611353711790388</v>
      </c>
      <c r="V136">
        <f>'[1]Forward Ranks'!AR136</f>
        <v>0</v>
      </c>
      <c r="W136" s="1">
        <f>'[1]Forward Ranks'!AW136</f>
        <v>0.69650655021834063</v>
      </c>
      <c r="X136" s="1">
        <f>'[1]Forward Ranks'!AX136</f>
        <v>0.60480349344978168</v>
      </c>
      <c r="Y136" s="1">
        <f>'[1]Forward Ranks'!AY136</f>
        <v>0.46288209606986902</v>
      </c>
      <c r="Z136" s="1">
        <f>'[1]Forward Ranks'!AZ136</f>
        <v>0.36462882096069871</v>
      </c>
      <c r="AA136">
        <f>'[1]Forward Ranks'!BB136</f>
        <v>0</v>
      </c>
      <c r="AB136" s="1">
        <f>'[1]Forward Ranks'!BG136</f>
        <v>0.82751091703056767</v>
      </c>
      <c r="AC136" s="1">
        <f>'[1]Forward Ranks'!BH136</f>
        <v>0.98253275109170302</v>
      </c>
      <c r="AD136" s="1">
        <f>'[1]Forward Ranks'!BI136</f>
        <v>0.3296943231441048</v>
      </c>
      <c r="AE136" s="1">
        <f>'[1]Forward Ranks'!BJ136</f>
        <v>0.35807860262008734</v>
      </c>
      <c r="AF136">
        <f>'[1]Forward Ranks'!BL136</f>
        <v>0</v>
      </c>
      <c r="AG136" s="1">
        <f>'[1]Forward Ranks'!BQ136</f>
        <v>0.88209606986899558</v>
      </c>
      <c r="AH136" s="1">
        <f>'[1]Forward Ranks'!BR136</f>
        <v>0.8733624454148472</v>
      </c>
      <c r="AI136" s="1">
        <f>'[1]Forward Ranks'!BS136</f>
        <v>0.57423580786026196</v>
      </c>
      <c r="AJ136" s="1">
        <f>'[1]Forward Ranks'!BT136</f>
        <v>0.89956331877729256</v>
      </c>
      <c r="AL136" s="2">
        <f>'[1]Forward Ranks'!BX136</f>
        <v>0.92794759825327511</v>
      </c>
      <c r="AN136" t="str">
        <f>'[1]Forward Ranks'!B136</f>
        <v>PIT</v>
      </c>
      <c r="AO136">
        <f>'[1]F on ice'!E136</f>
        <v>82</v>
      </c>
      <c r="AP136" s="2">
        <f>'[1]Impact Score Math'!E136</f>
        <v>0.93787575150300606</v>
      </c>
      <c r="AQ136">
        <f>'[1]Impact Score Math'!G136</f>
        <v>32</v>
      </c>
      <c r="AT136" s="1">
        <f>'[1]Forward Ranks'!CJ136</f>
        <v>0.12882096069868995</v>
      </c>
      <c r="AU136" s="1">
        <f>'[1]Forward Ranks'!CK136</f>
        <v>0.69868995633187769</v>
      </c>
    </row>
    <row r="137" spans="1:47" x14ac:dyDescent="0.3">
      <c r="A137" t="str">
        <f>'[1]Forward Ranks'!A137</f>
        <v>Evgenii Dadonov</v>
      </c>
      <c r="B137">
        <f>'[1]Forward Ranks'!D137</f>
        <v>0</v>
      </c>
      <c r="C137" s="1">
        <f>'[1]Forward Ranks'!I137</f>
        <v>0.44759825327510916</v>
      </c>
      <c r="D137" s="1">
        <f>'[1]Forward Ranks'!J137</f>
        <v>0.72270742358078599</v>
      </c>
      <c r="E137" s="1">
        <f>'[1]Forward Ranks'!K137</f>
        <v>0.48471615720524019</v>
      </c>
      <c r="F137" s="1">
        <f>'[1]Forward Ranks'!L137</f>
        <v>0.67030567685589515</v>
      </c>
      <c r="G137">
        <f>'[1]Forward Ranks'!N137</f>
        <v>0</v>
      </c>
      <c r="H137" s="1">
        <f>'[1]Forward Ranks'!S137</f>
        <v>0.23144104803493451</v>
      </c>
      <c r="I137" s="1">
        <f>'[1]Forward Ranks'!T137</f>
        <v>0.56113537117903933</v>
      </c>
      <c r="J137" s="1">
        <f>'[1]Forward Ranks'!U137</f>
        <v>0.48034934497816595</v>
      </c>
      <c r="K137" s="1">
        <f>'[1]Forward Ranks'!V137</f>
        <v>0.37117903930131002</v>
      </c>
      <c r="L137">
        <f>'[1]Forward Ranks'!X137</f>
        <v>0</v>
      </c>
      <c r="M137" s="1">
        <f>'[1]Forward Ranks'!AC137</f>
        <v>0.38427947598253276</v>
      </c>
      <c r="N137" s="1">
        <f>'[1]Forward Ranks'!AD137</f>
        <v>0.51310043668122274</v>
      </c>
      <c r="O137" s="1">
        <f>'[1]Forward Ranks'!AE137</f>
        <v>0.31004366812227074</v>
      </c>
      <c r="P137" s="1">
        <f>'[1]Forward Ranks'!AF137</f>
        <v>0.22707423580786026</v>
      </c>
      <c r="Q137">
        <f>'[1]Forward Ranks'!AH137</f>
        <v>0</v>
      </c>
      <c r="R137" s="1">
        <f>'[1]Forward Ranks'!AM137</f>
        <v>0.68995633187772931</v>
      </c>
      <c r="S137" s="1">
        <f>'[1]Forward Ranks'!AN137</f>
        <v>0.88427947598253276</v>
      </c>
      <c r="T137" s="1">
        <f>'[1]Forward Ranks'!AO137</f>
        <v>0.49126637554585151</v>
      </c>
      <c r="U137" s="1">
        <f>'[1]Forward Ranks'!AP137</f>
        <v>0.86244541484716153</v>
      </c>
      <c r="V137">
        <f>'[1]Forward Ranks'!AR137</f>
        <v>0</v>
      </c>
      <c r="W137" s="1">
        <f>'[1]Forward Ranks'!AW137</f>
        <v>0.1943231441048035</v>
      </c>
      <c r="X137" s="1">
        <f>'[1]Forward Ranks'!AX137</f>
        <v>0.38209606986899564</v>
      </c>
      <c r="Y137" s="1">
        <f>'[1]Forward Ranks'!AY137</f>
        <v>0.35589519650655022</v>
      </c>
      <c r="Z137" s="1">
        <f>'[1]Forward Ranks'!AZ137</f>
        <v>0.18122270742358079</v>
      </c>
      <c r="AA137">
        <f>'[1]Forward Ranks'!BB137</f>
        <v>0</v>
      </c>
      <c r="AB137" s="1">
        <f>'[1]Forward Ranks'!BG137</f>
        <v>0.55240174672489084</v>
      </c>
      <c r="AC137" s="1">
        <f>'[1]Forward Ranks'!BH137</f>
        <v>0.57641921397379914</v>
      </c>
      <c r="AD137" s="1">
        <f>'[1]Forward Ranks'!BI137</f>
        <v>0.53493449781659386</v>
      </c>
      <c r="AE137" s="1">
        <f>'[1]Forward Ranks'!BJ137</f>
        <v>0.46288209606986902</v>
      </c>
      <c r="AF137">
        <f>'[1]Forward Ranks'!BL137</f>
        <v>0</v>
      </c>
      <c r="AG137" s="1">
        <f>'[1]Forward Ranks'!BQ137</f>
        <v>0.39519650655021832</v>
      </c>
      <c r="AH137" s="1">
        <f>'[1]Forward Ranks'!BR137</f>
        <v>0.66157205240174677</v>
      </c>
      <c r="AI137" s="1">
        <f>'[1]Forward Ranks'!BS137</f>
        <v>0.38646288209606988</v>
      </c>
      <c r="AJ137" s="1">
        <f>'[1]Forward Ranks'!BT137</f>
        <v>0.4606986899563319</v>
      </c>
      <c r="AL137" s="2">
        <f>'[1]Forward Ranks'!BX137</f>
        <v>0.44104803493449779</v>
      </c>
      <c r="AN137" t="str">
        <f>'[1]Forward Ranks'!B137</f>
        <v>DAL, MTL</v>
      </c>
      <c r="AO137">
        <f>'[1]F on ice'!E137</f>
        <v>73</v>
      </c>
      <c r="AP137" s="2">
        <f>'[1]Impact Score Math'!E137</f>
        <v>0.51102204408817631</v>
      </c>
      <c r="AQ137">
        <f>'[1]Impact Score Math'!G137</f>
        <v>245</v>
      </c>
      <c r="AT137" s="1">
        <f>'[1]Forward Ranks'!CJ137</f>
        <v>0.61572052401746724</v>
      </c>
      <c r="AU137" s="1">
        <f>'[1]Forward Ranks'!CK137</f>
        <v>0.19213973799126638</v>
      </c>
    </row>
    <row r="138" spans="1:47" x14ac:dyDescent="0.3">
      <c r="A138" t="str">
        <f>'[1]Forward Ranks'!A138</f>
        <v>Evgeny Kuznetsov</v>
      </c>
      <c r="B138">
        <f>'[1]Forward Ranks'!D138</f>
        <v>0</v>
      </c>
      <c r="C138" s="1">
        <f>'[1]Forward Ranks'!I138</f>
        <v>0.41921397379912662</v>
      </c>
      <c r="D138" s="1">
        <f>'[1]Forward Ranks'!J138</f>
        <v>0.3056768558951965</v>
      </c>
      <c r="E138" s="1">
        <f>'[1]Forward Ranks'!K138</f>
        <v>0.56550218340611358</v>
      </c>
      <c r="F138" s="1">
        <f>'[1]Forward Ranks'!L138</f>
        <v>0.3056768558951965</v>
      </c>
      <c r="G138">
        <f>'[1]Forward Ranks'!N138</f>
        <v>0</v>
      </c>
      <c r="H138" s="1">
        <f>'[1]Forward Ranks'!S138</f>
        <v>9.8253275109170299E-2</v>
      </c>
      <c r="I138" s="1">
        <f>'[1]Forward Ranks'!T138</f>
        <v>0.88209606986899558</v>
      </c>
      <c r="J138" s="1">
        <f>'[1]Forward Ranks'!U138</f>
        <v>0.91921397379912662</v>
      </c>
      <c r="K138" s="1">
        <f>'[1]Forward Ranks'!V138</f>
        <v>0.611353711790393</v>
      </c>
      <c r="L138">
        <f>'[1]Forward Ranks'!X138</f>
        <v>0</v>
      </c>
      <c r="M138" s="1">
        <f>'[1]Forward Ranks'!AC138</f>
        <v>0.17467248908296942</v>
      </c>
      <c r="N138" s="1">
        <f>'[1]Forward Ranks'!AD138</f>
        <v>6.1135371179039298E-2</v>
      </c>
      <c r="O138" s="1">
        <f>'[1]Forward Ranks'!AE138</f>
        <v>0.26200873362445415</v>
      </c>
      <c r="P138" s="1">
        <f>'[1]Forward Ranks'!AF138</f>
        <v>4.8034934497816595E-2</v>
      </c>
      <c r="Q138">
        <f>'[1]Forward Ranks'!AH138</f>
        <v>0</v>
      </c>
      <c r="R138" s="1">
        <f>'[1]Forward Ranks'!AM138</f>
        <v>0.31222707423580787</v>
      </c>
      <c r="S138" s="1">
        <f>'[1]Forward Ranks'!AN138</f>
        <v>0.20087336244541484</v>
      </c>
      <c r="T138" s="1">
        <f>'[1]Forward Ranks'!AO138</f>
        <v>0.53056768558951961</v>
      </c>
      <c r="U138" s="1">
        <f>'[1]Forward Ranks'!AP138</f>
        <v>0.18777292576419213</v>
      </c>
      <c r="V138">
        <f>'[1]Forward Ranks'!AR138</f>
        <v>0</v>
      </c>
      <c r="W138" s="1">
        <f>'[1]Forward Ranks'!AW138</f>
        <v>0.14410480349344978</v>
      </c>
      <c r="X138" s="1">
        <f>'[1]Forward Ranks'!AX138</f>
        <v>2.1834061135371178E-2</v>
      </c>
      <c r="Y138" s="1">
        <f>'[1]Forward Ranks'!AY138</f>
        <v>0.31441048034934499</v>
      </c>
      <c r="Z138" s="1">
        <f>'[1]Forward Ranks'!AZ138</f>
        <v>1.0917030567685589E-2</v>
      </c>
      <c r="AA138">
        <f>'[1]Forward Ranks'!BB138</f>
        <v>0</v>
      </c>
      <c r="AB138" s="1">
        <f>'[1]Forward Ranks'!BG138</f>
        <v>0.63755458515283847</v>
      </c>
      <c r="AC138" s="1">
        <f>'[1]Forward Ranks'!BH138</f>
        <v>0.90611353711790388</v>
      </c>
      <c r="AD138" s="1">
        <f>'[1]Forward Ranks'!BI138</f>
        <v>0.76200873362445409</v>
      </c>
      <c r="AE138" s="1">
        <f>'[1]Forward Ranks'!BJ138</f>
        <v>0.57860262008733621</v>
      </c>
      <c r="AF138">
        <f>'[1]Forward Ranks'!BL138</f>
        <v>0</v>
      </c>
      <c r="AG138" s="1">
        <f>'[1]Forward Ranks'!BQ138</f>
        <v>0.27729257641921395</v>
      </c>
      <c r="AH138" s="1">
        <f>'[1]Forward Ranks'!BR138</f>
        <v>0.12445414847161572</v>
      </c>
      <c r="AI138" s="1">
        <f>'[1]Forward Ranks'!BS138</f>
        <v>0.39956331877729256</v>
      </c>
      <c r="AJ138" s="1">
        <f>'[1]Forward Ranks'!BT138</f>
        <v>0.10480349344978165</v>
      </c>
      <c r="AL138" s="2">
        <f>'[1]Forward Ranks'!BX138</f>
        <v>0.1222707423580786</v>
      </c>
      <c r="AN138" t="str">
        <f>'[1]Forward Ranks'!B138</f>
        <v>WSH</v>
      </c>
      <c r="AO138">
        <f>'[1]F on ice'!E138</f>
        <v>81</v>
      </c>
      <c r="AP138" s="2">
        <f>'[1]Impact Score Math'!E138</f>
        <v>0.24448897795591182</v>
      </c>
      <c r="AQ138">
        <f>'[1]Impact Score Math'!G138</f>
        <v>378</v>
      </c>
      <c r="AT138" s="1">
        <f>'[1]Forward Ranks'!CJ138</f>
        <v>0.15502183406113537</v>
      </c>
      <c r="AU138" s="1">
        <f>'[1]Forward Ranks'!CK138</f>
        <v>0.3296943231441048</v>
      </c>
    </row>
    <row r="139" spans="1:47" x14ac:dyDescent="0.3">
      <c r="A139" t="str">
        <f>'[1]Forward Ranks'!A139</f>
        <v>Evgeny Svechnikov</v>
      </c>
      <c r="B139">
        <f>'[1]Forward Ranks'!D139</f>
        <v>0</v>
      </c>
      <c r="C139" s="1">
        <f>'[1]Forward Ranks'!I139</f>
        <v>0.29694323144104806</v>
      </c>
      <c r="D139" s="1">
        <f>'[1]Forward Ranks'!J139</f>
        <v>0.77292576419213976</v>
      </c>
      <c r="E139" s="1">
        <f>'[1]Forward Ranks'!K139</f>
        <v>0.51965065502183405</v>
      </c>
      <c r="F139" s="1">
        <f>'[1]Forward Ranks'!L139</f>
        <v>0.48689956331877732</v>
      </c>
      <c r="G139">
        <f>'[1]Forward Ranks'!N139</f>
        <v>0</v>
      </c>
      <c r="H139" s="1">
        <f>'[1]Forward Ranks'!S139</f>
        <v>0.65938864628820959</v>
      </c>
      <c r="I139" s="1">
        <f>'[1]Forward Ranks'!T139</f>
        <v>0.1703056768558952</v>
      </c>
      <c r="J139" s="1">
        <f>'[1]Forward Ranks'!U139</f>
        <v>0.44104803493449779</v>
      </c>
      <c r="K139" s="1">
        <f>'[1]Forward Ranks'!V139</f>
        <v>0.34061135371179041</v>
      </c>
      <c r="L139">
        <f>'[1]Forward Ranks'!X139</f>
        <v>0</v>
      </c>
      <c r="M139" s="1">
        <f>'[1]Forward Ranks'!AC139</f>
        <v>0.35589519650655022</v>
      </c>
      <c r="N139" s="1">
        <f>'[1]Forward Ranks'!AD139</f>
        <v>0.16812227074235808</v>
      </c>
      <c r="O139" s="1">
        <f>'[1]Forward Ranks'!AE139</f>
        <v>0.18995633187772926</v>
      </c>
      <c r="P139" s="1">
        <f>'[1]Forward Ranks'!AF139</f>
        <v>0.36244541484716158</v>
      </c>
      <c r="Q139">
        <f>'[1]Forward Ranks'!AH139</f>
        <v>0</v>
      </c>
      <c r="R139" s="1">
        <f>'[1]Forward Ranks'!AM139</f>
        <v>0.32314410480349343</v>
      </c>
      <c r="S139" s="1">
        <f>'[1]Forward Ranks'!AN139</f>
        <v>0.34061135371179041</v>
      </c>
      <c r="T139" s="1">
        <f>'[1]Forward Ranks'!AO139</f>
        <v>0.66157205240174677</v>
      </c>
      <c r="U139" s="1">
        <f>'[1]Forward Ranks'!AP139</f>
        <v>0.2205240174672489</v>
      </c>
      <c r="V139">
        <f>'[1]Forward Ranks'!AR139</f>
        <v>0</v>
      </c>
      <c r="W139" s="1">
        <f>'[1]Forward Ranks'!AW139</f>
        <v>0.44323144104803491</v>
      </c>
      <c r="X139" s="1">
        <f>'[1]Forward Ranks'!AX139</f>
        <v>0.15720524017467249</v>
      </c>
      <c r="Y139" s="1">
        <f>'[1]Forward Ranks'!AY139</f>
        <v>0.71179039301310043</v>
      </c>
      <c r="Z139" s="1">
        <f>'[1]Forward Ranks'!AZ139</f>
        <v>0.49563318777292575</v>
      </c>
      <c r="AA139">
        <f>'[1]Forward Ranks'!BB139</f>
        <v>0</v>
      </c>
      <c r="AB139" s="1">
        <f>'[1]Forward Ranks'!BG139</f>
        <v>0.17685589519650655</v>
      </c>
      <c r="AC139" s="1">
        <f>'[1]Forward Ranks'!BH139</f>
        <v>0.29912663755458513</v>
      </c>
      <c r="AD139" s="1">
        <f>'[1]Forward Ranks'!BI139</f>
        <v>0.79694323144104806</v>
      </c>
      <c r="AE139" s="1">
        <f>'[1]Forward Ranks'!BJ139</f>
        <v>0.50436681222707425</v>
      </c>
      <c r="AF139">
        <f>'[1]Forward Ranks'!BL139</f>
        <v>0</v>
      </c>
      <c r="AG139" s="1">
        <f>'[1]Forward Ranks'!BQ139</f>
        <v>0.29257641921397382</v>
      </c>
      <c r="AH139" s="1">
        <f>'[1]Forward Ranks'!BR139</f>
        <v>0.50873362445414849</v>
      </c>
      <c r="AI139" s="1">
        <f>'[1]Forward Ranks'!BS139</f>
        <v>0.31441048034934499</v>
      </c>
      <c r="AJ139" s="1">
        <f>'[1]Forward Ranks'!BT139</f>
        <v>0.40393013100436681</v>
      </c>
      <c r="AL139" s="2">
        <f>'[1]Forward Ranks'!BX139</f>
        <v>0.25327510917030566</v>
      </c>
      <c r="AN139" t="str">
        <f>'[1]Forward Ranks'!B139</f>
        <v>S.J</v>
      </c>
      <c r="AO139">
        <f>'[1]F on ice'!E139</f>
        <v>59</v>
      </c>
      <c r="AP139" s="2">
        <f>'[1]Impact Score Math'!E139</f>
        <v>0.28056112224448898</v>
      </c>
      <c r="AQ139">
        <f>'[1]Impact Score Math'!G139</f>
        <v>360</v>
      </c>
      <c r="AT139" s="1">
        <f>'[1]Forward Ranks'!CJ139</f>
        <v>0.17248908296943233</v>
      </c>
      <c r="AU139" s="1">
        <f>'[1]Forward Ranks'!CK139</f>
        <v>0.64192139737991272</v>
      </c>
    </row>
    <row r="140" spans="1:47" x14ac:dyDescent="0.3">
      <c r="A140" t="str">
        <f>'[1]Forward Ranks'!A140</f>
        <v>Fabian Zetterlund</v>
      </c>
      <c r="B140">
        <f>'[1]Forward Ranks'!D140</f>
        <v>0</v>
      </c>
      <c r="C140" s="1">
        <f>'[1]Forward Ranks'!I140</f>
        <v>0.63973799126637554</v>
      </c>
      <c r="D140" s="1">
        <f>'[1]Forward Ranks'!J140</f>
        <v>0.69213973799126638</v>
      </c>
      <c r="E140" s="1">
        <f>'[1]Forward Ranks'!K140</f>
        <v>0.40393013100436681</v>
      </c>
      <c r="F140" s="1">
        <f>'[1]Forward Ranks'!L140</f>
        <v>0.67030567685589515</v>
      </c>
      <c r="G140">
        <f>'[1]Forward Ranks'!N140</f>
        <v>0</v>
      </c>
      <c r="H140" s="1">
        <f>'[1]Forward Ranks'!S140</f>
        <v>0.1222707423580786</v>
      </c>
      <c r="I140" s="1">
        <f>'[1]Forward Ranks'!T140</f>
        <v>0.6506550218340611</v>
      </c>
      <c r="J140" s="1">
        <f>'[1]Forward Ranks'!U140</f>
        <v>0.81441048034934493</v>
      </c>
      <c r="K140" s="1">
        <f>'[1]Forward Ranks'!V140</f>
        <v>0.39082969432314413</v>
      </c>
      <c r="L140">
        <f>'[1]Forward Ranks'!X140</f>
        <v>0</v>
      </c>
      <c r="M140" s="1">
        <f>'[1]Forward Ranks'!AC140</f>
        <v>0.27510917030567683</v>
      </c>
      <c r="N140" s="1">
        <f>'[1]Forward Ranks'!AD140</f>
        <v>0.49563318777292575</v>
      </c>
      <c r="O140" s="1">
        <f>'[1]Forward Ranks'!AE140</f>
        <v>0.51528384279475981</v>
      </c>
      <c r="P140" s="1">
        <f>'[1]Forward Ranks'!AF140</f>
        <v>0.22925764192139739</v>
      </c>
      <c r="Q140">
        <f>'[1]Forward Ranks'!AH140</f>
        <v>0</v>
      </c>
      <c r="R140" s="1">
        <f>'[1]Forward Ranks'!AM140</f>
        <v>0.48689956331877732</v>
      </c>
      <c r="S140" s="1">
        <f>'[1]Forward Ranks'!AN140</f>
        <v>0.43449781659388648</v>
      </c>
      <c r="T140" s="1">
        <f>'[1]Forward Ranks'!AO140</f>
        <v>0.34279475982532753</v>
      </c>
      <c r="U140" s="1">
        <f>'[1]Forward Ranks'!AP140</f>
        <v>0.41048034934497818</v>
      </c>
      <c r="V140">
        <f>'[1]Forward Ranks'!AR140</f>
        <v>0</v>
      </c>
      <c r="W140" s="1">
        <f>'[1]Forward Ranks'!AW140</f>
        <v>0.18995633187772926</v>
      </c>
      <c r="X140" s="1">
        <f>'[1]Forward Ranks'!AX140</f>
        <v>0.45196506550218341</v>
      </c>
      <c r="Y140" s="1">
        <f>'[1]Forward Ranks'!AY140</f>
        <v>0.68558951965065507</v>
      </c>
      <c r="Z140" s="1">
        <f>'[1]Forward Ranks'!AZ140</f>
        <v>0.26637554585152839</v>
      </c>
      <c r="AA140">
        <f>'[1]Forward Ranks'!BB140</f>
        <v>0</v>
      </c>
      <c r="AB140" s="1">
        <f>'[1]Forward Ranks'!BG140</f>
        <v>0.5</v>
      </c>
      <c r="AC140" s="1">
        <f>'[1]Forward Ranks'!BH140</f>
        <v>0.32751091703056767</v>
      </c>
      <c r="AD140" s="1">
        <f>'[1]Forward Ranks'!BI140</f>
        <v>0.31004366812227074</v>
      </c>
      <c r="AE140" s="1">
        <f>'[1]Forward Ranks'!BJ140</f>
        <v>0.388646288209607</v>
      </c>
      <c r="AF140">
        <f>'[1]Forward Ranks'!BL140</f>
        <v>0</v>
      </c>
      <c r="AG140" s="1">
        <f>'[1]Forward Ranks'!BQ140</f>
        <v>0.48034934497816595</v>
      </c>
      <c r="AH140" s="1">
        <f>'[1]Forward Ranks'!BR140</f>
        <v>0.60480349344978168</v>
      </c>
      <c r="AI140" s="1">
        <f>'[1]Forward Ranks'!BS140</f>
        <v>0.43013100436681223</v>
      </c>
      <c r="AJ140" s="1">
        <f>'[1]Forward Ranks'!BT140</f>
        <v>0.45633187772925765</v>
      </c>
      <c r="AL140" s="2">
        <f>'[1]Forward Ranks'!BX140</f>
        <v>0.31222707423580787</v>
      </c>
      <c r="AN140" t="str">
        <f>'[1]Forward Ranks'!B140</f>
        <v>N.J, S.J</v>
      </c>
      <c r="AO140">
        <f>'[1]F on ice'!E140</f>
        <v>67</v>
      </c>
      <c r="AP140" s="2">
        <f>'[1]Impact Score Math'!E140</f>
        <v>0.4148296593186373</v>
      </c>
      <c r="AQ140">
        <f>'[1]Impact Score Math'!G140</f>
        <v>293</v>
      </c>
      <c r="AT140" s="1">
        <f>'[1]Forward Ranks'!CJ140</f>
        <v>0.71834061135371174</v>
      </c>
      <c r="AU140" s="1">
        <f>'[1]Forward Ranks'!CK140</f>
        <v>0.30349344978165937</v>
      </c>
    </row>
    <row r="141" spans="1:47" x14ac:dyDescent="0.3">
      <c r="A141" t="str">
        <f>'[1]Forward Ranks'!A141</f>
        <v>Filip Chytil</v>
      </c>
      <c r="B141">
        <f>'[1]Forward Ranks'!D141</f>
        <v>0</v>
      </c>
      <c r="C141" s="1">
        <f>'[1]Forward Ranks'!I141</f>
        <v>0.38427947598253276</v>
      </c>
      <c r="D141" s="1">
        <f>'[1]Forward Ranks'!J141</f>
        <v>0.49563318777292575</v>
      </c>
      <c r="E141" s="1">
        <f>'[1]Forward Ranks'!K141</f>
        <v>0.79912663755458513</v>
      </c>
      <c r="F141" s="1">
        <f>'[1]Forward Ranks'!L141</f>
        <v>0.4606986899563319</v>
      </c>
      <c r="G141">
        <f>'[1]Forward Ranks'!N141</f>
        <v>0</v>
      </c>
      <c r="H141" s="1">
        <f>'[1]Forward Ranks'!S141</f>
        <v>0.84716157205240172</v>
      </c>
      <c r="I141" s="1">
        <f>'[1]Forward Ranks'!T141</f>
        <v>0.69868995633187769</v>
      </c>
      <c r="J141" s="1">
        <f>'[1]Forward Ranks'!U141</f>
        <v>0.83406113537117899</v>
      </c>
      <c r="K141" s="1">
        <f>'[1]Forward Ranks'!V141</f>
        <v>0.85807860262008728</v>
      </c>
      <c r="L141">
        <f>'[1]Forward Ranks'!X141</f>
        <v>0</v>
      </c>
      <c r="M141" s="1">
        <f>'[1]Forward Ranks'!AC141</f>
        <v>0.70087336244541487</v>
      </c>
      <c r="N141" s="1">
        <f>'[1]Forward Ranks'!AD141</f>
        <v>0.36026200873362446</v>
      </c>
      <c r="O141" s="1">
        <f>'[1]Forward Ranks'!AE141</f>
        <v>0.67903930131004364</v>
      </c>
      <c r="P141" s="1">
        <f>'[1]Forward Ranks'!AF141</f>
        <v>0.47816593886462883</v>
      </c>
      <c r="Q141">
        <f>'[1]Forward Ranks'!AH141</f>
        <v>0</v>
      </c>
      <c r="R141" s="1">
        <f>'[1]Forward Ranks'!AM141</f>
        <v>0.51965065502183405</v>
      </c>
      <c r="S141" s="1">
        <f>'[1]Forward Ranks'!AN141</f>
        <v>0.54366812227074235</v>
      </c>
      <c r="T141" s="1">
        <f>'[1]Forward Ranks'!AO141</f>
        <v>0.72925764192139741</v>
      </c>
      <c r="U141" s="1">
        <f>'[1]Forward Ranks'!AP141</f>
        <v>0.57641921397379914</v>
      </c>
      <c r="V141">
        <f>'[1]Forward Ranks'!AR141</f>
        <v>0</v>
      </c>
      <c r="W141" s="1">
        <f>'[1]Forward Ranks'!AW141</f>
        <v>0.58951965065502188</v>
      </c>
      <c r="X141" s="1">
        <f>'[1]Forward Ranks'!AX141</f>
        <v>0.55021834061135366</v>
      </c>
      <c r="Y141" s="1">
        <f>'[1]Forward Ranks'!AY141</f>
        <v>0.52620087336244536</v>
      </c>
      <c r="Z141" s="1">
        <f>'[1]Forward Ranks'!AZ141</f>
        <v>0.53493449781659386</v>
      </c>
      <c r="AA141">
        <f>'[1]Forward Ranks'!BB141</f>
        <v>0</v>
      </c>
      <c r="AB141" s="1">
        <f>'[1]Forward Ranks'!BG141</f>
        <v>0.59388646288209612</v>
      </c>
      <c r="AC141" s="1">
        <f>'[1]Forward Ranks'!BH141</f>
        <v>0.73362445414847166</v>
      </c>
      <c r="AD141" s="1">
        <f>'[1]Forward Ranks'!BI141</f>
        <v>0.8733624454148472</v>
      </c>
      <c r="AE141" s="1">
        <f>'[1]Forward Ranks'!BJ141</f>
        <v>0.87117903930131002</v>
      </c>
      <c r="AF141">
        <f>'[1]Forward Ranks'!BL141</f>
        <v>0</v>
      </c>
      <c r="AG141" s="1">
        <f>'[1]Forward Ranks'!BQ141</f>
        <v>0.53056768558951961</v>
      </c>
      <c r="AH141" s="1">
        <f>'[1]Forward Ranks'!BR141</f>
        <v>0.40393013100436681</v>
      </c>
      <c r="AI141" s="1">
        <f>'[1]Forward Ranks'!BS141</f>
        <v>0.84279475982532748</v>
      </c>
      <c r="AJ141" s="1">
        <f>'[1]Forward Ranks'!BT141</f>
        <v>0.46506550218340609</v>
      </c>
      <c r="AL141" s="2">
        <f>'[1]Forward Ranks'!BX141</f>
        <v>0.66157205240174677</v>
      </c>
      <c r="AN141" t="str">
        <f>'[1]Forward Ranks'!B141</f>
        <v>NYR</v>
      </c>
      <c r="AO141">
        <f>'[1]F on ice'!E141</f>
        <v>74</v>
      </c>
      <c r="AP141" s="2">
        <f>'[1]Impact Score Math'!E141</f>
        <v>0.69939879759519041</v>
      </c>
      <c r="AQ141">
        <f>'[1]Impact Score Math'!G141</f>
        <v>151</v>
      </c>
      <c r="AT141" s="1">
        <f>'[1]Forward Ranks'!CJ141</f>
        <v>0.41484716157205243</v>
      </c>
      <c r="AU141" s="1">
        <f>'[1]Forward Ranks'!CK141</f>
        <v>0.57205240174672489</v>
      </c>
    </row>
    <row r="142" spans="1:47" x14ac:dyDescent="0.3">
      <c r="A142" t="str">
        <f>'[1]Forward Ranks'!A142</f>
        <v>Filip Forsberg</v>
      </c>
      <c r="B142">
        <f>'[1]Forward Ranks'!D142</f>
        <v>0</v>
      </c>
      <c r="C142" s="1">
        <f>'[1]Forward Ranks'!I142</f>
        <v>0.75327510917030571</v>
      </c>
      <c r="D142" s="1">
        <f>'[1]Forward Ranks'!J142</f>
        <v>0.82096069868995636</v>
      </c>
      <c r="E142" s="1">
        <f>'[1]Forward Ranks'!K142</f>
        <v>0.87772925764192145</v>
      </c>
      <c r="F142" s="1">
        <f>'[1]Forward Ranks'!L142</f>
        <v>0.84279475982532748</v>
      </c>
      <c r="G142">
        <f>'[1]Forward Ranks'!N142</f>
        <v>0</v>
      </c>
      <c r="H142" s="1">
        <f>'[1]Forward Ranks'!S142</f>
        <v>0.94759825327510916</v>
      </c>
      <c r="I142" s="1">
        <f>'[1]Forward Ranks'!T142</f>
        <v>0.65938864628820959</v>
      </c>
      <c r="J142" s="1">
        <f>'[1]Forward Ranks'!U142</f>
        <v>0.72925764192139741</v>
      </c>
      <c r="K142" s="1">
        <f>'[1]Forward Ranks'!V142</f>
        <v>0.90611353711790388</v>
      </c>
      <c r="L142">
        <f>'[1]Forward Ranks'!X142</f>
        <v>0</v>
      </c>
      <c r="M142" s="1">
        <f>'[1]Forward Ranks'!AC142</f>
        <v>0.18558951965065501</v>
      </c>
      <c r="N142" s="1">
        <f>'[1]Forward Ranks'!AD142</f>
        <v>0.22489082969432314</v>
      </c>
      <c r="O142" s="1">
        <f>'[1]Forward Ranks'!AE142</f>
        <v>0.25545851528384278</v>
      </c>
      <c r="P142" s="1">
        <f>'[1]Forward Ranks'!AF142</f>
        <v>0.17248908296943233</v>
      </c>
      <c r="Q142">
        <f>'[1]Forward Ranks'!AH142</f>
        <v>0</v>
      </c>
      <c r="R142" s="1">
        <f>'[1]Forward Ranks'!AM142</f>
        <v>0.69650655021834063</v>
      </c>
      <c r="S142" s="1">
        <f>'[1]Forward Ranks'!AN142</f>
        <v>0.84497816593886466</v>
      </c>
      <c r="T142" s="1">
        <f>'[1]Forward Ranks'!AO142</f>
        <v>0.95414847161572047</v>
      </c>
      <c r="U142" s="1">
        <f>'[1]Forward Ranks'!AP142</f>
        <v>0.76419213973799127</v>
      </c>
      <c r="V142">
        <f>'[1]Forward Ranks'!AR142</f>
        <v>0</v>
      </c>
      <c r="W142" s="1">
        <f>'[1]Forward Ranks'!AW142</f>
        <v>0.42794759825327511</v>
      </c>
      <c r="X142" s="1">
        <f>'[1]Forward Ranks'!AX142</f>
        <v>0.2816593886462882</v>
      </c>
      <c r="Y142" s="1">
        <f>'[1]Forward Ranks'!AY142</f>
        <v>3.4934497816593885E-2</v>
      </c>
      <c r="Z142" s="1">
        <f>'[1]Forward Ranks'!AZ142</f>
        <v>0.32532751091703055</v>
      </c>
      <c r="AA142">
        <f>'[1]Forward Ranks'!BB142</f>
        <v>0</v>
      </c>
      <c r="AB142" s="1">
        <f>'[1]Forward Ranks'!BG142</f>
        <v>0.67685589519650657</v>
      </c>
      <c r="AC142" s="1">
        <f>'[1]Forward Ranks'!BH142</f>
        <v>0.87991266375545851</v>
      </c>
      <c r="AD142" s="1">
        <f>'[1]Forward Ranks'!BI142</f>
        <v>0.89082969432314407</v>
      </c>
      <c r="AE142" s="1">
        <f>'[1]Forward Ranks'!BJ142</f>
        <v>0.72925764192139741</v>
      </c>
      <c r="AF142">
        <f>'[1]Forward Ranks'!BL142</f>
        <v>0</v>
      </c>
      <c r="AG142" s="1">
        <f>'[1]Forward Ranks'!BQ142</f>
        <v>0.51310043668122274</v>
      </c>
      <c r="AH142" s="1">
        <f>'[1]Forward Ranks'!BR142</f>
        <v>0.60917030567685593</v>
      </c>
      <c r="AI142" s="1">
        <f>'[1]Forward Ranks'!BS142</f>
        <v>0.62445414847161573</v>
      </c>
      <c r="AJ142" s="1">
        <f>'[1]Forward Ranks'!BT142</f>
        <v>0.58296943231441045</v>
      </c>
      <c r="AL142" s="2">
        <f>'[1]Forward Ranks'!BX142</f>
        <v>0.68558951965065507</v>
      </c>
      <c r="AN142" t="str">
        <f>'[1]Forward Ranks'!B142</f>
        <v>NSH</v>
      </c>
      <c r="AO142">
        <f>'[1]F on ice'!E142</f>
        <v>50</v>
      </c>
      <c r="AP142" s="2">
        <f>'[1]Impact Score Math'!E142</f>
        <v>0.74348697394789576</v>
      </c>
      <c r="AQ142">
        <f>'[1]Impact Score Math'!G142</f>
        <v>129</v>
      </c>
      <c r="AT142" s="1">
        <f>'[1]Forward Ranks'!CJ142</f>
        <v>0.56550218340611358</v>
      </c>
      <c r="AU142" s="1">
        <f>'[1]Forward Ranks'!CK142</f>
        <v>0.81441048034934493</v>
      </c>
    </row>
    <row r="143" spans="1:47" x14ac:dyDescent="0.3">
      <c r="A143" t="str">
        <f>'[1]Forward Ranks'!A143</f>
        <v>Filip Zadina</v>
      </c>
      <c r="B143">
        <f>'[1]Forward Ranks'!D143</f>
        <v>0</v>
      </c>
      <c r="C143" s="1">
        <f>'[1]Forward Ranks'!I143</f>
        <v>0.53493449781659386</v>
      </c>
      <c r="D143" s="1">
        <f>'[1]Forward Ranks'!J143</f>
        <v>0.57860262008733621</v>
      </c>
      <c r="E143" s="1">
        <f>'[1]Forward Ranks'!K143</f>
        <v>3.0567685589519649E-2</v>
      </c>
      <c r="F143" s="1">
        <f>'[1]Forward Ranks'!L143</f>
        <v>0.50436681222707425</v>
      </c>
      <c r="G143">
        <f>'[1]Forward Ranks'!N143</f>
        <v>0</v>
      </c>
      <c r="H143" s="1">
        <f>'[1]Forward Ranks'!S143</f>
        <v>0.27510917030567683</v>
      </c>
      <c r="I143" s="1">
        <f>'[1]Forward Ranks'!T143</f>
        <v>0.22707423580786026</v>
      </c>
      <c r="J143" s="1">
        <f>'[1]Forward Ranks'!U143</f>
        <v>0.19868995633187772</v>
      </c>
      <c r="K143" s="1">
        <f>'[1]Forward Ranks'!V143</f>
        <v>0.16593886462882096</v>
      </c>
      <c r="L143">
        <f>'[1]Forward Ranks'!X143</f>
        <v>0</v>
      </c>
      <c r="M143" s="1">
        <f>'[1]Forward Ranks'!AC143</f>
        <v>0.76855895196506552</v>
      </c>
      <c r="N143" s="1">
        <f>'[1]Forward Ranks'!AD143</f>
        <v>0.88427947598253276</v>
      </c>
      <c r="O143" s="1">
        <f>'[1]Forward Ranks'!AE143</f>
        <v>0.90829694323144106</v>
      </c>
      <c r="P143" s="1">
        <f>'[1]Forward Ranks'!AF143</f>
        <v>0.88427947598253276</v>
      </c>
      <c r="Q143">
        <f>'[1]Forward Ranks'!AH143</f>
        <v>0</v>
      </c>
      <c r="R143" s="1">
        <f>'[1]Forward Ranks'!AM143</f>
        <v>0.93886462882096067</v>
      </c>
      <c r="S143" s="1">
        <f>'[1]Forward Ranks'!AN143</f>
        <v>0.94323144104803491</v>
      </c>
      <c r="T143" s="1">
        <f>'[1]Forward Ranks'!AO143</f>
        <v>0.17248908296943233</v>
      </c>
      <c r="U143" s="1">
        <f>'[1]Forward Ranks'!AP143</f>
        <v>0.91484716157205237</v>
      </c>
      <c r="V143">
        <f>'[1]Forward Ranks'!AR143</f>
        <v>0</v>
      </c>
      <c r="W143" s="1">
        <f>'[1]Forward Ranks'!AW143</f>
        <v>0.97161572052401746</v>
      </c>
      <c r="X143" s="1">
        <f>'[1]Forward Ranks'!AX143</f>
        <v>0.9606986899563319</v>
      </c>
      <c r="Y143" s="1">
        <f>'[1]Forward Ranks'!AY143</f>
        <v>0.98689956331877726</v>
      </c>
      <c r="Z143" s="1">
        <f>'[1]Forward Ranks'!AZ143</f>
        <v>0.90393013100436681</v>
      </c>
      <c r="AA143">
        <f>'[1]Forward Ranks'!BB143</f>
        <v>0</v>
      </c>
      <c r="AB143" s="1">
        <f>'[1]Forward Ranks'!BG143</f>
        <v>0.46724890829694321</v>
      </c>
      <c r="AC143" s="1">
        <f>'[1]Forward Ranks'!BH143</f>
        <v>0.3296943231441048</v>
      </c>
      <c r="AD143" s="1">
        <f>'[1]Forward Ranks'!BI143</f>
        <v>2.6200873362445413E-2</v>
      </c>
      <c r="AE143" s="1">
        <f>'[1]Forward Ranks'!BJ143</f>
        <v>0.18995633187772926</v>
      </c>
      <c r="AF143">
        <f>'[1]Forward Ranks'!BL143</f>
        <v>0</v>
      </c>
      <c r="AG143" s="1">
        <f>'[1]Forward Ranks'!BQ143</f>
        <v>0.64410480349344978</v>
      </c>
      <c r="AH143" s="1">
        <f>'[1]Forward Ranks'!BR143</f>
        <v>0.76419213973799127</v>
      </c>
      <c r="AI143" s="1">
        <f>'[1]Forward Ranks'!BS143</f>
        <v>0.20305676855895197</v>
      </c>
      <c r="AJ143" s="1">
        <f>'[1]Forward Ranks'!BT143</f>
        <v>0.76419213973799127</v>
      </c>
      <c r="AL143" s="2">
        <f>'[1]Forward Ranks'!BX143</f>
        <v>0.76419213973799127</v>
      </c>
      <c r="AN143" t="str">
        <f>'[1]Forward Ranks'!B143</f>
        <v>DET</v>
      </c>
      <c r="AO143">
        <f>'[1]F on ice'!E143</f>
        <v>30</v>
      </c>
      <c r="AP143" s="2">
        <f>'[1]Impact Score Math'!E143</f>
        <v>0.72745490981963923</v>
      </c>
      <c r="AQ143">
        <f>'[1]Impact Score Math'!G143</f>
        <v>137</v>
      </c>
      <c r="AT143" s="1">
        <f>'[1]Forward Ranks'!CJ143</f>
        <v>0.41484716157205243</v>
      </c>
      <c r="AU143" s="1">
        <f>'[1]Forward Ranks'!CK143</f>
        <v>0.30349344978165937</v>
      </c>
    </row>
    <row r="144" spans="1:47" x14ac:dyDescent="0.3">
      <c r="A144" t="str">
        <f>'[1]Forward Ranks'!A144</f>
        <v>Frank Vatrano</v>
      </c>
      <c r="B144">
        <f>'[1]Forward Ranks'!D144</f>
        <v>0</v>
      </c>
      <c r="C144" s="1">
        <f>'[1]Forward Ranks'!I144</f>
        <v>0.3056768558951965</v>
      </c>
      <c r="D144" s="1">
        <f>'[1]Forward Ranks'!J144</f>
        <v>9.8253275109170299E-2</v>
      </c>
      <c r="E144" s="1">
        <f>'[1]Forward Ranks'!K144</f>
        <v>0.26637554585152839</v>
      </c>
      <c r="F144" s="1">
        <f>'[1]Forward Ranks'!L144</f>
        <v>0.14192139737991266</v>
      </c>
      <c r="G144">
        <f>'[1]Forward Ranks'!N144</f>
        <v>0</v>
      </c>
      <c r="H144" s="1">
        <f>'[1]Forward Ranks'!S144</f>
        <v>0.5873362445414847</v>
      </c>
      <c r="I144" s="1">
        <f>'[1]Forward Ranks'!T144</f>
        <v>0.33842794759825329</v>
      </c>
      <c r="J144" s="1">
        <f>'[1]Forward Ranks'!U144</f>
        <v>0.44104803493449779</v>
      </c>
      <c r="K144" s="1">
        <f>'[1]Forward Ranks'!V144</f>
        <v>0.41484716157205243</v>
      </c>
      <c r="L144">
        <f>'[1]Forward Ranks'!X144</f>
        <v>0</v>
      </c>
      <c r="M144" s="1">
        <f>'[1]Forward Ranks'!AC144</f>
        <v>8.7336244541484712E-3</v>
      </c>
      <c r="N144" s="1">
        <f>'[1]Forward Ranks'!AD144</f>
        <v>4.3668122270742356E-3</v>
      </c>
      <c r="O144" s="1">
        <f>'[1]Forward Ranks'!AE144</f>
        <v>6.3318777292576414E-2</v>
      </c>
      <c r="P144" s="1">
        <f>'[1]Forward Ranks'!AF144</f>
        <v>6.5502183406113534E-3</v>
      </c>
      <c r="Q144">
        <f>'[1]Forward Ranks'!AH144</f>
        <v>0</v>
      </c>
      <c r="R144" s="1">
        <f>'[1]Forward Ranks'!AM144</f>
        <v>0.67903930131004364</v>
      </c>
      <c r="S144" s="1">
        <f>'[1]Forward Ranks'!AN144</f>
        <v>0.24454148471615719</v>
      </c>
      <c r="T144" s="1">
        <f>'[1]Forward Ranks'!AO144</f>
        <v>0.50655021834061131</v>
      </c>
      <c r="U144" s="1">
        <f>'[1]Forward Ranks'!AP144</f>
        <v>0.40174672489082969</v>
      </c>
      <c r="V144">
        <f>'[1]Forward Ranks'!AR144</f>
        <v>0</v>
      </c>
      <c r="W144" s="1">
        <f>'[1]Forward Ranks'!AW144</f>
        <v>0.10698689956331878</v>
      </c>
      <c r="X144" s="1">
        <f>'[1]Forward Ranks'!AX144</f>
        <v>1.0917030567685589E-2</v>
      </c>
      <c r="Y144" s="1">
        <f>'[1]Forward Ranks'!AY144</f>
        <v>0.35589519650655022</v>
      </c>
      <c r="Z144" s="1">
        <f>'[1]Forward Ranks'!AZ144</f>
        <v>6.1135371179039298E-2</v>
      </c>
      <c r="AA144">
        <f>'[1]Forward Ranks'!BB144</f>
        <v>0</v>
      </c>
      <c r="AB144" s="1">
        <f>'[1]Forward Ranks'!BG144</f>
        <v>0.77510917030567683</v>
      </c>
      <c r="AC144" s="1">
        <f>'[1]Forward Ranks'!BH144</f>
        <v>0.36244541484716158</v>
      </c>
      <c r="AD144" s="1">
        <f>'[1]Forward Ranks'!BI144</f>
        <v>0.28602620087336245</v>
      </c>
      <c r="AE144" s="1">
        <f>'[1]Forward Ranks'!BJ144</f>
        <v>0.31877729257641924</v>
      </c>
      <c r="AF144">
        <f>'[1]Forward Ranks'!BL144</f>
        <v>0</v>
      </c>
      <c r="AG144" s="1">
        <f>'[1]Forward Ranks'!BQ144</f>
        <v>3.7117903930131008E-2</v>
      </c>
      <c r="AH144" s="1">
        <f>'[1]Forward Ranks'!BR144</f>
        <v>8.7336244541484712E-3</v>
      </c>
      <c r="AI144" s="1">
        <f>'[1]Forward Ranks'!BS144</f>
        <v>0.10043668122270742</v>
      </c>
      <c r="AJ144" s="1">
        <f>'[1]Forward Ranks'!BT144</f>
        <v>1.0917030567685589E-2</v>
      </c>
      <c r="AL144" s="2">
        <f>'[1]Forward Ranks'!BX144</f>
        <v>0.11353711790393013</v>
      </c>
      <c r="AN144" t="str">
        <f>'[1]Forward Ranks'!B144</f>
        <v>ANA</v>
      </c>
      <c r="AO144">
        <f>'[1]F on ice'!E144</f>
        <v>81</v>
      </c>
      <c r="AP144" s="2">
        <f>'[1]Impact Score Math'!E144</f>
        <v>0.25450901803607212</v>
      </c>
      <c r="AQ144">
        <f>'[1]Impact Score Math'!G144</f>
        <v>373</v>
      </c>
      <c r="AT144" s="1">
        <f>'[1]Forward Ranks'!CJ144</f>
        <v>0.33624454148471616</v>
      </c>
      <c r="AU144" s="1">
        <f>'[1]Forward Ranks'!CK144</f>
        <v>0.61790393013100442</v>
      </c>
    </row>
    <row r="145" spans="1:47" x14ac:dyDescent="0.3">
      <c r="A145" t="str">
        <f>'[1]Forward Ranks'!A145</f>
        <v>Frederick Gaudreau</v>
      </c>
      <c r="B145">
        <f>'[1]Forward Ranks'!D145</f>
        <v>0</v>
      </c>
      <c r="C145" s="1">
        <f>'[1]Forward Ranks'!I145</f>
        <v>0.31222707423580787</v>
      </c>
      <c r="D145" s="1">
        <f>'[1]Forward Ranks'!J145</f>
        <v>0.15065502183406113</v>
      </c>
      <c r="E145" s="1">
        <f>'[1]Forward Ranks'!K145</f>
        <v>0.32096069868995636</v>
      </c>
      <c r="F145" s="1">
        <f>'[1]Forward Ranks'!L145</f>
        <v>0.24672489082969432</v>
      </c>
      <c r="G145">
        <f>'[1]Forward Ranks'!N145</f>
        <v>0</v>
      </c>
      <c r="H145" s="1">
        <f>'[1]Forward Ranks'!S145</f>
        <v>0.33624454148471616</v>
      </c>
      <c r="I145" s="1">
        <f>'[1]Forward Ranks'!T145</f>
        <v>0.37336244541484714</v>
      </c>
      <c r="J145" s="1">
        <f>'[1]Forward Ranks'!U145</f>
        <v>0.42358078602620086</v>
      </c>
      <c r="K145" s="1">
        <f>'[1]Forward Ranks'!V145</f>
        <v>0.29694323144104806</v>
      </c>
      <c r="L145">
        <f>'[1]Forward Ranks'!X145</f>
        <v>0</v>
      </c>
      <c r="M145" s="1">
        <f>'[1]Forward Ranks'!AC145</f>
        <v>0.42576419213973798</v>
      </c>
      <c r="N145" s="1">
        <f>'[1]Forward Ranks'!AD145</f>
        <v>0.81222707423580787</v>
      </c>
      <c r="O145" s="1">
        <f>'[1]Forward Ranks'!AE145</f>
        <v>0.79039301310043664</v>
      </c>
      <c r="P145" s="1">
        <f>'[1]Forward Ranks'!AF145</f>
        <v>0.5873362445414847</v>
      </c>
      <c r="Q145">
        <f>'[1]Forward Ranks'!AH145</f>
        <v>0</v>
      </c>
      <c r="R145" s="1">
        <f>'[1]Forward Ranks'!AM145</f>
        <v>0.23144104803493451</v>
      </c>
      <c r="S145" s="1">
        <f>'[1]Forward Ranks'!AN145</f>
        <v>0.20524017467248909</v>
      </c>
      <c r="T145" s="1">
        <f>'[1]Forward Ranks'!AO145</f>
        <v>0.52620087336244536</v>
      </c>
      <c r="U145" s="1">
        <f>'[1]Forward Ranks'!AP145</f>
        <v>0.32532751091703055</v>
      </c>
      <c r="V145">
        <f>'[1]Forward Ranks'!AR145</f>
        <v>0</v>
      </c>
      <c r="W145" s="1">
        <f>'[1]Forward Ranks'!AW145</f>
        <v>0.34934497816593885</v>
      </c>
      <c r="X145" s="1">
        <f>'[1]Forward Ranks'!AX145</f>
        <v>0.46506550218340609</v>
      </c>
      <c r="Y145" s="1">
        <f>'[1]Forward Ranks'!AY145</f>
        <v>0.53711790393013104</v>
      </c>
      <c r="Z145" s="1">
        <f>'[1]Forward Ranks'!AZ145</f>
        <v>0.32532751091703055</v>
      </c>
      <c r="AA145">
        <f>'[1]Forward Ranks'!BB145</f>
        <v>0</v>
      </c>
      <c r="AB145" s="1">
        <f>'[1]Forward Ranks'!BG145</f>
        <v>0.44978165938864628</v>
      </c>
      <c r="AC145" s="1">
        <f>'[1]Forward Ranks'!BH145</f>
        <v>0.56113537117903933</v>
      </c>
      <c r="AD145" s="1">
        <f>'[1]Forward Ranks'!BI145</f>
        <v>0.40174672489082969</v>
      </c>
      <c r="AE145" s="1">
        <f>'[1]Forward Ranks'!BJ145</f>
        <v>0.68340611353711789</v>
      </c>
      <c r="AF145">
        <f>'[1]Forward Ranks'!BL145</f>
        <v>0</v>
      </c>
      <c r="AG145" s="1">
        <f>'[1]Forward Ranks'!BQ145</f>
        <v>0.33406113537117904</v>
      </c>
      <c r="AH145" s="1">
        <f>'[1]Forward Ranks'!BR145</f>
        <v>0.36681222707423583</v>
      </c>
      <c r="AI145" s="1">
        <f>'[1]Forward Ranks'!BS145</f>
        <v>0.56986899563318782</v>
      </c>
      <c r="AJ145" s="1">
        <f>'[1]Forward Ranks'!BT145</f>
        <v>0.33406113537117904</v>
      </c>
      <c r="AL145" s="2">
        <f>'[1]Forward Ranks'!BX145</f>
        <v>0.2183406113537118</v>
      </c>
      <c r="AN145" t="str">
        <f>'[1]Forward Ranks'!B145</f>
        <v>MIN</v>
      </c>
      <c r="AO145">
        <f>'[1]F on ice'!E145</f>
        <v>82</v>
      </c>
      <c r="AP145" s="2">
        <f>'[1]Impact Score Math'!E145</f>
        <v>0.30661322645290578</v>
      </c>
      <c r="AQ145">
        <f>'[1]Impact Score Math'!G145</f>
        <v>347</v>
      </c>
      <c r="AT145" s="1">
        <f>'[1]Forward Ranks'!CJ145</f>
        <v>0.8733624454148472</v>
      </c>
      <c r="AU145" s="1">
        <f>'[1]Forward Ranks'!CK145</f>
        <v>0.16812227074235808</v>
      </c>
    </row>
    <row r="146" spans="1:47" x14ac:dyDescent="0.3">
      <c r="A146" t="str">
        <f>'[1]Forward Ranks'!A146</f>
        <v>Fredrik Olofsson</v>
      </c>
      <c r="B146">
        <f>'[1]Forward Ranks'!D146</f>
        <v>0</v>
      </c>
      <c r="C146" s="1">
        <f>'[1]Forward Ranks'!I146</f>
        <v>0.56986899563318782</v>
      </c>
      <c r="D146" s="1">
        <f>'[1]Forward Ranks'!J146</f>
        <v>0.35807860262008734</v>
      </c>
      <c r="E146" s="1">
        <f>'[1]Forward Ranks'!K146</f>
        <v>0.11353711790393013</v>
      </c>
      <c r="F146" s="1">
        <f>'[1]Forward Ranks'!L146</f>
        <v>0.29694323144104806</v>
      </c>
      <c r="G146">
        <f>'[1]Forward Ranks'!N146</f>
        <v>0</v>
      </c>
      <c r="H146" s="1">
        <f>'[1]Forward Ranks'!S146</f>
        <v>3.2751091703056769E-2</v>
      </c>
      <c r="I146" s="1">
        <f>'[1]Forward Ranks'!T146</f>
        <v>0.20524017467248909</v>
      </c>
      <c r="J146" s="1">
        <f>'[1]Forward Ranks'!U146</f>
        <v>0.61790393013100442</v>
      </c>
      <c r="K146" s="1">
        <f>'[1]Forward Ranks'!V146</f>
        <v>5.6768558951965066E-2</v>
      </c>
      <c r="L146">
        <f>'[1]Forward Ranks'!X146</f>
        <v>0</v>
      </c>
      <c r="M146" s="1">
        <f>'[1]Forward Ranks'!AC146</f>
        <v>0.97816593886462877</v>
      </c>
      <c r="N146" s="1">
        <f>'[1]Forward Ranks'!AD146</f>
        <v>0.99563318777292575</v>
      </c>
      <c r="O146" s="1">
        <f>'[1]Forward Ranks'!AE146</f>
        <v>0.93886462882096067</v>
      </c>
      <c r="P146" s="1">
        <f>'[1]Forward Ranks'!AF146</f>
        <v>0.99344978165938869</v>
      </c>
      <c r="Q146">
        <f>'[1]Forward Ranks'!AH146</f>
        <v>0</v>
      </c>
      <c r="R146" s="1">
        <f>'[1]Forward Ranks'!AM146</f>
        <v>0.39082969432314413</v>
      </c>
      <c r="S146" s="1">
        <f>'[1]Forward Ranks'!AN146</f>
        <v>0.1703056768558952</v>
      </c>
      <c r="T146" s="1">
        <f>'[1]Forward Ranks'!AO146</f>
        <v>0.11572052401746726</v>
      </c>
      <c r="U146" s="1">
        <f>'[1]Forward Ranks'!AP146</f>
        <v>0.15720524017467249</v>
      </c>
      <c r="V146">
        <f>'[1]Forward Ranks'!AR146</f>
        <v>0</v>
      </c>
      <c r="W146" s="1">
        <f>'[1]Forward Ranks'!AW146</f>
        <v>0.99781659388646293</v>
      </c>
      <c r="X146" s="1">
        <f>'[1]Forward Ranks'!AX146</f>
        <v>0.99563318777292575</v>
      </c>
      <c r="Y146" s="1">
        <f>'[1]Forward Ranks'!AY146</f>
        <v>0.78384279475982532</v>
      </c>
      <c r="Z146" s="1">
        <f>'[1]Forward Ranks'!AZ146</f>
        <v>0.99781659388646293</v>
      </c>
      <c r="AA146">
        <f>'[1]Forward Ranks'!BB146</f>
        <v>0</v>
      </c>
      <c r="AB146" s="1">
        <f>'[1]Forward Ranks'!BG146</f>
        <v>0.15720524017467249</v>
      </c>
      <c r="AC146" s="1">
        <f>'[1]Forward Ranks'!BH146</f>
        <v>0.13100436681222707</v>
      </c>
      <c r="AD146" s="1">
        <f>'[1]Forward Ranks'!BI146</f>
        <v>4.8034934497816595E-2</v>
      </c>
      <c r="AE146" s="1">
        <f>'[1]Forward Ranks'!BJ146</f>
        <v>0.18995633187772926</v>
      </c>
      <c r="AF146">
        <f>'[1]Forward Ranks'!BL146</f>
        <v>0</v>
      </c>
      <c r="AG146" s="1">
        <f>'[1]Forward Ranks'!BQ146</f>
        <v>0.90174672489082974</v>
      </c>
      <c r="AH146" s="1">
        <f>'[1]Forward Ranks'!BR146</f>
        <v>0.92794759825327511</v>
      </c>
      <c r="AI146" s="1">
        <f>'[1]Forward Ranks'!BS146</f>
        <v>0.48471615720524019</v>
      </c>
      <c r="AJ146" s="1">
        <f>'[1]Forward Ranks'!BT146</f>
        <v>0.89301310043668125</v>
      </c>
      <c r="AL146" s="2">
        <f>'[1]Forward Ranks'!BX146</f>
        <v>0.69432314410480345</v>
      </c>
      <c r="AN146" t="str">
        <f>'[1]Forward Ranks'!B146</f>
        <v>DAL</v>
      </c>
      <c r="AO146">
        <f>'[1]F on ice'!E146</f>
        <v>28</v>
      </c>
      <c r="AP146" s="2">
        <f>'[1]Impact Score Math'!E146</f>
        <v>0.56112224448897796</v>
      </c>
      <c r="AQ146">
        <f>'[1]Impact Score Math'!G146</f>
        <v>220</v>
      </c>
      <c r="AT146" s="1">
        <f>'[1]Forward Ranks'!CJ146</f>
        <v>0.93886462882096067</v>
      </c>
      <c r="AU146" s="1">
        <f>'[1]Forward Ranks'!CK146</f>
        <v>0.27729257641921395</v>
      </c>
    </row>
    <row r="147" spans="1:47" x14ac:dyDescent="0.3">
      <c r="A147" t="str">
        <f>'[1]Forward Ranks'!A147</f>
        <v>Gabriel Vilardi</v>
      </c>
      <c r="B147">
        <f>'[1]Forward Ranks'!D147</f>
        <v>0</v>
      </c>
      <c r="C147" s="1">
        <f>'[1]Forward Ranks'!I147</f>
        <v>0.62882096069868998</v>
      </c>
      <c r="D147" s="1">
        <f>'[1]Forward Ranks'!J147</f>
        <v>0.67248908296943233</v>
      </c>
      <c r="E147" s="1">
        <f>'[1]Forward Ranks'!K147</f>
        <v>0.51965065502183405</v>
      </c>
      <c r="F147" s="1">
        <f>'[1]Forward Ranks'!L147</f>
        <v>0.6266375545851528</v>
      </c>
      <c r="G147">
        <f>'[1]Forward Ranks'!N147</f>
        <v>0</v>
      </c>
      <c r="H147" s="1">
        <f>'[1]Forward Ranks'!S147</f>
        <v>0.95851528384279472</v>
      </c>
      <c r="I147" s="1">
        <f>'[1]Forward Ranks'!T147</f>
        <v>0.51528384279475981</v>
      </c>
      <c r="J147" s="1">
        <f>'[1]Forward Ranks'!U147</f>
        <v>0.51091703056768556</v>
      </c>
      <c r="K147" s="1">
        <f>'[1]Forward Ranks'!V147</f>
        <v>0.86899563318777295</v>
      </c>
      <c r="L147">
        <f>'[1]Forward Ranks'!X147</f>
        <v>0</v>
      </c>
      <c r="M147" s="1">
        <f>'[1]Forward Ranks'!AC147</f>
        <v>0.96943231441048039</v>
      </c>
      <c r="N147" s="1">
        <f>'[1]Forward Ranks'!AD147</f>
        <v>0.9759825327510917</v>
      </c>
      <c r="O147" s="1">
        <f>'[1]Forward Ranks'!AE147</f>
        <v>0.94978165938864634</v>
      </c>
      <c r="P147" s="1">
        <f>'[1]Forward Ranks'!AF147</f>
        <v>0.98253275109170302</v>
      </c>
      <c r="Q147">
        <f>'[1]Forward Ranks'!AH147</f>
        <v>0</v>
      </c>
      <c r="R147" s="1">
        <f>'[1]Forward Ranks'!AM147</f>
        <v>0.34279475982532753</v>
      </c>
      <c r="S147" s="1">
        <f>'[1]Forward Ranks'!AN147</f>
        <v>0.39737991266375544</v>
      </c>
      <c r="T147" s="1">
        <f>'[1]Forward Ranks'!AO147</f>
        <v>0.40393013100436681</v>
      </c>
      <c r="U147" s="1">
        <f>'[1]Forward Ranks'!AP147</f>
        <v>0.46724890829694321</v>
      </c>
      <c r="V147">
        <f>'[1]Forward Ranks'!AR147</f>
        <v>0</v>
      </c>
      <c r="W147" s="1">
        <f>'[1]Forward Ranks'!AW147</f>
        <v>0.79039301310043664</v>
      </c>
      <c r="X147" s="1">
        <f>'[1]Forward Ranks'!AX147</f>
        <v>0.92358078602620086</v>
      </c>
      <c r="Y147" s="1">
        <f>'[1]Forward Ranks'!AY147</f>
        <v>0.96506550218340614</v>
      </c>
      <c r="Z147" s="1">
        <f>'[1]Forward Ranks'!AZ147</f>
        <v>0.88427947598253276</v>
      </c>
      <c r="AA147">
        <f>'[1]Forward Ranks'!BB147</f>
        <v>0</v>
      </c>
      <c r="AB147" s="1">
        <f>'[1]Forward Ranks'!BG147</f>
        <v>0.49563318777292575</v>
      </c>
      <c r="AC147" s="1">
        <f>'[1]Forward Ranks'!BH147</f>
        <v>0.66375545851528384</v>
      </c>
      <c r="AD147" s="1">
        <f>'[1]Forward Ranks'!BI147</f>
        <v>0.4366812227074236</v>
      </c>
      <c r="AE147" s="1">
        <f>'[1]Forward Ranks'!BJ147</f>
        <v>0.70960698689956336</v>
      </c>
      <c r="AF147">
        <f>'[1]Forward Ranks'!BL147</f>
        <v>0</v>
      </c>
      <c r="AG147" s="1">
        <f>'[1]Forward Ranks'!BQ147</f>
        <v>0.90393013100436681</v>
      </c>
      <c r="AH147" s="1">
        <f>'[1]Forward Ranks'!BR147</f>
        <v>0.91048034934497812</v>
      </c>
      <c r="AI147" s="1">
        <f>'[1]Forward Ranks'!BS147</f>
        <v>0.94104803493449785</v>
      </c>
      <c r="AJ147" s="1">
        <f>'[1]Forward Ranks'!BT147</f>
        <v>0.93231441048034935</v>
      </c>
      <c r="AL147" s="2">
        <f>'[1]Forward Ranks'!BX147</f>
        <v>0.91921397379912662</v>
      </c>
      <c r="AN147" t="str">
        <f>'[1]Forward Ranks'!B147</f>
        <v>L.A</v>
      </c>
      <c r="AO147">
        <f>'[1]F on ice'!E147</f>
        <v>63</v>
      </c>
      <c r="AP147" s="2">
        <f>'[1]Impact Score Math'!E147</f>
        <v>0.86573146292585168</v>
      </c>
      <c r="AQ147">
        <f>'[1]Impact Score Math'!G147</f>
        <v>68</v>
      </c>
      <c r="AT147" s="1">
        <f>'[1]Forward Ranks'!CJ147</f>
        <v>0.67685589519650657</v>
      </c>
      <c r="AU147" s="1">
        <f>'[1]Forward Ranks'!CK147</f>
        <v>0.95196506550218341</v>
      </c>
    </row>
    <row r="148" spans="1:47" x14ac:dyDescent="0.3">
      <c r="A148" t="str">
        <f>'[1]Forward Ranks'!A148</f>
        <v>Garnet Hathaway</v>
      </c>
      <c r="B148">
        <f>'[1]Forward Ranks'!D148</f>
        <v>0</v>
      </c>
      <c r="C148" s="1">
        <f>'[1]Forward Ranks'!I148</f>
        <v>0.39956331877729256</v>
      </c>
      <c r="D148" s="1">
        <f>'[1]Forward Ranks'!J148</f>
        <v>0.45633187772925765</v>
      </c>
      <c r="E148" s="1">
        <f>'[1]Forward Ranks'!K148</f>
        <v>0.3930131004366812</v>
      </c>
      <c r="F148" s="1">
        <f>'[1]Forward Ranks'!L148</f>
        <v>0.35152838427947597</v>
      </c>
      <c r="G148">
        <f>'[1]Forward Ranks'!N148</f>
        <v>0</v>
      </c>
      <c r="H148" s="1">
        <f>'[1]Forward Ranks'!S148</f>
        <v>0.77510917030567683</v>
      </c>
      <c r="I148" s="1">
        <f>'[1]Forward Ranks'!T148</f>
        <v>0.15283842794759825</v>
      </c>
      <c r="J148" s="1">
        <f>'[1]Forward Ranks'!U148</f>
        <v>9.606986899563319E-2</v>
      </c>
      <c r="K148" s="1">
        <f>'[1]Forward Ranks'!V148</f>
        <v>0.39956331877729256</v>
      </c>
      <c r="L148">
        <f>'[1]Forward Ranks'!X148</f>
        <v>0</v>
      </c>
      <c r="M148" s="1">
        <f>'[1]Forward Ranks'!AC148</f>
        <v>0.68995633187772931</v>
      </c>
      <c r="N148" s="1">
        <f>'[1]Forward Ranks'!AD148</f>
        <v>0.87991266375545851</v>
      </c>
      <c r="O148" s="1">
        <f>'[1]Forward Ranks'!AE148</f>
        <v>0.84061135371179041</v>
      </c>
      <c r="P148" s="1">
        <f>'[1]Forward Ranks'!AF148</f>
        <v>0.69868995633187769</v>
      </c>
      <c r="Q148">
        <f>'[1]Forward Ranks'!AH148</f>
        <v>0</v>
      </c>
      <c r="R148" s="1">
        <f>'[1]Forward Ranks'!AM148</f>
        <v>0.24672489082969432</v>
      </c>
      <c r="S148" s="1">
        <f>'[1]Forward Ranks'!AN148</f>
        <v>0.35371179039301309</v>
      </c>
      <c r="T148" s="1">
        <f>'[1]Forward Ranks'!AO148</f>
        <v>0.37554585152838427</v>
      </c>
      <c r="U148" s="1">
        <f>'[1]Forward Ranks'!AP148</f>
        <v>0.23580786026200873</v>
      </c>
      <c r="V148">
        <f>'[1]Forward Ranks'!AR148</f>
        <v>0</v>
      </c>
      <c r="W148" s="1">
        <f>'[1]Forward Ranks'!AW148</f>
        <v>0.77074235807860259</v>
      </c>
      <c r="X148" s="1">
        <f>'[1]Forward Ranks'!AX148</f>
        <v>0.91484716157205237</v>
      </c>
      <c r="Y148" s="1">
        <f>'[1]Forward Ranks'!AY148</f>
        <v>0.73799126637554591</v>
      </c>
      <c r="Z148" s="1">
        <f>'[1]Forward Ranks'!AZ148</f>
        <v>0.72052401746724892</v>
      </c>
      <c r="AA148">
        <f>'[1]Forward Ranks'!BB148</f>
        <v>0</v>
      </c>
      <c r="AB148" s="1">
        <f>'[1]Forward Ranks'!BG148</f>
        <v>0.16812227074235808</v>
      </c>
      <c r="AC148" s="1">
        <f>'[1]Forward Ranks'!BH148</f>
        <v>6.5502183406113534E-3</v>
      </c>
      <c r="AD148" s="1">
        <f>'[1]Forward Ranks'!BI148</f>
        <v>0.4126637554585153</v>
      </c>
      <c r="AE148" s="1">
        <f>'[1]Forward Ranks'!BJ148</f>
        <v>0.64628820960698685</v>
      </c>
      <c r="AF148">
        <f>'[1]Forward Ranks'!BL148</f>
        <v>0</v>
      </c>
      <c r="AG148" s="1">
        <f>'[1]Forward Ranks'!BQ148</f>
        <v>0.53711790393013104</v>
      </c>
      <c r="AH148" s="1">
        <f>'[1]Forward Ranks'!BR148</f>
        <v>0.70524017467248912</v>
      </c>
      <c r="AI148" s="1">
        <f>'[1]Forward Ranks'!BS148</f>
        <v>0.67685589519650657</v>
      </c>
      <c r="AJ148" s="1">
        <f>'[1]Forward Ranks'!BT148</f>
        <v>0.51528384279475981</v>
      </c>
      <c r="AL148" s="2">
        <f>'[1]Forward Ranks'!BX148</f>
        <v>0.46506550218340609</v>
      </c>
      <c r="AN148" t="str">
        <f>'[1]Forward Ranks'!B148</f>
        <v>BOS, WSH</v>
      </c>
      <c r="AO148">
        <f>'[1]F on ice'!E148</f>
        <v>84</v>
      </c>
      <c r="AP148" s="2">
        <f>'[1]Impact Score Math'!E148</f>
        <v>0.42484969939879758</v>
      </c>
      <c r="AQ148">
        <f>'[1]Impact Score Math'!G148</f>
        <v>288</v>
      </c>
      <c r="AT148" s="1">
        <f>'[1]Forward Ranks'!CJ148</f>
        <v>6.3318777292576414E-2</v>
      </c>
      <c r="AU148" s="1">
        <f>'[1]Forward Ranks'!CK148</f>
        <v>0.98471615720524019</v>
      </c>
    </row>
    <row r="149" spans="1:47" x14ac:dyDescent="0.3">
      <c r="A149" t="str">
        <f>'[1]Forward Ranks'!A149</f>
        <v>Givani Smith</v>
      </c>
      <c r="B149">
        <f>'[1]Forward Ranks'!D149</f>
        <v>0</v>
      </c>
      <c r="C149" s="1">
        <f>'[1]Forward Ranks'!I149</f>
        <v>0.63318777292576423</v>
      </c>
      <c r="D149" s="1">
        <f>'[1]Forward Ranks'!J149</f>
        <v>0.23799126637554585</v>
      </c>
      <c r="E149" s="1">
        <f>'[1]Forward Ranks'!K149</f>
        <v>0.10698689956331878</v>
      </c>
      <c r="F149" s="1">
        <f>'[1]Forward Ranks'!L149</f>
        <v>0.24672489082969432</v>
      </c>
      <c r="G149">
        <f>'[1]Forward Ranks'!N149</f>
        <v>0</v>
      </c>
      <c r="H149" s="1">
        <f>'[1]Forward Ranks'!S149</f>
        <v>4.8034934497816595E-2</v>
      </c>
      <c r="I149" s="1">
        <f>'[1]Forward Ranks'!T149</f>
        <v>0.2816593886462882</v>
      </c>
      <c r="J149" s="1">
        <f>'[1]Forward Ranks'!U149</f>
        <v>0.41048034934497818</v>
      </c>
      <c r="K149" s="1">
        <f>'[1]Forward Ranks'!V149</f>
        <v>8.296943231441048E-2</v>
      </c>
      <c r="L149">
        <f>'[1]Forward Ranks'!X149</f>
        <v>0</v>
      </c>
      <c r="M149" s="1">
        <f>'[1]Forward Ranks'!AC149</f>
        <v>0.31004366812227074</v>
      </c>
      <c r="N149" s="1">
        <f>'[1]Forward Ranks'!AD149</f>
        <v>0.11790393013100436</v>
      </c>
      <c r="O149" s="1">
        <f>'[1]Forward Ranks'!AE149</f>
        <v>0.73799126637554591</v>
      </c>
      <c r="P149" s="1">
        <f>'[1]Forward Ranks'!AF149</f>
        <v>0.14628820960698691</v>
      </c>
      <c r="Q149">
        <f>'[1]Forward Ranks'!AH149</f>
        <v>0</v>
      </c>
      <c r="R149" s="1">
        <f>'[1]Forward Ranks'!AM149</f>
        <v>0.18340611353711792</v>
      </c>
      <c r="S149" s="1">
        <f>'[1]Forward Ranks'!AN149</f>
        <v>1.7467248908296942E-2</v>
      </c>
      <c r="T149" s="1">
        <f>'[1]Forward Ranks'!AO149</f>
        <v>4.148471615720524E-2</v>
      </c>
      <c r="U149" s="1">
        <f>'[1]Forward Ranks'!AP149</f>
        <v>1.7467248908296942E-2</v>
      </c>
      <c r="V149">
        <f>'[1]Forward Ranks'!AR149</f>
        <v>0</v>
      </c>
      <c r="W149" s="1">
        <f>'[1]Forward Ranks'!AW149</f>
        <v>0.72489082969432317</v>
      </c>
      <c r="X149" s="1">
        <f>'[1]Forward Ranks'!AX149</f>
        <v>0.75327510917030571</v>
      </c>
      <c r="Y149" s="1">
        <f>'[1]Forward Ranks'!AY149</f>
        <v>0.90611353711790388</v>
      </c>
      <c r="Z149" s="1">
        <f>'[1]Forward Ranks'!AZ149</f>
        <v>0.51965065502183405</v>
      </c>
      <c r="AA149">
        <f>'[1]Forward Ranks'!BB149</f>
        <v>0</v>
      </c>
      <c r="AB149" s="1">
        <f>'[1]Forward Ranks'!BG149</f>
        <v>2.1834061135371178E-3</v>
      </c>
      <c r="AC149" s="1">
        <f>'[1]Forward Ranks'!BH149</f>
        <v>0.74454148471615722</v>
      </c>
      <c r="AD149" s="1">
        <f>'[1]Forward Ranks'!BI149</f>
        <v>3.9301310043668124E-2</v>
      </c>
      <c r="AE149" s="1">
        <f>'[1]Forward Ranks'!BJ149</f>
        <v>0.29039301310043669</v>
      </c>
      <c r="AF149">
        <f>'[1]Forward Ranks'!BL149</f>
        <v>0</v>
      </c>
      <c r="AG149" s="1">
        <f>'[1]Forward Ranks'!BQ149</f>
        <v>0.5</v>
      </c>
      <c r="AH149" s="1">
        <f>'[1]Forward Ranks'!BR149</f>
        <v>0.14410480349344978</v>
      </c>
      <c r="AI149" s="1">
        <f>'[1]Forward Ranks'!BS149</f>
        <v>0.24454148471615719</v>
      </c>
      <c r="AJ149" s="1">
        <f>'[1]Forward Ranks'!BT149</f>
        <v>0.14628820960698691</v>
      </c>
      <c r="AL149" s="2">
        <f>'[1]Forward Ranks'!BX149</f>
        <v>0.12445414847161572</v>
      </c>
      <c r="AN149" t="str">
        <f>'[1]Forward Ranks'!B149</f>
        <v>DET, FLA</v>
      </c>
      <c r="AO149">
        <f>'[1]F on ice'!E149</f>
        <v>36</v>
      </c>
      <c r="AP149" s="2">
        <f>'[1]Impact Score Math'!E149</f>
        <v>0.12224448897795591</v>
      </c>
      <c r="AQ149">
        <f>'[1]Impact Score Math'!G149</f>
        <v>439</v>
      </c>
      <c r="AT149" s="1">
        <f>'[1]Forward Ranks'!CJ149</f>
        <v>2.1834061135371178E-3</v>
      </c>
      <c r="AU149" s="1">
        <f>'[1]Forward Ranks'!CK149</f>
        <v>1</v>
      </c>
    </row>
    <row r="150" spans="1:47" x14ac:dyDescent="0.3">
      <c r="A150" t="str">
        <f>'[1]Forward Ranks'!A150</f>
        <v>Gustav Nyquist</v>
      </c>
      <c r="B150">
        <f>'[1]Forward Ranks'!D150</f>
        <v>0</v>
      </c>
      <c r="C150" s="1">
        <f>'[1]Forward Ranks'!I150</f>
        <v>0.44759825327510916</v>
      </c>
      <c r="D150" s="1">
        <f>'[1]Forward Ranks'!J150</f>
        <v>0.19213973799126638</v>
      </c>
      <c r="E150" s="1">
        <f>'[1]Forward Ranks'!K150</f>
        <v>0.42358078602620086</v>
      </c>
      <c r="F150" s="1">
        <f>'[1]Forward Ranks'!L150</f>
        <v>0.35807860262008734</v>
      </c>
      <c r="G150">
        <f>'[1]Forward Ranks'!N150</f>
        <v>0</v>
      </c>
      <c r="H150" s="1">
        <f>'[1]Forward Ranks'!S150</f>
        <v>0.56986899563318782</v>
      </c>
      <c r="I150" s="1">
        <f>'[1]Forward Ranks'!T150</f>
        <v>0.61353711790393017</v>
      </c>
      <c r="J150" s="1">
        <f>'[1]Forward Ranks'!U150</f>
        <v>0.58078602620087338</v>
      </c>
      <c r="K150" s="1">
        <f>'[1]Forward Ranks'!V150</f>
        <v>0.60698689956331875</v>
      </c>
      <c r="L150">
        <f>'[1]Forward Ranks'!X150</f>
        <v>0</v>
      </c>
      <c r="M150" s="1">
        <f>'[1]Forward Ranks'!AC150</f>
        <v>6.3318777292576414E-2</v>
      </c>
      <c r="N150" s="1">
        <f>'[1]Forward Ranks'!AD150</f>
        <v>0.46506550218340609</v>
      </c>
      <c r="O150" s="1">
        <f>'[1]Forward Ranks'!AE150</f>
        <v>0.18340611353711792</v>
      </c>
      <c r="P150" s="1">
        <f>'[1]Forward Ranks'!AF150</f>
        <v>0.24017467248908297</v>
      </c>
      <c r="Q150">
        <f>'[1]Forward Ranks'!AH150</f>
        <v>0</v>
      </c>
      <c r="R150" s="1">
        <f>'[1]Forward Ranks'!AM150</f>
        <v>0.74235807860262004</v>
      </c>
      <c r="S150" s="1">
        <f>'[1]Forward Ranks'!AN150</f>
        <v>0.60480349344978168</v>
      </c>
      <c r="T150" s="1">
        <f>'[1]Forward Ranks'!AO150</f>
        <v>0.66812227074235808</v>
      </c>
      <c r="U150" s="1">
        <f>'[1]Forward Ranks'!AP150</f>
        <v>0.72707423580786024</v>
      </c>
      <c r="V150">
        <f>'[1]Forward Ranks'!AR150</f>
        <v>0</v>
      </c>
      <c r="W150" s="1">
        <f>'[1]Forward Ranks'!AW150</f>
        <v>0.24890829694323144</v>
      </c>
      <c r="X150" s="1">
        <f>'[1]Forward Ranks'!AX150</f>
        <v>0.72707423580786024</v>
      </c>
      <c r="Y150" s="1">
        <f>'[1]Forward Ranks'!AY150</f>
        <v>0.63537117903930129</v>
      </c>
      <c r="Z150" s="1">
        <f>'[1]Forward Ranks'!AZ150</f>
        <v>0.51091703056768556</v>
      </c>
      <c r="AA150">
        <f>'[1]Forward Ranks'!BB150</f>
        <v>0</v>
      </c>
      <c r="AB150" s="1">
        <f>'[1]Forward Ranks'!BG150</f>
        <v>0.72489082969432317</v>
      </c>
      <c r="AC150" s="1">
        <f>'[1]Forward Ranks'!BH150</f>
        <v>0.68995633187772931</v>
      </c>
      <c r="AD150" s="1">
        <f>'[1]Forward Ranks'!BI150</f>
        <v>0.50218340611353707</v>
      </c>
      <c r="AE150" s="1">
        <f>'[1]Forward Ranks'!BJ150</f>
        <v>0.49126637554585151</v>
      </c>
      <c r="AF150">
        <f>'[1]Forward Ranks'!BL150</f>
        <v>0</v>
      </c>
      <c r="AG150" s="1">
        <f>'[1]Forward Ranks'!BQ150</f>
        <v>0.16812227074235808</v>
      </c>
      <c r="AH150" s="1">
        <f>'[1]Forward Ranks'!BR150</f>
        <v>0.24890829694323144</v>
      </c>
      <c r="AI150" s="1">
        <f>'[1]Forward Ranks'!BS150</f>
        <v>0.23799126637554585</v>
      </c>
      <c r="AJ150" s="1">
        <f>'[1]Forward Ranks'!BT150</f>
        <v>0.28820960698689957</v>
      </c>
      <c r="AL150" s="2">
        <f>'[1]Forward Ranks'!BX150</f>
        <v>0.4126637554585153</v>
      </c>
      <c r="AN150" t="str">
        <f>'[1]Forward Ranks'!B150</f>
        <v>CBJ, MIN</v>
      </c>
      <c r="AO150">
        <f>'[1]F on ice'!E150</f>
        <v>51</v>
      </c>
      <c r="AP150" s="2">
        <f>'[1]Impact Score Math'!E150</f>
        <v>0.5410821643286573</v>
      </c>
      <c r="AQ150">
        <f>'[1]Impact Score Math'!G150</f>
        <v>230</v>
      </c>
      <c r="AT150" s="1">
        <f>'[1]Forward Ranks'!CJ150</f>
        <v>0.68995633187772931</v>
      </c>
      <c r="AU150" s="1">
        <f>'[1]Forward Ranks'!CK150</f>
        <v>3.2751091703056769E-2</v>
      </c>
    </row>
    <row r="151" spans="1:47" x14ac:dyDescent="0.3">
      <c r="A151" t="str">
        <f>'[1]Forward Ranks'!A151</f>
        <v>Hudson Fasching</v>
      </c>
      <c r="B151">
        <f>'[1]Forward Ranks'!D151</f>
        <v>0</v>
      </c>
      <c r="C151" s="1">
        <f>'[1]Forward Ranks'!I151</f>
        <v>0.48908296943231439</v>
      </c>
      <c r="D151" s="1">
        <f>'[1]Forward Ranks'!J151</f>
        <v>0.8253275109170306</v>
      </c>
      <c r="E151" s="1">
        <f>'[1]Forward Ranks'!K151</f>
        <v>0.8733624454148472</v>
      </c>
      <c r="F151" s="1">
        <f>'[1]Forward Ranks'!L151</f>
        <v>0.63318777292576423</v>
      </c>
      <c r="G151">
        <f>'[1]Forward Ranks'!N151</f>
        <v>0</v>
      </c>
      <c r="H151" s="1">
        <f>'[1]Forward Ranks'!S151</f>
        <v>0.82314410480349343</v>
      </c>
      <c r="I151" s="1">
        <f>'[1]Forward Ranks'!T151</f>
        <v>0.37336244541484714</v>
      </c>
      <c r="J151" s="1">
        <f>'[1]Forward Ranks'!U151</f>
        <v>0.56550218340611358</v>
      </c>
      <c r="K151" s="1">
        <f>'[1]Forward Ranks'!V151</f>
        <v>0.62227074235807855</v>
      </c>
      <c r="L151">
        <f>'[1]Forward Ranks'!X151</f>
        <v>0</v>
      </c>
      <c r="M151" s="1">
        <f>'[1]Forward Ranks'!AC151</f>
        <v>0.68995633187772931</v>
      </c>
      <c r="N151" s="1">
        <f>'[1]Forward Ranks'!AD151</f>
        <v>0.3056768558951965</v>
      </c>
      <c r="O151" s="1">
        <f>'[1]Forward Ranks'!AE151</f>
        <v>0.71179039301310043</v>
      </c>
      <c r="P151" s="1">
        <f>'[1]Forward Ranks'!AF151</f>
        <v>0.47816593886462883</v>
      </c>
      <c r="Q151">
        <f>'[1]Forward Ranks'!AH151</f>
        <v>0</v>
      </c>
      <c r="R151" s="1">
        <f>'[1]Forward Ranks'!AM151</f>
        <v>0.42358078602620086</v>
      </c>
      <c r="S151" s="1">
        <f>'[1]Forward Ranks'!AN151</f>
        <v>0.79039301310043664</v>
      </c>
      <c r="T151" s="1">
        <f>'[1]Forward Ranks'!AO151</f>
        <v>0.888646288209607</v>
      </c>
      <c r="U151" s="1">
        <f>'[1]Forward Ranks'!AP151</f>
        <v>0.58951965065502188</v>
      </c>
      <c r="V151">
        <f>'[1]Forward Ranks'!AR151</f>
        <v>0</v>
      </c>
      <c r="W151" s="1">
        <f>'[1]Forward Ranks'!AW151</f>
        <v>0.69650655021834063</v>
      </c>
      <c r="X151" s="1">
        <f>'[1]Forward Ranks'!AX151</f>
        <v>0.24890829694323144</v>
      </c>
      <c r="Y151" s="1">
        <f>'[1]Forward Ranks'!AY151</f>
        <v>0.36244541484716158</v>
      </c>
      <c r="Z151" s="1">
        <f>'[1]Forward Ranks'!AZ151</f>
        <v>0.31441048034934499</v>
      </c>
      <c r="AA151">
        <f>'[1]Forward Ranks'!BB151</f>
        <v>0</v>
      </c>
      <c r="AB151" s="1">
        <f>'[1]Forward Ranks'!BG151</f>
        <v>0.50873362445414849</v>
      </c>
      <c r="AC151" s="1">
        <f>'[1]Forward Ranks'!BH151</f>
        <v>0.2205240174672489</v>
      </c>
      <c r="AD151" s="1">
        <f>'[1]Forward Ranks'!BI151</f>
        <v>0.96943231441048039</v>
      </c>
      <c r="AE151" s="1">
        <f>'[1]Forward Ranks'!BJ151</f>
        <v>0.95633187772925765</v>
      </c>
      <c r="AF151">
        <f>'[1]Forward Ranks'!BL151</f>
        <v>0</v>
      </c>
      <c r="AG151" s="1">
        <f>'[1]Forward Ranks'!BQ151</f>
        <v>0.58296943231441045</v>
      </c>
      <c r="AH151" s="1">
        <f>'[1]Forward Ranks'!BR151</f>
        <v>0.69650655021834063</v>
      </c>
      <c r="AI151" s="1">
        <f>'[1]Forward Ranks'!BS151</f>
        <v>0.88209606986899558</v>
      </c>
      <c r="AJ151" s="1">
        <f>'[1]Forward Ranks'!BT151</f>
        <v>0.59388646288209612</v>
      </c>
      <c r="AL151" s="2">
        <f>'[1]Forward Ranks'!BX151</f>
        <v>0.61572052401746724</v>
      </c>
      <c r="AN151" t="str">
        <f>'[1]Forward Ranks'!B151</f>
        <v>NYI</v>
      </c>
      <c r="AO151">
        <f>'[1]F on ice'!E151</f>
        <v>49</v>
      </c>
      <c r="AP151" s="2">
        <f>'[1]Impact Score Math'!E151</f>
        <v>0.64529058116232463</v>
      </c>
      <c r="AQ151">
        <f>'[1]Impact Score Math'!G151</f>
        <v>178</v>
      </c>
      <c r="AT151" s="1">
        <f>'[1]Forward Ranks'!CJ151</f>
        <v>0.73362445414847166</v>
      </c>
      <c r="AU151" s="1">
        <f>'[1]Forward Ranks'!CK151</f>
        <v>0.44323144104803491</v>
      </c>
    </row>
    <row r="152" spans="1:47" x14ac:dyDescent="0.3">
      <c r="A152" t="str">
        <f>'[1]Forward Ranks'!A152</f>
        <v>Ilya Mikheyev</v>
      </c>
      <c r="B152">
        <f>'[1]Forward Ranks'!D152</f>
        <v>0</v>
      </c>
      <c r="C152" s="1">
        <f>'[1]Forward Ranks'!I152</f>
        <v>0.14847161572052403</v>
      </c>
      <c r="D152" s="1">
        <f>'[1]Forward Ranks'!J152</f>
        <v>0.44104803493449779</v>
      </c>
      <c r="E152" s="1">
        <f>'[1]Forward Ranks'!K152</f>
        <v>0.98034934497816595</v>
      </c>
      <c r="F152" s="1">
        <f>'[1]Forward Ranks'!L152</f>
        <v>0.31659388646288211</v>
      </c>
      <c r="G152">
        <f>'[1]Forward Ranks'!N152</f>
        <v>0</v>
      </c>
      <c r="H152" s="1">
        <f>'[1]Forward Ranks'!S152</f>
        <v>0.89519650655021832</v>
      </c>
      <c r="I152" s="1">
        <f>'[1]Forward Ranks'!T152</f>
        <v>0.77510917030567683</v>
      </c>
      <c r="J152" s="1">
        <f>'[1]Forward Ranks'!U152</f>
        <v>0.76419213973799127</v>
      </c>
      <c r="K152" s="1">
        <f>'[1]Forward Ranks'!V152</f>
        <v>0.91484716157205237</v>
      </c>
      <c r="L152">
        <f>'[1]Forward Ranks'!X152</f>
        <v>0</v>
      </c>
      <c r="M152" s="1">
        <f>'[1]Forward Ranks'!AC152</f>
        <v>0.51310043668122274</v>
      </c>
      <c r="N152" s="1">
        <f>'[1]Forward Ranks'!AD152</f>
        <v>0.12008733624454149</v>
      </c>
      <c r="O152" s="1">
        <f>'[1]Forward Ranks'!AE152</f>
        <v>0.14410480349344978</v>
      </c>
      <c r="P152" s="1">
        <f>'[1]Forward Ranks'!AF152</f>
        <v>0.34279475982532753</v>
      </c>
      <c r="Q152">
        <f>'[1]Forward Ranks'!AH152</f>
        <v>0</v>
      </c>
      <c r="R152" s="1">
        <f>'[1]Forward Ranks'!AM152</f>
        <v>0.29039301310043669</v>
      </c>
      <c r="S152" s="1">
        <f>'[1]Forward Ranks'!AN152</f>
        <v>0.62882096069868998</v>
      </c>
      <c r="T152" s="1">
        <f>'[1]Forward Ranks'!AO152</f>
        <v>0.99126637554585151</v>
      </c>
      <c r="U152" s="1">
        <f>'[1]Forward Ranks'!AP152</f>
        <v>0.48471615720524019</v>
      </c>
      <c r="V152">
        <f>'[1]Forward Ranks'!AR152</f>
        <v>0</v>
      </c>
      <c r="W152" s="1">
        <f>'[1]Forward Ranks'!AW152</f>
        <v>0.77729257641921401</v>
      </c>
      <c r="X152" s="1">
        <f>'[1]Forward Ranks'!AX152</f>
        <v>0.24454148471615719</v>
      </c>
      <c r="Y152" s="1">
        <f>'[1]Forward Ranks'!AY152</f>
        <v>0.41484716157205243</v>
      </c>
      <c r="Z152" s="1">
        <f>'[1]Forward Ranks'!AZ152</f>
        <v>0.63100436681222705</v>
      </c>
      <c r="AA152">
        <f>'[1]Forward Ranks'!BB152</f>
        <v>0</v>
      </c>
      <c r="AB152" s="1">
        <f>'[1]Forward Ranks'!BG152</f>
        <v>0.78602620087336239</v>
      </c>
      <c r="AC152" s="1">
        <f>'[1]Forward Ranks'!BH152</f>
        <v>0.53275109170305679</v>
      </c>
      <c r="AD152" s="1">
        <f>'[1]Forward Ranks'!BI152</f>
        <v>1</v>
      </c>
      <c r="AE152" s="1">
        <f>'[1]Forward Ranks'!BJ152</f>
        <v>0.9126637554585153</v>
      </c>
      <c r="AF152">
        <f>'[1]Forward Ranks'!BL152</f>
        <v>0</v>
      </c>
      <c r="AG152" s="1">
        <f>'[1]Forward Ranks'!BQ152</f>
        <v>0.2423580786026201</v>
      </c>
      <c r="AH152" s="1">
        <f>'[1]Forward Ranks'!BR152</f>
        <v>0.23580786026200873</v>
      </c>
      <c r="AI152" s="1">
        <f>'[1]Forward Ranks'!BS152</f>
        <v>0.71615720524017468</v>
      </c>
      <c r="AJ152" s="1">
        <f>'[1]Forward Ranks'!BT152</f>
        <v>0.29912663755458513</v>
      </c>
      <c r="AL152" s="2">
        <f>'[1]Forward Ranks'!BX152</f>
        <v>0.5</v>
      </c>
      <c r="AN152" t="str">
        <f>'[1]Forward Ranks'!B152</f>
        <v>VAN</v>
      </c>
      <c r="AO152">
        <f>'[1]F on ice'!E152</f>
        <v>46</v>
      </c>
      <c r="AP152" s="2">
        <f>'[1]Impact Score Math'!E152</f>
        <v>0.63326653306613223</v>
      </c>
      <c r="AQ152">
        <f>'[1]Impact Score Math'!G152</f>
        <v>184</v>
      </c>
      <c r="AT152" s="1">
        <f>'[1]Forward Ranks'!CJ152</f>
        <v>0.97379912663755464</v>
      </c>
      <c r="AU152" s="1">
        <f>'[1]Forward Ranks'!CK152</f>
        <v>0.50873362445414849</v>
      </c>
    </row>
    <row r="153" spans="1:47" x14ac:dyDescent="0.3">
      <c r="A153" t="str">
        <f>'[1]Forward Ranks'!A153</f>
        <v>Isac Lundestrom</v>
      </c>
      <c r="B153">
        <f>'[1]Forward Ranks'!D153</f>
        <v>0</v>
      </c>
      <c r="C153" s="1">
        <f>'[1]Forward Ranks'!I153</f>
        <v>4.8034934497816595E-2</v>
      </c>
      <c r="D153" s="1">
        <f>'[1]Forward Ranks'!J153</f>
        <v>0.14628820960698691</v>
      </c>
      <c r="E153" s="1">
        <f>'[1]Forward Ranks'!K153</f>
        <v>0.11353711790393013</v>
      </c>
      <c r="F153" s="1">
        <f>'[1]Forward Ranks'!L153</f>
        <v>5.2401746724890827E-2</v>
      </c>
      <c r="G153">
        <f>'[1]Forward Ranks'!N153</f>
        <v>0</v>
      </c>
      <c r="H153" s="1">
        <f>'[1]Forward Ranks'!S153</f>
        <v>5.8951965065502182E-2</v>
      </c>
      <c r="I153" s="1">
        <f>'[1]Forward Ranks'!T153</f>
        <v>0.1703056768558952</v>
      </c>
      <c r="J153" s="1">
        <f>'[1]Forward Ranks'!U153</f>
        <v>0.13755458515283842</v>
      </c>
      <c r="K153" s="1">
        <f>'[1]Forward Ranks'!V153</f>
        <v>5.6768558951965066E-2</v>
      </c>
      <c r="L153">
        <f>'[1]Forward Ranks'!X153</f>
        <v>0</v>
      </c>
      <c r="M153" s="1">
        <f>'[1]Forward Ranks'!AC153</f>
        <v>2.1834061135371178E-2</v>
      </c>
      <c r="N153" s="1">
        <f>'[1]Forward Ranks'!AD153</f>
        <v>8.296943231441048E-2</v>
      </c>
      <c r="O153" s="1">
        <f>'[1]Forward Ranks'!AE153</f>
        <v>0.27947598253275108</v>
      </c>
      <c r="P153" s="1">
        <f>'[1]Forward Ranks'!AF153</f>
        <v>4.5851528384279479E-2</v>
      </c>
      <c r="Q153">
        <f>'[1]Forward Ranks'!AH153</f>
        <v>0</v>
      </c>
      <c r="R153" s="1">
        <f>'[1]Forward Ranks'!AM153</f>
        <v>0.18558951965065501</v>
      </c>
      <c r="S153" s="1">
        <f>'[1]Forward Ranks'!AN153</f>
        <v>0.30131004366812225</v>
      </c>
      <c r="T153" s="1">
        <f>'[1]Forward Ranks'!AO153</f>
        <v>0.15720524017467249</v>
      </c>
      <c r="U153" s="1">
        <f>'[1]Forward Ranks'!AP153</f>
        <v>0.16157205240174671</v>
      </c>
      <c r="V153">
        <f>'[1]Forward Ranks'!AR153</f>
        <v>0</v>
      </c>
      <c r="W153" s="1">
        <f>'[1]Forward Ranks'!AW153</f>
        <v>0.3056768558951965</v>
      </c>
      <c r="X153" s="1">
        <f>'[1]Forward Ranks'!AX153</f>
        <v>0.82314410480349343</v>
      </c>
      <c r="Y153" s="1">
        <f>'[1]Forward Ranks'!AY153</f>
        <v>0.74672489082969429</v>
      </c>
      <c r="Z153" s="1">
        <f>'[1]Forward Ranks'!AZ153</f>
        <v>0.67248908296943233</v>
      </c>
      <c r="AA153">
        <f>'[1]Forward Ranks'!BB153</f>
        <v>0</v>
      </c>
      <c r="AB153" s="1">
        <f>'[1]Forward Ranks'!BG153</f>
        <v>0.388646288209607</v>
      </c>
      <c r="AC153" s="1">
        <f>'[1]Forward Ranks'!BH153</f>
        <v>5.8951965065502182E-2</v>
      </c>
      <c r="AD153" s="1">
        <f>'[1]Forward Ranks'!BI153</f>
        <v>0.15502183406113537</v>
      </c>
      <c r="AE153" s="1">
        <f>'[1]Forward Ranks'!BJ153</f>
        <v>0.33187772925764192</v>
      </c>
      <c r="AF153">
        <f>'[1]Forward Ranks'!BL153</f>
        <v>0</v>
      </c>
      <c r="AG153" s="1">
        <f>'[1]Forward Ranks'!BQ153</f>
        <v>1.7467248908296942E-2</v>
      </c>
      <c r="AH153" s="1">
        <f>'[1]Forward Ranks'!BR153</f>
        <v>6.768558951965066E-2</v>
      </c>
      <c r="AI153" s="1">
        <f>'[1]Forward Ranks'!BS153</f>
        <v>8.296943231441048E-2</v>
      </c>
      <c r="AJ153" s="1">
        <f>'[1]Forward Ranks'!BT153</f>
        <v>1.9650655021834062E-2</v>
      </c>
      <c r="AL153" s="2">
        <f>'[1]Forward Ranks'!BX153</f>
        <v>1.5283842794759825E-2</v>
      </c>
      <c r="AN153" t="str">
        <f>'[1]Forward Ranks'!B153</f>
        <v>ANA</v>
      </c>
      <c r="AO153">
        <f>'[1]F on ice'!E153</f>
        <v>61</v>
      </c>
      <c r="AP153" s="2">
        <f>'[1]Impact Score Math'!E153</f>
        <v>0.10020040080160321</v>
      </c>
      <c r="AQ153">
        <f>'[1]Impact Score Math'!G153</f>
        <v>450</v>
      </c>
      <c r="AT153" s="1">
        <f>'[1]Forward Ranks'!CJ153</f>
        <v>0.97816593886462877</v>
      </c>
      <c r="AU153" s="1">
        <f>'[1]Forward Ranks'!CK153</f>
        <v>0.10480349344978165</v>
      </c>
    </row>
    <row r="154" spans="1:47" x14ac:dyDescent="0.3">
      <c r="A154" t="str">
        <f>'[1]Forward Ranks'!A154</f>
        <v>Ivan Barbashev</v>
      </c>
      <c r="B154">
        <f>'[1]Forward Ranks'!D154</f>
        <v>0</v>
      </c>
      <c r="C154" s="1">
        <f>'[1]Forward Ranks'!I154</f>
        <v>0.50655021834061131</v>
      </c>
      <c r="D154" s="1">
        <f>'[1]Forward Ranks'!J154</f>
        <v>0.47379912663755458</v>
      </c>
      <c r="E154" s="1">
        <f>'[1]Forward Ranks'!K154</f>
        <v>0.67685589519650657</v>
      </c>
      <c r="F154" s="1">
        <f>'[1]Forward Ranks'!L154</f>
        <v>0.4606986899563319</v>
      </c>
      <c r="G154">
        <f>'[1]Forward Ranks'!N154</f>
        <v>0</v>
      </c>
      <c r="H154" s="1">
        <f>'[1]Forward Ranks'!S154</f>
        <v>0.45414847161572053</v>
      </c>
      <c r="I154" s="1">
        <f>'[1]Forward Ranks'!T154</f>
        <v>0.79912663755458513</v>
      </c>
      <c r="J154" s="1">
        <f>'[1]Forward Ranks'!U154</f>
        <v>0.61790393013100442</v>
      </c>
      <c r="K154" s="1">
        <f>'[1]Forward Ranks'!V154</f>
        <v>0.68777292576419213</v>
      </c>
      <c r="L154">
        <f>'[1]Forward Ranks'!X154</f>
        <v>0</v>
      </c>
      <c r="M154" s="1">
        <f>'[1]Forward Ranks'!AC154</f>
        <v>7.8602620087336247E-2</v>
      </c>
      <c r="N154" s="1">
        <f>'[1]Forward Ranks'!AD154</f>
        <v>0.2205240174672489</v>
      </c>
      <c r="O154" s="1">
        <f>'[1]Forward Ranks'!AE154</f>
        <v>0.45851528384279477</v>
      </c>
      <c r="P154" s="1">
        <f>'[1]Forward Ranks'!AF154</f>
        <v>0.11135371179039301</v>
      </c>
      <c r="Q154">
        <f>'[1]Forward Ranks'!AH154</f>
        <v>0</v>
      </c>
      <c r="R154" s="1">
        <f>'[1]Forward Ranks'!AM154</f>
        <v>0.81222707423580787</v>
      </c>
      <c r="S154" s="1">
        <f>'[1]Forward Ranks'!AN154</f>
        <v>0.73580786026200873</v>
      </c>
      <c r="T154" s="1">
        <f>'[1]Forward Ranks'!AO154</f>
        <v>0.67685589519650657</v>
      </c>
      <c r="U154" s="1">
        <f>'[1]Forward Ranks'!AP154</f>
        <v>0.69650655021834063</v>
      </c>
      <c r="V154">
        <f>'[1]Forward Ranks'!AR154</f>
        <v>0</v>
      </c>
      <c r="W154" s="1">
        <f>'[1]Forward Ranks'!AW154</f>
        <v>8.7336244541484712E-2</v>
      </c>
      <c r="X154" s="1">
        <f>'[1]Forward Ranks'!AX154</f>
        <v>0.34279475982532753</v>
      </c>
      <c r="Y154" s="1">
        <f>'[1]Forward Ranks'!AY154</f>
        <v>0.64628820960698685</v>
      </c>
      <c r="Z154" s="1">
        <f>'[1]Forward Ranks'!AZ154</f>
        <v>0.24454148471615719</v>
      </c>
      <c r="AA154">
        <f>'[1]Forward Ranks'!BB154</f>
        <v>0</v>
      </c>
      <c r="AB154" s="1">
        <f>'[1]Forward Ranks'!BG154</f>
        <v>0.8253275109170306</v>
      </c>
      <c r="AC154" s="1">
        <f>'[1]Forward Ranks'!BH154</f>
        <v>0.45414847161572053</v>
      </c>
      <c r="AD154" s="1">
        <f>'[1]Forward Ranks'!BI154</f>
        <v>0.74235807860262004</v>
      </c>
      <c r="AE154" s="1">
        <f>'[1]Forward Ranks'!BJ154</f>
        <v>0.81877729257641918</v>
      </c>
      <c r="AF154">
        <f>'[1]Forward Ranks'!BL154</f>
        <v>0</v>
      </c>
      <c r="AG154" s="1">
        <f>'[1]Forward Ranks'!BQ154</f>
        <v>0.22270742358078602</v>
      </c>
      <c r="AH154" s="1">
        <f>'[1]Forward Ranks'!BR154</f>
        <v>0.31659388646288211</v>
      </c>
      <c r="AI154" s="1">
        <f>'[1]Forward Ranks'!BS154</f>
        <v>0.61353711790393017</v>
      </c>
      <c r="AJ154" s="1">
        <f>'[1]Forward Ranks'!BT154</f>
        <v>0.24672489082969432</v>
      </c>
      <c r="AL154" s="2">
        <f>'[1]Forward Ranks'!BX154</f>
        <v>0.39737991266375544</v>
      </c>
      <c r="AN154" t="str">
        <f>'[1]Forward Ranks'!B154</f>
        <v>STL, VGK</v>
      </c>
      <c r="AO154">
        <f>'[1]F on ice'!E154</f>
        <v>82</v>
      </c>
      <c r="AP154" s="2">
        <f>'[1]Impact Score Math'!E154</f>
        <v>0.54308617234468937</v>
      </c>
      <c r="AQ154">
        <f>'[1]Impact Score Math'!G154</f>
        <v>229</v>
      </c>
      <c r="AT154" s="1">
        <f>'[1]Forward Ranks'!CJ154</f>
        <v>0.44978165938864628</v>
      </c>
      <c r="AU154" s="1">
        <f>'[1]Forward Ranks'!CK154</f>
        <v>0.70305676855895194</v>
      </c>
    </row>
    <row r="155" spans="1:47" x14ac:dyDescent="0.3">
      <c r="A155" t="str">
        <f>'[1]Forward Ranks'!A155</f>
        <v>J.T. Compher</v>
      </c>
      <c r="B155">
        <f>'[1]Forward Ranks'!D155</f>
        <v>0</v>
      </c>
      <c r="C155" s="1">
        <f>'[1]Forward Ranks'!I155</f>
        <v>0.69432314410480345</v>
      </c>
      <c r="D155" s="1">
        <f>'[1]Forward Ranks'!J155</f>
        <v>0.42576419213973798</v>
      </c>
      <c r="E155" s="1">
        <f>'[1]Forward Ranks'!K155</f>
        <v>0.49344978165938863</v>
      </c>
      <c r="F155" s="1">
        <f>'[1]Forward Ranks'!L155</f>
        <v>0.50436681222707425</v>
      </c>
      <c r="G155">
        <f>'[1]Forward Ranks'!N155</f>
        <v>0</v>
      </c>
      <c r="H155" s="1">
        <f>'[1]Forward Ranks'!S155</f>
        <v>0.4126637554585153</v>
      </c>
      <c r="I155" s="1">
        <f>'[1]Forward Ranks'!T155</f>
        <v>0.48689956331877732</v>
      </c>
      <c r="J155" s="1">
        <f>'[1]Forward Ranks'!U155</f>
        <v>0.52183406113537123</v>
      </c>
      <c r="K155" s="1">
        <f>'[1]Forward Ranks'!V155</f>
        <v>0.43449781659388648</v>
      </c>
      <c r="L155">
        <f>'[1]Forward Ranks'!X155</f>
        <v>0</v>
      </c>
      <c r="M155" s="1">
        <f>'[1]Forward Ranks'!AC155</f>
        <v>0.49563318777292575</v>
      </c>
      <c r="N155" s="1">
        <f>'[1]Forward Ranks'!AD155</f>
        <v>0.58515283842794763</v>
      </c>
      <c r="O155" s="1">
        <f>'[1]Forward Ranks'!AE155</f>
        <v>0.84061135371179041</v>
      </c>
      <c r="P155" s="1">
        <f>'[1]Forward Ranks'!AF155</f>
        <v>0.78602620087336239</v>
      </c>
      <c r="Q155">
        <f>'[1]Forward Ranks'!AH155</f>
        <v>0</v>
      </c>
      <c r="R155" s="1">
        <f>'[1]Forward Ranks'!AM155</f>
        <v>0.60698689956331875</v>
      </c>
      <c r="S155" s="1">
        <f>'[1]Forward Ranks'!AN155</f>
        <v>0.46506550218340609</v>
      </c>
      <c r="T155" s="1">
        <f>'[1]Forward Ranks'!AO155</f>
        <v>0.45851528384279477</v>
      </c>
      <c r="U155" s="1">
        <f>'[1]Forward Ranks'!AP155</f>
        <v>0.5240174672489083</v>
      </c>
      <c r="V155">
        <f>'[1]Forward Ranks'!AR155</f>
        <v>0</v>
      </c>
      <c r="W155" s="1">
        <f>'[1]Forward Ranks'!AW155</f>
        <v>0.32532751091703055</v>
      </c>
      <c r="X155" s="1">
        <f>'[1]Forward Ranks'!AX155</f>
        <v>0.50873362445414849</v>
      </c>
      <c r="Y155" s="1">
        <f>'[1]Forward Ranks'!AY155</f>
        <v>0.70524017467248912</v>
      </c>
      <c r="Z155" s="1">
        <f>'[1]Forward Ranks'!AZ155</f>
        <v>0.63100436681222705</v>
      </c>
      <c r="AA155">
        <f>'[1]Forward Ranks'!BB155</f>
        <v>0</v>
      </c>
      <c r="AB155" s="1">
        <f>'[1]Forward Ranks'!BG155</f>
        <v>0.92576419213973804</v>
      </c>
      <c r="AC155" s="1">
        <f>'[1]Forward Ranks'!BH155</f>
        <v>0.39956331877729256</v>
      </c>
      <c r="AD155" s="1">
        <f>'[1]Forward Ranks'!BI155</f>
        <v>0.31877729257641924</v>
      </c>
      <c r="AE155" s="1">
        <f>'[1]Forward Ranks'!BJ155</f>
        <v>0.68340611353711789</v>
      </c>
      <c r="AF155">
        <f>'[1]Forward Ranks'!BL155</f>
        <v>0</v>
      </c>
      <c r="AG155" s="1">
        <f>'[1]Forward Ranks'!BQ155</f>
        <v>0.6266375545851528</v>
      </c>
      <c r="AH155" s="1">
        <f>'[1]Forward Ranks'!BR155</f>
        <v>0.4606986899563319</v>
      </c>
      <c r="AI155" s="1">
        <f>'[1]Forward Ranks'!BS155</f>
        <v>0.78165938864628826</v>
      </c>
      <c r="AJ155" s="1">
        <f>'[1]Forward Ranks'!BT155</f>
        <v>0.69868995633187769</v>
      </c>
      <c r="AL155" s="2">
        <f>'[1]Forward Ranks'!BX155</f>
        <v>0.60917030567685593</v>
      </c>
      <c r="AN155" t="str">
        <f>'[1]Forward Ranks'!B155</f>
        <v>COL</v>
      </c>
      <c r="AO155">
        <f>'[1]F on ice'!E155</f>
        <v>82</v>
      </c>
      <c r="AP155" s="2">
        <f>'[1]Impact Score Math'!E155</f>
        <v>0.76152304609218435</v>
      </c>
      <c r="AQ155">
        <f>'[1]Impact Score Math'!G155</f>
        <v>120</v>
      </c>
      <c r="AT155" s="1">
        <f>'[1]Forward Ranks'!CJ155</f>
        <v>0.47379912663755458</v>
      </c>
      <c r="AU155" s="1">
        <f>'[1]Forward Ranks'!CK155</f>
        <v>0.35589519650655022</v>
      </c>
    </row>
    <row r="156" spans="1:47" x14ac:dyDescent="0.3">
      <c r="A156" t="str">
        <f>'[1]Forward Ranks'!A156</f>
        <v>J.T. Miller</v>
      </c>
      <c r="B156">
        <f>'[1]Forward Ranks'!D156</f>
        <v>0</v>
      </c>
      <c r="C156" s="1">
        <f>'[1]Forward Ranks'!I156</f>
        <v>0.59170305676855894</v>
      </c>
      <c r="D156" s="1">
        <f>'[1]Forward Ranks'!J156</f>
        <v>0.34279475982532753</v>
      </c>
      <c r="E156" s="1">
        <f>'[1]Forward Ranks'!K156</f>
        <v>0.29475982532751094</v>
      </c>
      <c r="F156" s="1">
        <f>'[1]Forward Ranks'!L156</f>
        <v>0.35807860262008734</v>
      </c>
      <c r="G156">
        <f>'[1]Forward Ranks'!N156</f>
        <v>0</v>
      </c>
      <c r="H156" s="1">
        <f>'[1]Forward Ranks'!S156</f>
        <v>0.388646288209607</v>
      </c>
      <c r="I156" s="1">
        <f>'[1]Forward Ranks'!T156</f>
        <v>0.63755458515283847</v>
      </c>
      <c r="J156" s="1">
        <f>'[1]Forward Ranks'!U156</f>
        <v>0.75109170305676853</v>
      </c>
      <c r="K156" s="1">
        <f>'[1]Forward Ranks'!V156</f>
        <v>0.55021834061135366</v>
      </c>
      <c r="L156">
        <f>'[1]Forward Ranks'!X156</f>
        <v>0</v>
      </c>
      <c r="M156" s="1">
        <f>'[1]Forward Ranks'!AC156</f>
        <v>0.43449781659388648</v>
      </c>
      <c r="N156" s="1">
        <f>'[1]Forward Ranks'!AD156</f>
        <v>0.34716157205240172</v>
      </c>
      <c r="O156" s="1">
        <f>'[1]Forward Ranks'!AE156</f>
        <v>0.26419213973799127</v>
      </c>
      <c r="P156" s="1">
        <f>'[1]Forward Ranks'!AF156</f>
        <v>0.24017467248908297</v>
      </c>
      <c r="Q156">
        <f>'[1]Forward Ranks'!AH156</f>
        <v>0</v>
      </c>
      <c r="R156" s="1">
        <f>'[1]Forward Ranks'!AM156</f>
        <v>0.90611353711790388</v>
      </c>
      <c r="S156" s="1">
        <f>'[1]Forward Ranks'!AN156</f>
        <v>0.41703056768558949</v>
      </c>
      <c r="T156" s="1">
        <f>'[1]Forward Ranks'!AO156</f>
        <v>0.27947598253275108</v>
      </c>
      <c r="U156" s="1">
        <f>'[1]Forward Ranks'!AP156</f>
        <v>0.57423580786026196</v>
      </c>
      <c r="V156">
        <f>'[1]Forward Ranks'!AR156</f>
        <v>0</v>
      </c>
      <c r="W156" s="1">
        <f>'[1]Forward Ranks'!AW156</f>
        <v>0.36244541484716158</v>
      </c>
      <c r="X156" s="1">
        <f>'[1]Forward Ranks'!AX156</f>
        <v>0.39519650655021832</v>
      </c>
      <c r="Y156" s="1">
        <f>'[1]Forward Ranks'!AY156</f>
        <v>0.4759825327510917</v>
      </c>
      <c r="Z156" s="1">
        <f>'[1]Forward Ranks'!AZ156</f>
        <v>0.22707423580786026</v>
      </c>
      <c r="AA156">
        <f>'[1]Forward Ranks'!BB156</f>
        <v>0</v>
      </c>
      <c r="AB156" s="1">
        <f>'[1]Forward Ranks'!BG156</f>
        <v>0.82314410480349343</v>
      </c>
      <c r="AC156" s="1">
        <f>'[1]Forward Ranks'!BH156</f>
        <v>0.43449781659388648</v>
      </c>
      <c r="AD156" s="1">
        <f>'[1]Forward Ranks'!BI156</f>
        <v>0.20305676855895197</v>
      </c>
      <c r="AE156" s="1">
        <f>'[1]Forward Ranks'!BJ156</f>
        <v>0.13537117903930132</v>
      </c>
      <c r="AF156">
        <f>'[1]Forward Ranks'!BL156</f>
        <v>0</v>
      </c>
      <c r="AG156" s="1">
        <f>'[1]Forward Ranks'!BQ156</f>
        <v>0.52838427947598254</v>
      </c>
      <c r="AH156" s="1">
        <f>'[1]Forward Ranks'!BR156</f>
        <v>0.29694323144104806</v>
      </c>
      <c r="AI156" s="1">
        <f>'[1]Forward Ranks'!BS156</f>
        <v>0.21397379912663755</v>
      </c>
      <c r="AJ156" s="1">
        <f>'[1]Forward Ranks'!BT156</f>
        <v>0.28602620087336245</v>
      </c>
      <c r="AL156" s="2">
        <f>'[1]Forward Ranks'!BX156</f>
        <v>0.47816593886462883</v>
      </c>
      <c r="AN156" t="str">
        <f>'[1]Forward Ranks'!B156</f>
        <v>VAN</v>
      </c>
      <c r="AO156">
        <f>'[1]F on ice'!E156</f>
        <v>81</v>
      </c>
      <c r="AP156" s="2">
        <f>'[1]Impact Score Math'!E156</f>
        <v>0.62525050100200397</v>
      </c>
      <c r="AQ156">
        <f>'[1]Impact Score Math'!G156</f>
        <v>188</v>
      </c>
      <c r="AT156" s="1">
        <f>'[1]Forward Ranks'!CJ156</f>
        <v>0.32096069868995636</v>
      </c>
      <c r="AU156" s="1">
        <f>'[1]Forward Ranks'!CK156</f>
        <v>0.6746724890829694</v>
      </c>
    </row>
    <row r="157" spans="1:47" x14ac:dyDescent="0.3">
      <c r="A157" t="str">
        <f>'[1]Forward Ranks'!A157</f>
        <v>Jack Drury</v>
      </c>
      <c r="B157">
        <f>'[1]Forward Ranks'!D157</f>
        <v>0</v>
      </c>
      <c r="C157" s="1">
        <f>'[1]Forward Ranks'!I157</f>
        <v>0.99563318777292575</v>
      </c>
      <c r="D157" s="1">
        <f>'[1]Forward Ranks'!J157</f>
        <v>0.90393013100436681</v>
      </c>
      <c r="E157" s="1">
        <f>'[1]Forward Ranks'!K157</f>
        <v>0.28820960698689957</v>
      </c>
      <c r="F157" s="1">
        <f>'[1]Forward Ranks'!L157</f>
        <v>0.87772925764192145</v>
      </c>
      <c r="G157">
        <f>'[1]Forward Ranks'!N157</f>
        <v>0</v>
      </c>
      <c r="H157" s="1">
        <f>'[1]Forward Ranks'!S157</f>
        <v>8.9519650655021835E-2</v>
      </c>
      <c r="I157" s="1">
        <f>'[1]Forward Ranks'!T157</f>
        <v>0.40174672489082969</v>
      </c>
      <c r="J157" s="1">
        <f>'[1]Forward Ranks'!U157</f>
        <v>0.44104803493449779</v>
      </c>
      <c r="K157" s="1">
        <f>'[1]Forward Ranks'!V157</f>
        <v>0.16593886462882096</v>
      </c>
      <c r="L157">
        <f>'[1]Forward Ranks'!X157</f>
        <v>0</v>
      </c>
      <c r="M157" s="1">
        <f>'[1]Forward Ranks'!AC157</f>
        <v>1</v>
      </c>
      <c r="N157" s="1">
        <f>'[1]Forward Ranks'!AD157</f>
        <v>0.99781659388646293</v>
      </c>
      <c r="O157" s="1">
        <f>'[1]Forward Ranks'!AE157</f>
        <v>0.96724890829694321</v>
      </c>
      <c r="P157" s="1">
        <f>'[1]Forward Ranks'!AF157</f>
        <v>1</v>
      </c>
      <c r="Q157">
        <f>'[1]Forward Ranks'!AH157</f>
        <v>0</v>
      </c>
      <c r="R157" s="1">
        <f>'[1]Forward Ranks'!AM157</f>
        <v>0.94978165938864634</v>
      </c>
      <c r="S157" s="1">
        <f>'[1]Forward Ranks'!AN157</f>
        <v>0.77729257641921401</v>
      </c>
      <c r="T157" s="1">
        <f>'[1]Forward Ranks'!AO157</f>
        <v>0.31004366812227074</v>
      </c>
      <c r="U157" s="1">
        <f>'[1]Forward Ranks'!AP157</f>
        <v>0.69650655021834063</v>
      </c>
      <c r="V157">
        <f>'[1]Forward Ranks'!AR157</f>
        <v>0</v>
      </c>
      <c r="W157" s="1">
        <f>'[1]Forward Ranks'!AW157</f>
        <v>0.9759825327510917</v>
      </c>
      <c r="X157" s="1">
        <f>'[1]Forward Ranks'!AX157</f>
        <v>0.98908296943231444</v>
      </c>
      <c r="Y157" s="1">
        <f>'[1]Forward Ranks'!AY157</f>
        <v>0.89519650655021832</v>
      </c>
      <c r="Z157" s="1">
        <f>'[1]Forward Ranks'!AZ157</f>
        <v>0.99126637554585151</v>
      </c>
      <c r="AA157">
        <f>'[1]Forward Ranks'!BB157</f>
        <v>0</v>
      </c>
      <c r="AB157" s="1">
        <f>'[1]Forward Ranks'!BG157</f>
        <v>0.10262008733624454</v>
      </c>
      <c r="AC157" s="1">
        <f>'[1]Forward Ranks'!BH157</f>
        <v>0.74890829694323147</v>
      </c>
      <c r="AD157" s="1">
        <f>'[1]Forward Ranks'!BI157</f>
        <v>5.458515283842795E-2</v>
      </c>
      <c r="AE157" s="1">
        <f>'[1]Forward Ranks'!BJ157</f>
        <v>0.27510917030567683</v>
      </c>
      <c r="AF157">
        <f>'[1]Forward Ranks'!BL157</f>
        <v>0</v>
      </c>
      <c r="AG157" s="1">
        <f>'[1]Forward Ranks'!BQ157</f>
        <v>1</v>
      </c>
      <c r="AH157" s="1">
        <f>'[1]Forward Ranks'!BR157</f>
        <v>1</v>
      </c>
      <c r="AI157" s="1">
        <f>'[1]Forward Ranks'!BS157</f>
        <v>0.8733624454148472</v>
      </c>
      <c r="AJ157" s="1">
        <f>'[1]Forward Ranks'!BT157</f>
        <v>1</v>
      </c>
      <c r="AL157" s="2">
        <f>'[1]Forward Ranks'!BX157</f>
        <v>0.95196506550218341</v>
      </c>
      <c r="AN157" t="str">
        <f>'[1]Forward Ranks'!B157</f>
        <v>CAR</v>
      </c>
      <c r="AO157">
        <f>'[1]F on ice'!E157</f>
        <v>38</v>
      </c>
      <c r="AP157" s="2">
        <f>'[1]Impact Score Math'!E157</f>
        <v>0.70140280561122248</v>
      </c>
      <c r="AQ157">
        <f>'[1]Impact Score Math'!G157</f>
        <v>150</v>
      </c>
      <c r="AT157" s="1">
        <f>'[1]Forward Ranks'!CJ157</f>
        <v>0.31441048034934499</v>
      </c>
      <c r="AU157" s="1">
        <f>'[1]Forward Ranks'!CK157</f>
        <v>0.48471615720524019</v>
      </c>
    </row>
    <row r="158" spans="1:47" x14ac:dyDescent="0.3">
      <c r="A158" t="str">
        <f>'[1]Forward Ranks'!A158</f>
        <v>Jack Eichel</v>
      </c>
      <c r="B158">
        <f>'[1]Forward Ranks'!D158</f>
        <v>0</v>
      </c>
      <c r="C158" s="1">
        <f>'[1]Forward Ranks'!I158</f>
        <v>0.72270742358078599</v>
      </c>
      <c r="D158" s="1">
        <f>'[1]Forward Ranks'!J158</f>
        <v>0.67685589519650657</v>
      </c>
      <c r="E158" s="1">
        <f>'[1]Forward Ranks'!K158</f>
        <v>0.93013100436681218</v>
      </c>
      <c r="F158" s="1">
        <f>'[1]Forward Ranks'!L158</f>
        <v>0.65283842794759828</v>
      </c>
      <c r="G158">
        <f>'[1]Forward Ranks'!N158</f>
        <v>0</v>
      </c>
      <c r="H158" s="1">
        <f>'[1]Forward Ranks'!S158</f>
        <v>0.93886462882096067</v>
      </c>
      <c r="I158" s="1">
        <f>'[1]Forward Ranks'!T158</f>
        <v>0.72052401746724892</v>
      </c>
      <c r="J158" s="1">
        <f>'[1]Forward Ranks'!U158</f>
        <v>0.60043668122270744</v>
      </c>
      <c r="K158" s="1">
        <f>'[1]Forward Ranks'!V158</f>
        <v>0.92139737991266379</v>
      </c>
      <c r="L158">
        <f>'[1]Forward Ranks'!X158</f>
        <v>0</v>
      </c>
      <c r="M158" s="1">
        <f>'[1]Forward Ranks'!AC158</f>
        <v>0.42139737991266374</v>
      </c>
      <c r="N158" s="1">
        <f>'[1]Forward Ranks'!AD158</f>
        <v>0.83624454148471616</v>
      </c>
      <c r="O158" s="1">
        <f>'[1]Forward Ranks'!AE158</f>
        <v>0.72052401746724892</v>
      </c>
      <c r="P158" s="1">
        <f>'[1]Forward Ranks'!AF158</f>
        <v>0.56113537117903933</v>
      </c>
      <c r="Q158">
        <f>'[1]Forward Ranks'!AH158</f>
        <v>0</v>
      </c>
      <c r="R158" s="1">
        <f>'[1]Forward Ranks'!AM158</f>
        <v>0.8733624454148472</v>
      </c>
      <c r="S158" s="1">
        <f>'[1]Forward Ranks'!AN158</f>
        <v>0.75109170305676853</v>
      </c>
      <c r="T158" s="1">
        <f>'[1]Forward Ranks'!AO158</f>
        <v>0.90829694323144106</v>
      </c>
      <c r="U158" s="1">
        <f>'[1]Forward Ranks'!AP158</f>
        <v>0.71179039301310043</v>
      </c>
      <c r="V158">
        <f>'[1]Forward Ranks'!AR158</f>
        <v>0</v>
      </c>
      <c r="W158" s="1">
        <f>'[1]Forward Ranks'!AW158</f>
        <v>0.57423580786026196</v>
      </c>
      <c r="X158" s="1">
        <f>'[1]Forward Ranks'!AX158</f>
        <v>0.80349344978165937</v>
      </c>
      <c r="Y158" s="1">
        <f>'[1]Forward Ranks'!AY158</f>
        <v>0.50655021834061131</v>
      </c>
      <c r="Z158" s="1">
        <f>'[1]Forward Ranks'!AZ158</f>
        <v>0.55240174672489084</v>
      </c>
      <c r="AA158">
        <f>'[1]Forward Ranks'!BB158</f>
        <v>0</v>
      </c>
      <c r="AB158" s="1">
        <f>'[1]Forward Ranks'!BG158</f>
        <v>0.9126637554585153</v>
      </c>
      <c r="AC158" s="1">
        <f>'[1]Forward Ranks'!BH158</f>
        <v>0.62882096069868998</v>
      </c>
      <c r="AD158" s="1">
        <f>'[1]Forward Ranks'!BI158</f>
        <v>0.85589519650655022</v>
      </c>
      <c r="AE158" s="1">
        <f>'[1]Forward Ranks'!BJ158</f>
        <v>0.89301310043668125</v>
      </c>
      <c r="AF158">
        <f>'[1]Forward Ranks'!BL158</f>
        <v>0</v>
      </c>
      <c r="AG158" s="1">
        <f>'[1]Forward Ranks'!BQ158</f>
        <v>0.62445414847161573</v>
      </c>
      <c r="AH158" s="1">
        <f>'[1]Forward Ranks'!BR158</f>
        <v>0.80131004366812231</v>
      </c>
      <c r="AI158" s="1">
        <f>'[1]Forward Ranks'!BS158</f>
        <v>0.92139737991266379</v>
      </c>
      <c r="AJ158" s="1">
        <f>'[1]Forward Ranks'!BT158</f>
        <v>0.64847161572052403</v>
      </c>
      <c r="AL158" s="2">
        <f>'[1]Forward Ranks'!BX158</f>
        <v>0.8493449781659389</v>
      </c>
      <c r="AN158" t="str">
        <f>'[1]Forward Ranks'!B158</f>
        <v>VGK</v>
      </c>
      <c r="AO158">
        <f>'[1]F on ice'!E158</f>
        <v>67</v>
      </c>
      <c r="AP158" s="2">
        <f>'[1]Impact Score Math'!E158</f>
        <v>0.9118236472945892</v>
      </c>
      <c r="AQ158">
        <f>'[1]Impact Score Math'!G158</f>
        <v>45</v>
      </c>
      <c r="AT158" s="1">
        <f>'[1]Forward Ranks'!CJ158</f>
        <v>0.95196506550218341</v>
      </c>
      <c r="AU158" s="1">
        <f>'[1]Forward Ranks'!CK158</f>
        <v>0.54803493449781659</v>
      </c>
    </row>
    <row r="159" spans="1:47" x14ac:dyDescent="0.3">
      <c r="A159" t="str">
        <f>'[1]Forward Ranks'!A159</f>
        <v>Jack Hughes</v>
      </c>
      <c r="B159">
        <f>'[1]Forward Ranks'!D159</f>
        <v>0</v>
      </c>
      <c r="C159" s="1">
        <f>'[1]Forward Ranks'!I159</f>
        <v>0.89956331877729256</v>
      </c>
      <c r="D159" s="1">
        <f>'[1]Forward Ranks'!J159</f>
        <v>0.92358078602620086</v>
      </c>
      <c r="E159" s="1">
        <f>'[1]Forward Ranks'!K159</f>
        <v>0.93886462882096067</v>
      </c>
      <c r="F159" s="1">
        <f>'[1]Forward Ranks'!L159</f>
        <v>0.93449781659388642</v>
      </c>
      <c r="G159">
        <f>'[1]Forward Ranks'!N159</f>
        <v>0</v>
      </c>
      <c r="H159" s="1">
        <f>'[1]Forward Ranks'!S159</f>
        <v>0.96943231441048039</v>
      </c>
      <c r="I159" s="1">
        <f>'[1]Forward Ranks'!T159</f>
        <v>0.86681222707423577</v>
      </c>
      <c r="J159" s="1">
        <f>'[1]Forward Ranks'!U159</f>
        <v>0.87117903930131002</v>
      </c>
      <c r="K159" s="1">
        <f>'[1]Forward Ranks'!V159</f>
        <v>0.97379912663755464</v>
      </c>
      <c r="L159">
        <f>'[1]Forward Ranks'!X159</f>
        <v>0</v>
      </c>
      <c r="M159" s="1">
        <f>'[1]Forward Ranks'!AC159</f>
        <v>0.86026200873362446</v>
      </c>
      <c r="N159" s="1">
        <f>'[1]Forward Ranks'!AD159</f>
        <v>0.89956331877729256</v>
      </c>
      <c r="O159" s="1">
        <f>'[1]Forward Ranks'!AE159</f>
        <v>0.30349344978165937</v>
      </c>
      <c r="P159" s="1">
        <f>'[1]Forward Ranks'!AF159</f>
        <v>0.77074235807860259</v>
      </c>
      <c r="Q159">
        <f>'[1]Forward Ranks'!AH159</f>
        <v>0</v>
      </c>
      <c r="R159" s="1">
        <f>'[1]Forward Ranks'!AM159</f>
        <v>0.76419213973799127</v>
      </c>
      <c r="S159" s="1">
        <f>'[1]Forward Ranks'!AN159</f>
        <v>0.71615720524017468</v>
      </c>
      <c r="T159" s="1">
        <f>'[1]Forward Ranks'!AO159</f>
        <v>0.85807860262008728</v>
      </c>
      <c r="U159" s="1">
        <f>'[1]Forward Ranks'!AP159</f>
        <v>0.77729257641921401</v>
      </c>
      <c r="V159">
        <f>'[1]Forward Ranks'!AR159</f>
        <v>0</v>
      </c>
      <c r="W159" s="1">
        <f>'[1]Forward Ranks'!AW159</f>
        <v>0.6746724890829694</v>
      </c>
      <c r="X159" s="1">
        <f>'[1]Forward Ranks'!AX159</f>
        <v>0.60043668122270744</v>
      </c>
      <c r="Y159" s="1">
        <f>'[1]Forward Ranks'!AY159</f>
        <v>6.768558951965066E-2</v>
      </c>
      <c r="Z159" s="1">
        <f>'[1]Forward Ranks'!AZ159</f>
        <v>0.51965065502183405</v>
      </c>
      <c r="AA159">
        <f>'[1]Forward Ranks'!BB159</f>
        <v>0</v>
      </c>
      <c r="AB159" s="1">
        <f>'[1]Forward Ranks'!BG159</f>
        <v>0.97816593886462877</v>
      </c>
      <c r="AC159" s="1">
        <f>'[1]Forward Ranks'!BH159</f>
        <v>0.96724890829694321</v>
      </c>
      <c r="AD159" s="1">
        <f>'[1]Forward Ranks'!BI159</f>
        <v>0.82969432314410485</v>
      </c>
      <c r="AE159" s="1">
        <f>'[1]Forward Ranks'!BJ159</f>
        <v>0.41484716157205243</v>
      </c>
      <c r="AF159">
        <f>'[1]Forward Ranks'!BL159</f>
        <v>0</v>
      </c>
      <c r="AG159" s="1">
        <f>'[1]Forward Ranks'!BQ159</f>
        <v>0.93886462882096067</v>
      </c>
      <c r="AH159" s="1">
        <f>'[1]Forward Ranks'!BR159</f>
        <v>0.97816593886462877</v>
      </c>
      <c r="AI159" s="1">
        <f>'[1]Forward Ranks'!BS159</f>
        <v>0.75764192139737996</v>
      </c>
      <c r="AJ159" s="1">
        <f>'[1]Forward Ranks'!BT159</f>
        <v>0.94759825327510916</v>
      </c>
      <c r="AL159" s="2">
        <f>'[1]Forward Ranks'!BX159</f>
        <v>0.97816593886462877</v>
      </c>
      <c r="AN159" t="str">
        <f>'[1]Forward Ranks'!B159</f>
        <v>N.J</v>
      </c>
      <c r="AO159">
        <f>'[1]F on ice'!E159</f>
        <v>78</v>
      </c>
      <c r="AP159" s="2">
        <f>'[1]Impact Score Math'!E159</f>
        <v>0.99799599198396793</v>
      </c>
      <c r="AQ159">
        <f>'[1]Impact Score Math'!G159</f>
        <v>2</v>
      </c>
      <c r="AT159" s="1">
        <f>'[1]Forward Ranks'!CJ159</f>
        <v>0.95851528384279472</v>
      </c>
      <c r="AU159" s="1">
        <f>'[1]Forward Ranks'!CK159</f>
        <v>0.44323144104803491</v>
      </c>
    </row>
    <row r="160" spans="1:47" x14ac:dyDescent="0.3">
      <c r="A160" t="str">
        <f>'[1]Forward Ranks'!A160</f>
        <v>Jack McBain</v>
      </c>
      <c r="B160">
        <f>'[1]Forward Ranks'!D160</f>
        <v>0</v>
      </c>
      <c r="C160" s="1">
        <f>'[1]Forward Ranks'!I160</f>
        <v>3.2751091703056769E-2</v>
      </c>
      <c r="D160" s="1">
        <f>'[1]Forward Ranks'!J160</f>
        <v>0.12445414847161572</v>
      </c>
      <c r="E160" s="1">
        <f>'[1]Forward Ranks'!K160</f>
        <v>0.23799126637554585</v>
      </c>
      <c r="F160" s="1">
        <f>'[1]Forward Ranks'!L160</f>
        <v>6.768558951965066E-2</v>
      </c>
      <c r="G160">
        <f>'[1]Forward Ranks'!N160</f>
        <v>0</v>
      </c>
      <c r="H160" s="1">
        <f>'[1]Forward Ranks'!S160</f>
        <v>0.46724890829694321</v>
      </c>
      <c r="I160" s="1">
        <f>'[1]Forward Ranks'!T160</f>
        <v>0.40393013100436681</v>
      </c>
      <c r="J160" s="1">
        <f>'[1]Forward Ranks'!U160</f>
        <v>0.46943231441048033</v>
      </c>
      <c r="K160" s="1">
        <f>'[1]Forward Ranks'!V160</f>
        <v>0.41484716157205243</v>
      </c>
      <c r="L160">
        <f>'[1]Forward Ranks'!X160</f>
        <v>0</v>
      </c>
      <c r="M160" s="1">
        <f>'[1]Forward Ranks'!AC160</f>
        <v>0.12008733624454149</v>
      </c>
      <c r="N160" s="1">
        <f>'[1]Forward Ranks'!AD160</f>
        <v>0.16375545851528384</v>
      </c>
      <c r="O160" s="1">
        <f>'[1]Forward Ranks'!AE160</f>
        <v>0.33624454148471616</v>
      </c>
      <c r="P160" s="1">
        <f>'[1]Forward Ranks'!AF160</f>
        <v>0.16157205240174671</v>
      </c>
      <c r="Q160">
        <f>'[1]Forward Ranks'!AH160</f>
        <v>0</v>
      </c>
      <c r="R160" s="1">
        <f>'[1]Forward Ranks'!AM160</f>
        <v>0.14847161572052403</v>
      </c>
      <c r="S160" s="1">
        <f>'[1]Forward Ranks'!AN160</f>
        <v>0.36244541484716158</v>
      </c>
      <c r="T160" s="1">
        <f>'[1]Forward Ranks'!AO160</f>
        <v>0.31877729257641924</v>
      </c>
      <c r="U160" s="1">
        <f>'[1]Forward Ranks'!AP160</f>
        <v>0.26200873362445415</v>
      </c>
      <c r="V160">
        <f>'[1]Forward Ranks'!AR160</f>
        <v>0</v>
      </c>
      <c r="W160" s="1">
        <f>'[1]Forward Ranks'!AW160</f>
        <v>0.24017467248908297</v>
      </c>
      <c r="X160" s="1">
        <f>'[1]Forward Ranks'!AX160</f>
        <v>0.25327510917030566</v>
      </c>
      <c r="Y160" s="1">
        <f>'[1]Forward Ranks'!AY160</f>
        <v>0.50655021834061131</v>
      </c>
      <c r="Z160" s="1">
        <f>'[1]Forward Ranks'!AZ160</f>
        <v>0.22707423580786026</v>
      </c>
      <c r="AA160">
        <f>'[1]Forward Ranks'!BB160</f>
        <v>0</v>
      </c>
      <c r="AB160" s="1">
        <f>'[1]Forward Ranks'!BG160</f>
        <v>0.34061135371179041</v>
      </c>
      <c r="AC160" s="1">
        <f>'[1]Forward Ranks'!BH160</f>
        <v>0.15283842794759825</v>
      </c>
      <c r="AD160" s="1">
        <f>'[1]Forward Ranks'!BI160</f>
        <v>0.49781659388646288</v>
      </c>
      <c r="AE160" s="1">
        <f>'[1]Forward Ranks'!BJ160</f>
        <v>0.56550218340611358</v>
      </c>
      <c r="AF160">
        <f>'[1]Forward Ranks'!BL160</f>
        <v>0</v>
      </c>
      <c r="AG160" s="1">
        <f>'[1]Forward Ranks'!BQ160</f>
        <v>2.8384279475982533E-2</v>
      </c>
      <c r="AH160" s="1">
        <f>'[1]Forward Ranks'!BR160</f>
        <v>9.606986899563319E-2</v>
      </c>
      <c r="AI160" s="1">
        <f>'[1]Forward Ranks'!BS160</f>
        <v>0.1965065502183406</v>
      </c>
      <c r="AJ160" s="1">
        <f>'[1]Forward Ranks'!BT160</f>
        <v>6.1135371179039298E-2</v>
      </c>
      <c r="AL160" s="2">
        <f>'[1]Forward Ranks'!BX160</f>
        <v>4.3668122270742356E-2</v>
      </c>
      <c r="AN160" t="str">
        <f>'[1]Forward Ranks'!B160</f>
        <v>ARI</v>
      </c>
      <c r="AO160">
        <f>'[1]F on ice'!E160</f>
        <v>82</v>
      </c>
      <c r="AP160" s="2">
        <f>'[1]Impact Score Math'!E160</f>
        <v>0.13226452905811623</v>
      </c>
      <c r="AQ160">
        <f>'[1]Impact Score Math'!G160</f>
        <v>434</v>
      </c>
      <c r="AT160" s="1">
        <f>'[1]Forward Ranks'!CJ160</f>
        <v>0.11572052401746726</v>
      </c>
      <c r="AU160" s="1">
        <f>'[1]Forward Ranks'!CK160</f>
        <v>0.53056768558951961</v>
      </c>
    </row>
    <row r="161" spans="1:47" x14ac:dyDescent="0.3">
      <c r="A161" t="str">
        <f>'[1]Forward Ranks'!A161</f>
        <v>Jack Quinn</v>
      </c>
      <c r="B161">
        <f>'[1]Forward Ranks'!D161</f>
        <v>0</v>
      </c>
      <c r="C161" s="1">
        <f>'[1]Forward Ranks'!I161</f>
        <v>0.52620087336244536</v>
      </c>
      <c r="D161" s="1">
        <f>'[1]Forward Ranks'!J161</f>
        <v>0.75109170305676853</v>
      </c>
      <c r="E161" s="1">
        <f>'[1]Forward Ranks'!K161</f>
        <v>0.85807860262008728</v>
      </c>
      <c r="F161" s="1">
        <f>'[1]Forward Ranks'!L161</f>
        <v>0.85807860262008728</v>
      </c>
      <c r="G161">
        <f>'[1]Forward Ranks'!N161</f>
        <v>0</v>
      </c>
      <c r="H161" s="1">
        <f>'[1]Forward Ranks'!S161</f>
        <v>0.77510917030567683</v>
      </c>
      <c r="I161" s="1">
        <f>'[1]Forward Ranks'!T161</f>
        <v>0.73362445414847166</v>
      </c>
      <c r="J161" s="1">
        <f>'[1]Forward Ranks'!U161</f>
        <v>0.60043668122270744</v>
      </c>
      <c r="K161" s="1">
        <f>'[1]Forward Ranks'!V161</f>
        <v>0.81222707423580787</v>
      </c>
      <c r="L161">
        <f>'[1]Forward Ranks'!X161</f>
        <v>0</v>
      </c>
      <c r="M161" s="1">
        <f>'[1]Forward Ranks'!AC161</f>
        <v>0.24454148471615719</v>
      </c>
      <c r="N161" s="1">
        <f>'[1]Forward Ranks'!AD161</f>
        <v>0.44759825327510916</v>
      </c>
      <c r="O161" s="1">
        <f>'[1]Forward Ranks'!AE161</f>
        <v>8.296943231441048E-2</v>
      </c>
      <c r="P161" s="1">
        <f>'[1]Forward Ranks'!AF161</f>
        <v>0.26200873362445415</v>
      </c>
      <c r="Q161">
        <f>'[1]Forward Ranks'!AH161</f>
        <v>0</v>
      </c>
      <c r="R161" s="1">
        <f>'[1]Forward Ranks'!AM161</f>
        <v>0.37772925764192139</v>
      </c>
      <c r="S161" s="1">
        <f>'[1]Forward Ranks'!AN161</f>
        <v>0.84279475982532748</v>
      </c>
      <c r="T161" s="1">
        <f>'[1]Forward Ranks'!AO161</f>
        <v>0.66812227074235808</v>
      </c>
      <c r="U161" s="1">
        <f>'[1]Forward Ranks'!AP161</f>
        <v>0.85807860262008728</v>
      </c>
      <c r="V161">
        <f>'[1]Forward Ranks'!AR161</f>
        <v>0</v>
      </c>
      <c r="W161" s="1">
        <f>'[1]Forward Ranks'!AW161</f>
        <v>0.17248908296943233</v>
      </c>
      <c r="X161" s="1">
        <f>'[1]Forward Ranks'!AX161</f>
        <v>0.82314410480349343</v>
      </c>
      <c r="Y161" s="1">
        <f>'[1]Forward Ranks'!AY161</f>
        <v>0.15938864628820962</v>
      </c>
      <c r="Z161" s="1">
        <f>'[1]Forward Ranks'!AZ161</f>
        <v>0.44978165938864628</v>
      </c>
      <c r="AA161">
        <f>'[1]Forward Ranks'!BB161</f>
        <v>0</v>
      </c>
      <c r="AB161" s="1">
        <f>'[1]Forward Ranks'!BG161</f>
        <v>0.35371179039301309</v>
      </c>
      <c r="AC161" s="1">
        <f>'[1]Forward Ranks'!BH161</f>
        <v>0.8493449781659389</v>
      </c>
      <c r="AD161" s="1">
        <f>'[1]Forward Ranks'!BI161</f>
        <v>0.93013100436681218</v>
      </c>
      <c r="AE161" s="1">
        <f>'[1]Forward Ranks'!BJ161</f>
        <v>0.61790393013100442</v>
      </c>
      <c r="AF161">
        <f>'[1]Forward Ranks'!BL161</f>
        <v>0</v>
      </c>
      <c r="AG161" s="1">
        <f>'[1]Forward Ranks'!BQ161</f>
        <v>0.36026200873362446</v>
      </c>
      <c r="AH161" s="1">
        <f>'[1]Forward Ranks'!BR161</f>
        <v>0.68340611353711789</v>
      </c>
      <c r="AI161" s="1">
        <f>'[1]Forward Ranks'!BS161</f>
        <v>0.44759825327510916</v>
      </c>
      <c r="AJ161" s="1">
        <f>'[1]Forward Ranks'!BT161</f>
        <v>0.68777292576419213</v>
      </c>
      <c r="AL161" s="2">
        <f>'[1]Forward Ranks'!BX161</f>
        <v>0.58951965065502188</v>
      </c>
      <c r="AN161" t="str">
        <f>'[1]Forward Ranks'!B161</f>
        <v>BUF</v>
      </c>
      <c r="AO161">
        <f>'[1]F on ice'!E161</f>
        <v>75</v>
      </c>
      <c r="AP161" s="2">
        <f>'[1]Impact Score Math'!E161</f>
        <v>0.57915831663326656</v>
      </c>
      <c r="AQ161">
        <f>'[1]Impact Score Math'!G161</f>
        <v>211</v>
      </c>
      <c r="AT161" s="1">
        <f>'[1]Forward Ranks'!CJ161</f>
        <v>0.86462882096069871</v>
      </c>
      <c r="AU161" s="1">
        <f>'[1]Forward Ranks'!CK161</f>
        <v>0.80567685589519655</v>
      </c>
    </row>
    <row r="162" spans="1:47" x14ac:dyDescent="0.3">
      <c r="A162" t="str">
        <f>'[1]Forward Ranks'!A162</f>
        <v>Jack Roslovic</v>
      </c>
      <c r="B162">
        <f>'[1]Forward Ranks'!D162</f>
        <v>0</v>
      </c>
      <c r="C162" s="1">
        <f>'[1]Forward Ranks'!I162</f>
        <v>0.2816593886462882</v>
      </c>
      <c r="D162" s="1">
        <f>'[1]Forward Ranks'!J162</f>
        <v>0.13537117903930132</v>
      </c>
      <c r="E162" s="1">
        <f>'[1]Forward Ranks'!K162</f>
        <v>0.51965065502183405</v>
      </c>
      <c r="F162" s="1">
        <f>'[1]Forward Ranks'!L162</f>
        <v>0.18777292576419213</v>
      </c>
      <c r="G162">
        <f>'[1]Forward Ranks'!N162</f>
        <v>0</v>
      </c>
      <c r="H162" s="1">
        <f>'[1]Forward Ranks'!S162</f>
        <v>0.15502183406113537</v>
      </c>
      <c r="I162" s="1">
        <f>'[1]Forward Ranks'!T162</f>
        <v>0.89301310043668125</v>
      </c>
      <c r="J162" s="1">
        <f>'[1]Forward Ranks'!U162</f>
        <v>0.91484716157205237</v>
      </c>
      <c r="K162" s="1">
        <f>'[1]Forward Ranks'!V162</f>
        <v>0.65938864628820959</v>
      </c>
      <c r="L162">
        <f>'[1]Forward Ranks'!X162</f>
        <v>0</v>
      </c>
      <c r="M162" s="1">
        <f>'[1]Forward Ranks'!AC162</f>
        <v>3.0567685589519649E-2</v>
      </c>
      <c r="N162" s="1">
        <f>'[1]Forward Ranks'!AD162</f>
        <v>8.0786026200873357E-2</v>
      </c>
      <c r="O162" s="1">
        <f>'[1]Forward Ranks'!AE162</f>
        <v>0.24672489082969432</v>
      </c>
      <c r="P162" s="1">
        <f>'[1]Forward Ranks'!AF162</f>
        <v>5.0218340611353711E-2</v>
      </c>
      <c r="Q162">
        <f>'[1]Forward Ranks'!AH162</f>
        <v>0</v>
      </c>
      <c r="R162" s="1">
        <f>'[1]Forward Ranks'!AM162</f>
        <v>0.44759825327510916</v>
      </c>
      <c r="S162" s="1">
        <f>'[1]Forward Ranks'!AN162</f>
        <v>0.29039301310043669</v>
      </c>
      <c r="T162" s="1">
        <f>'[1]Forward Ranks'!AO162</f>
        <v>0.77947598253275108</v>
      </c>
      <c r="U162" s="1">
        <f>'[1]Forward Ranks'!AP162</f>
        <v>0.3056768558951965</v>
      </c>
      <c r="V162">
        <f>'[1]Forward Ranks'!AR162</f>
        <v>0</v>
      </c>
      <c r="W162" s="1">
        <f>'[1]Forward Ranks'!AW162</f>
        <v>9.3886462882096067E-2</v>
      </c>
      <c r="X162" s="1">
        <f>'[1]Forward Ranks'!AX162</f>
        <v>0.13537117903930132</v>
      </c>
      <c r="Y162" s="1">
        <f>'[1]Forward Ranks'!AY162</f>
        <v>0.80349344978165937</v>
      </c>
      <c r="Z162" s="1">
        <f>'[1]Forward Ranks'!AZ162</f>
        <v>0.15720524017467249</v>
      </c>
      <c r="AA162">
        <f>'[1]Forward Ranks'!BB162</f>
        <v>0</v>
      </c>
      <c r="AB162" s="1">
        <f>'[1]Forward Ranks'!BG162</f>
        <v>0.47379912663755458</v>
      </c>
      <c r="AC162" s="1">
        <f>'[1]Forward Ranks'!BH162</f>
        <v>0.80131004366812231</v>
      </c>
      <c r="AD162" s="1">
        <f>'[1]Forward Ranks'!BI162</f>
        <v>0.73362445414847166</v>
      </c>
      <c r="AE162" s="1">
        <f>'[1]Forward Ranks'!BJ162</f>
        <v>0.68340611353711789</v>
      </c>
      <c r="AF162">
        <f>'[1]Forward Ranks'!BL162</f>
        <v>0</v>
      </c>
      <c r="AG162" s="1">
        <f>'[1]Forward Ranks'!BQ162</f>
        <v>7.6419213973799124E-2</v>
      </c>
      <c r="AH162" s="1">
        <f>'[1]Forward Ranks'!BR162</f>
        <v>5.8951965065502182E-2</v>
      </c>
      <c r="AI162" s="1">
        <f>'[1]Forward Ranks'!BS162</f>
        <v>0.36244541484716158</v>
      </c>
      <c r="AJ162" s="1">
        <f>'[1]Forward Ranks'!BT162</f>
        <v>6.768558951965066E-2</v>
      </c>
      <c r="AL162" s="2">
        <f>'[1]Forward Ranks'!BX162</f>
        <v>0.10480349344978165</v>
      </c>
      <c r="AN162" t="str">
        <f>'[1]Forward Ranks'!B162</f>
        <v>CBJ</v>
      </c>
      <c r="AO162">
        <f>'[1]F on ice'!E162</f>
        <v>77</v>
      </c>
      <c r="AP162" s="2">
        <f>'[1]Impact Score Math'!E162</f>
        <v>0.20641282565130262</v>
      </c>
      <c r="AQ162">
        <f>'[1]Impact Score Math'!G162</f>
        <v>397</v>
      </c>
      <c r="AT162" s="1">
        <f>'[1]Forward Ranks'!CJ162</f>
        <v>0.9606986899563319</v>
      </c>
      <c r="AU162" s="1">
        <f>'[1]Forward Ranks'!CK162</f>
        <v>0.52183406113537123</v>
      </c>
    </row>
    <row r="163" spans="1:47" x14ac:dyDescent="0.3">
      <c r="A163" t="str">
        <f>'[1]Forward Ranks'!A163</f>
        <v>Jack Studnicka</v>
      </c>
      <c r="B163">
        <f>'[1]Forward Ranks'!D163</f>
        <v>0</v>
      </c>
      <c r="C163" s="1">
        <f>'[1]Forward Ranks'!I163</f>
        <v>2.1834061135371178E-2</v>
      </c>
      <c r="D163" s="1">
        <f>'[1]Forward Ranks'!J163</f>
        <v>0.26637554585152839</v>
      </c>
      <c r="E163" s="1">
        <f>'[1]Forward Ranks'!K163</f>
        <v>1.7467248908296942E-2</v>
      </c>
      <c r="F163" s="1">
        <f>'[1]Forward Ranks'!L163</f>
        <v>3.4934497816593885E-2</v>
      </c>
      <c r="G163">
        <f>'[1]Forward Ranks'!N163</f>
        <v>0</v>
      </c>
      <c r="H163" s="1">
        <f>'[1]Forward Ranks'!S163</f>
        <v>0.29694323144104806</v>
      </c>
      <c r="I163" s="1">
        <f>'[1]Forward Ranks'!T163</f>
        <v>0.11572052401746726</v>
      </c>
      <c r="J163" s="1">
        <f>'[1]Forward Ranks'!U163</f>
        <v>5.458515283842795E-2</v>
      </c>
      <c r="K163" s="1">
        <f>'[1]Forward Ranks'!V163</f>
        <v>0.10262008733624454</v>
      </c>
      <c r="L163">
        <f>'[1]Forward Ranks'!X163</f>
        <v>0</v>
      </c>
      <c r="M163" s="1">
        <f>'[1]Forward Ranks'!AC163</f>
        <v>0.23144104803493451</v>
      </c>
      <c r="N163" s="1">
        <f>'[1]Forward Ranks'!AD163</f>
        <v>0.10043668122270742</v>
      </c>
      <c r="O163" s="1">
        <f>'[1]Forward Ranks'!AE163</f>
        <v>0.57860262008733621</v>
      </c>
      <c r="P163" s="1">
        <f>'[1]Forward Ranks'!AF163</f>
        <v>0.1331877729257642</v>
      </c>
      <c r="Q163">
        <f>'[1]Forward Ranks'!AH163</f>
        <v>0</v>
      </c>
      <c r="R163" s="1">
        <f>'[1]Forward Ranks'!AM163</f>
        <v>4.5851528384279479E-2</v>
      </c>
      <c r="S163" s="1">
        <f>'[1]Forward Ranks'!AN163</f>
        <v>0.30131004366812225</v>
      </c>
      <c r="T163" s="1">
        <f>'[1]Forward Ranks'!AO163</f>
        <v>1.5283842794759825E-2</v>
      </c>
      <c r="U163" s="1">
        <f>'[1]Forward Ranks'!AP163</f>
        <v>5.458515283842795E-2</v>
      </c>
      <c r="V163">
        <f>'[1]Forward Ranks'!AR163</f>
        <v>0</v>
      </c>
      <c r="W163" s="1">
        <f>'[1]Forward Ranks'!AW163</f>
        <v>0.17467248908296942</v>
      </c>
      <c r="X163" s="1">
        <f>'[1]Forward Ranks'!AX163</f>
        <v>0.11353711790393013</v>
      </c>
      <c r="Y163" s="1">
        <f>'[1]Forward Ranks'!AY163</f>
        <v>0.71179039301310043</v>
      </c>
      <c r="Z163" s="1">
        <f>'[1]Forward Ranks'!AZ163</f>
        <v>0.13100436681222707</v>
      </c>
      <c r="AA163">
        <f>'[1]Forward Ranks'!BB163</f>
        <v>0</v>
      </c>
      <c r="AB163" s="1">
        <f>'[1]Forward Ranks'!BG163</f>
        <v>0.13100436681222707</v>
      </c>
      <c r="AC163" s="1">
        <f>'[1]Forward Ranks'!BH163</f>
        <v>0.29475982532751094</v>
      </c>
      <c r="AD163" s="1">
        <f>'[1]Forward Ranks'!BI163</f>
        <v>2.4017467248908297E-2</v>
      </c>
      <c r="AE163" s="1">
        <f>'[1]Forward Ranks'!BJ163</f>
        <v>6.9868995633187769E-2</v>
      </c>
      <c r="AF163">
        <f>'[1]Forward Ranks'!BL163</f>
        <v>0</v>
      </c>
      <c r="AG163" s="1">
        <f>'[1]Forward Ranks'!BQ163</f>
        <v>3.0567685589519649E-2</v>
      </c>
      <c r="AH163" s="1">
        <f>'[1]Forward Ranks'!BR163</f>
        <v>0.13755458515283842</v>
      </c>
      <c r="AI163" s="1">
        <f>'[1]Forward Ranks'!BS163</f>
        <v>2.4017467248908297E-2</v>
      </c>
      <c r="AJ163" s="1">
        <f>'[1]Forward Ranks'!BT163</f>
        <v>2.1834061135371178E-2</v>
      </c>
      <c r="AL163" s="2">
        <f>'[1]Forward Ranks'!BX163</f>
        <v>1.9650655021834062E-2</v>
      </c>
      <c r="AN163" t="str">
        <f>'[1]Forward Ranks'!B163</f>
        <v>BOS, VAN</v>
      </c>
      <c r="AO163">
        <f>'[1]F on ice'!E163</f>
        <v>48</v>
      </c>
      <c r="AP163" s="2">
        <f>'[1]Impact Score Math'!E163</f>
        <v>9.6192384769539077E-2</v>
      </c>
      <c r="AQ163">
        <f>'[1]Impact Score Math'!G163</f>
        <v>452</v>
      </c>
      <c r="AT163" s="1">
        <f>'[1]Forward Ranks'!CJ163</f>
        <v>0.29912663755458513</v>
      </c>
      <c r="AU163" s="1">
        <f>'[1]Forward Ranks'!CK163</f>
        <v>0.51528384279475981</v>
      </c>
    </row>
    <row r="164" spans="1:47" x14ac:dyDescent="0.3">
      <c r="A164" t="str">
        <f>'[1]Forward Ranks'!A164</f>
        <v>Jaden Schwartz</v>
      </c>
      <c r="B164">
        <f>'[1]Forward Ranks'!D164</f>
        <v>0</v>
      </c>
      <c r="C164" s="1">
        <f>'[1]Forward Ranks'!I164</f>
        <v>0.54366812227074235</v>
      </c>
      <c r="D164" s="1">
        <f>'[1]Forward Ranks'!J164</f>
        <v>0.32751091703056767</v>
      </c>
      <c r="E164" s="1">
        <f>'[1]Forward Ranks'!K164</f>
        <v>0.27292576419213976</v>
      </c>
      <c r="F164" s="1">
        <f>'[1]Forward Ranks'!L164</f>
        <v>0.48034934497816595</v>
      </c>
      <c r="G164">
        <f>'[1]Forward Ranks'!N164</f>
        <v>0</v>
      </c>
      <c r="H164" s="1">
        <f>'[1]Forward Ranks'!S164</f>
        <v>0.33187772925764192</v>
      </c>
      <c r="I164" s="1">
        <f>'[1]Forward Ranks'!T164</f>
        <v>0.40393013100436681</v>
      </c>
      <c r="J164" s="1">
        <f>'[1]Forward Ranks'!U164</f>
        <v>0.41048034934497818</v>
      </c>
      <c r="K164" s="1">
        <f>'[1]Forward Ranks'!V164</f>
        <v>0.32096069868995636</v>
      </c>
      <c r="L164">
        <f>'[1]Forward Ranks'!X164</f>
        <v>0</v>
      </c>
      <c r="M164" s="1">
        <f>'[1]Forward Ranks'!AC164</f>
        <v>0.97161572052401746</v>
      </c>
      <c r="N164" s="1">
        <f>'[1]Forward Ranks'!AD164</f>
        <v>0.92576419213973804</v>
      </c>
      <c r="O164" s="1">
        <f>'[1]Forward Ranks'!AE164</f>
        <v>0.27947598253275108</v>
      </c>
      <c r="P164" s="1">
        <f>'[1]Forward Ranks'!AF164</f>
        <v>0.85371179039301315</v>
      </c>
      <c r="Q164">
        <f>'[1]Forward Ranks'!AH164</f>
        <v>0</v>
      </c>
      <c r="R164" s="1">
        <f>'[1]Forward Ranks'!AM164</f>
        <v>0.34716157205240172</v>
      </c>
      <c r="S164" s="1">
        <f>'[1]Forward Ranks'!AN164</f>
        <v>0.55021834061135366</v>
      </c>
      <c r="T164" s="1">
        <f>'[1]Forward Ranks'!AO164</f>
        <v>4.5851528384279479E-2</v>
      </c>
      <c r="U164" s="1">
        <f>'[1]Forward Ranks'!AP164</f>
        <v>0.5240174672489083</v>
      </c>
      <c r="V164">
        <f>'[1]Forward Ranks'!AR164</f>
        <v>0</v>
      </c>
      <c r="W164" s="1">
        <f>'[1]Forward Ranks'!AW164</f>
        <v>0.87772925764192145</v>
      </c>
      <c r="X164" s="1">
        <f>'[1]Forward Ranks'!AX164</f>
        <v>0.84716157205240172</v>
      </c>
      <c r="Y164" s="1">
        <f>'[1]Forward Ranks'!AY164</f>
        <v>8.9519650655021835E-2</v>
      </c>
      <c r="Z164" s="1">
        <f>'[1]Forward Ranks'!AZ164</f>
        <v>0.61790393013100442</v>
      </c>
      <c r="AA164">
        <f>'[1]Forward Ranks'!BB164</f>
        <v>0</v>
      </c>
      <c r="AB164" s="1">
        <f>'[1]Forward Ranks'!BG164</f>
        <v>0.888646288209607</v>
      </c>
      <c r="AC164" s="1">
        <f>'[1]Forward Ranks'!BH164</f>
        <v>0.72270742358078599</v>
      </c>
      <c r="AD164" s="1">
        <f>'[1]Forward Ranks'!BI164</f>
        <v>0.2423580786026201</v>
      </c>
      <c r="AE164" s="1">
        <f>'[1]Forward Ranks'!BJ164</f>
        <v>1.0917030567685589E-2</v>
      </c>
      <c r="AF164">
        <f>'[1]Forward Ranks'!BL164</f>
        <v>0</v>
      </c>
      <c r="AG164" s="1">
        <f>'[1]Forward Ranks'!BQ164</f>
        <v>0.86681222707423577</v>
      </c>
      <c r="AH164" s="1">
        <f>'[1]Forward Ranks'!BR164</f>
        <v>0.64192139737991272</v>
      </c>
      <c r="AI164" s="1">
        <f>'[1]Forward Ranks'!BS164</f>
        <v>0.20742358078602621</v>
      </c>
      <c r="AJ164" s="1">
        <f>'[1]Forward Ranks'!BT164</f>
        <v>0.73362445414847166</v>
      </c>
      <c r="AL164" s="2">
        <f>'[1]Forward Ranks'!BX164</f>
        <v>0.68340611353711789</v>
      </c>
      <c r="AN164" t="str">
        <f>'[1]Forward Ranks'!B164</f>
        <v>SEA</v>
      </c>
      <c r="AO164">
        <f>'[1]F on ice'!E164</f>
        <v>71</v>
      </c>
      <c r="AP164" s="2">
        <f>'[1]Impact Score Math'!E164</f>
        <v>0.80561122244488981</v>
      </c>
      <c r="AQ164">
        <f>'[1]Impact Score Math'!G164</f>
        <v>98</v>
      </c>
      <c r="AT164" s="1">
        <f>'[1]Forward Ranks'!CJ164</f>
        <v>0.611353711790393</v>
      </c>
      <c r="AU164" s="1">
        <f>'[1]Forward Ranks'!CK164</f>
        <v>6.1135371179039298E-2</v>
      </c>
    </row>
    <row r="165" spans="1:47" x14ac:dyDescent="0.3">
      <c r="A165" t="str">
        <f>'[1]Forward Ranks'!A165</f>
        <v>Jake DeBrusk</v>
      </c>
      <c r="B165">
        <f>'[1]Forward Ranks'!D165</f>
        <v>0</v>
      </c>
      <c r="C165" s="1">
        <f>'[1]Forward Ranks'!I165</f>
        <v>0.9759825327510917</v>
      </c>
      <c r="D165" s="1">
        <f>'[1]Forward Ranks'!J165</f>
        <v>0.92794759825327511</v>
      </c>
      <c r="E165" s="1">
        <f>'[1]Forward Ranks'!K165</f>
        <v>0.96288209606986896</v>
      </c>
      <c r="F165" s="1">
        <f>'[1]Forward Ranks'!L165</f>
        <v>0.92139737991266379</v>
      </c>
      <c r="G165">
        <f>'[1]Forward Ranks'!N165</f>
        <v>0</v>
      </c>
      <c r="H165" s="1">
        <f>'[1]Forward Ranks'!S165</f>
        <v>0.99126637554585151</v>
      </c>
      <c r="I165" s="1">
        <f>'[1]Forward Ranks'!T165</f>
        <v>0.43449781659388648</v>
      </c>
      <c r="J165" s="1">
        <f>'[1]Forward Ranks'!U165</f>
        <v>0.60043668122270744</v>
      </c>
      <c r="K165" s="1">
        <f>'[1]Forward Ranks'!V165</f>
        <v>0.8973799126637555</v>
      </c>
      <c r="L165">
        <f>'[1]Forward Ranks'!X165</f>
        <v>0</v>
      </c>
      <c r="M165" s="1">
        <f>'[1]Forward Ranks'!AC165</f>
        <v>0.87117903930131002</v>
      </c>
      <c r="N165" s="1">
        <f>'[1]Forward Ranks'!AD165</f>
        <v>0.93886462882096067</v>
      </c>
      <c r="O165" s="1">
        <f>'[1]Forward Ranks'!AE165</f>
        <v>0.92358078602620086</v>
      </c>
      <c r="P165" s="1">
        <f>'[1]Forward Ranks'!AF165</f>
        <v>0.97379912663755464</v>
      </c>
      <c r="Q165">
        <f>'[1]Forward Ranks'!AH165</f>
        <v>0</v>
      </c>
      <c r="R165" s="1">
        <f>'[1]Forward Ranks'!AM165</f>
        <v>0.99563318777292575</v>
      </c>
      <c r="S165" s="1">
        <f>'[1]Forward Ranks'!AN165</f>
        <v>0.96943231441048039</v>
      </c>
      <c r="T165" s="1">
        <f>'[1]Forward Ranks'!AO165</f>
        <v>0.90393013100436681</v>
      </c>
      <c r="U165" s="1">
        <f>'[1]Forward Ranks'!AP165</f>
        <v>0.95851528384279472</v>
      </c>
      <c r="V165">
        <f>'[1]Forward Ranks'!AR165</f>
        <v>0</v>
      </c>
      <c r="W165" s="1">
        <f>'[1]Forward Ranks'!AW165</f>
        <v>0.83187772925764192</v>
      </c>
      <c r="X165" s="1">
        <f>'[1]Forward Ranks'!AX165</f>
        <v>0.93013100436681218</v>
      </c>
      <c r="Y165" s="1">
        <f>'[1]Forward Ranks'!AY165</f>
        <v>0.58078602620087338</v>
      </c>
      <c r="Z165" s="1">
        <f>'[1]Forward Ranks'!AZ165</f>
        <v>0.94759825327510916</v>
      </c>
      <c r="AA165">
        <f>'[1]Forward Ranks'!BB165</f>
        <v>0</v>
      </c>
      <c r="AB165" s="1">
        <f>'[1]Forward Ranks'!BG165</f>
        <v>0.42139737991266374</v>
      </c>
      <c r="AC165" s="1">
        <f>'[1]Forward Ranks'!BH165</f>
        <v>0.78820960698689957</v>
      </c>
      <c r="AD165" s="1">
        <f>'[1]Forward Ranks'!BI165</f>
        <v>0.69868995633187769</v>
      </c>
      <c r="AE165" s="1">
        <f>'[1]Forward Ranks'!BJ165</f>
        <v>0.87991266375545851</v>
      </c>
      <c r="AF165">
        <f>'[1]Forward Ranks'!BL165</f>
        <v>0</v>
      </c>
      <c r="AG165" s="1">
        <f>'[1]Forward Ranks'!BQ165</f>
        <v>0.9606986899563319</v>
      </c>
      <c r="AH165" s="1">
        <f>'[1]Forward Ranks'!BR165</f>
        <v>0.98689956331877726</v>
      </c>
      <c r="AI165" s="1">
        <f>'[1]Forward Ranks'!BS165</f>
        <v>0.98908296943231444</v>
      </c>
      <c r="AJ165" s="1">
        <f>'[1]Forward Ranks'!BT165</f>
        <v>0.98689956331877726</v>
      </c>
      <c r="AL165" s="2">
        <f>'[1]Forward Ranks'!BX165</f>
        <v>0.99344978165938869</v>
      </c>
      <c r="AN165" t="str">
        <f>'[1]Forward Ranks'!B165</f>
        <v>BOS</v>
      </c>
      <c r="AO165">
        <f>'[1]F on ice'!E165</f>
        <v>64</v>
      </c>
      <c r="AP165" s="2">
        <f>'[1]Impact Score Math'!E165</f>
        <v>0.94188376753507019</v>
      </c>
      <c r="AQ165">
        <f>'[1]Impact Score Math'!G165</f>
        <v>30</v>
      </c>
      <c r="AT165" s="1">
        <f>'[1]Forward Ranks'!CJ165</f>
        <v>0.83187772925764192</v>
      </c>
      <c r="AU165" s="1">
        <f>'[1]Forward Ranks'!CK165</f>
        <v>0.4366812227074236</v>
      </c>
    </row>
    <row r="166" spans="1:47" x14ac:dyDescent="0.3">
      <c r="A166" t="str">
        <f>'[1]Forward Ranks'!A166</f>
        <v>Jake Evans</v>
      </c>
      <c r="B166">
        <f>'[1]Forward Ranks'!D166</f>
        <v>0</v>
      </c>
      <c r="C166" s="1">
        <f>'[1]Forward Ranks'!I166</f>
        <v>0.13537117903930132</v>
      </c>
      <c r="D166" s="1">
        <f>'[1]Forward Ranks'!J166</f>
        <v>0.31222707423580787</v>
      </c>
      <c r="E166" s="1">
        <f>'[1]Forward Ranks'!K166</f>
        <v>0.18558951965065501</v>
      </c>
      <c r="F166" s="1">
        <f>'[1]Forward Ranks'!L166</f>
        <v>0.21179039301310043</v>
      </c>
      <c r="G166">
        <f>'[1]Forward Ranks'!N166</f>
        <v>0</v>
      </c>
      <c r="H166" s="1">
        <f>'[1]Forward Ranks'!S166</f>
        <v>2.1834061135371178E-3</v>
      </c>
      <c r="I166" s="1">
        <f>'[1]Forward Ranks'!T166</f>
        <v>0.79912663755458513</v>
      </c>
      <c r="J166" s="1">
        <f>'[1]Forward Ranks'!U166</f>
        <v>0.9606986899563319</v>
      </c>
      <c r="K166" s="1">
        <f>'[1]Forward Ranks'!V166</f>
        <v>0.25327510917030566</v>
      </c>
      <c r="L166">
        <f>'[1]Forward Ranks'!X166</f>
        <v>0</v>
      </c>
      <c r="M166" s="1">
        <f>'[1]Forward Ranks'!AC166</f>
        <v>0.52838427947598254</v>
      </c>
      <c r="N166" s="1">
        <f>'[1]Forward Ranks'!AD166</f>
        <v>0.34716157205240172</v>
      </c>
      <c r="O166" s="1">
        <f>'[1]Forward Ranks'!AE166</f>
        <v>0.40611353711790393</v>
      </c>
      <c r="P166" s="1">
        <f>'[1]Forward Ranks'!AF166</f>
        <v>0.43013100436681223</v>
      </c>
      <c r="Q166">
        <f>'[1]Forward Ranks'!AH166</f>
        <v>0</v>
      </c>
      <c r="R166" s="1">
        <f>'[1]Forward Ranks'!AM166</f>
        <v>0.30349344978165937</v>
      </c>
      <c r="S166" s="1">
        <f>'[1]Forward Ranks'!AN166</f>
        <v>0.69213973799126638</v>
      </c>
      <c r="T166" s="1">
        <f>'[1]Forward Ranks'!AO166</f>
        <v>0.27729257641921395</v>
      </c>
      <c r="U166" s="1">
        <f>'[1]Forward Ranks'!AP166</f>
        <v>0.40174672489082969</v>
      </c>
      <c r="V166">
        <f>'[1]Forward Ranks'!AR166</f>
        <v>0</v>
      </c>
      <c r="W166" s="1">
        <f>'[1]Forward Ranks'!AW166</f>
        <v>0.66593886462882101</v>
      </c>
      <c r="X166" s="1">
        <f>'[1]Forward Ranks'!AX166</f>
        <v>0.77729257641921401</v>
      </c>
      <c r="Y166" s="1">
        <f>'[1]Forward Ranks'!AY166</f>
        <v>0.81222707423580787</v>
      </c>
      <c r="Z166" s="1">
        <f>'[1]Forward Ranks'!AZ166</f>
        <v>0.88427947598253276</v>
      </c>
      <c r="AA166">
        <f>'[1]Forward Ranks'!BB166</f>
        <v>0</v>
      </c>
      <c r="AB166" s="1">
        <f>'[1]Forward Ranks'!BG166</f>
        <v>0.32751091703056767</v>
      </c>
      <c r="AC166" s="1">
        <f>'[1]Forward Ranks'!BH166</f>
        <v>0.21179039301310043</v>
      </c>
      <c r="AD166" s="1">
        <f>'[1]Forward Ranks'!BI166</f>
        <v>0.2205240174672489</v>
      </c>
      <c r="AE166" s="1">
        <f>'[1]Forward Ranks'!BJ166</f>
        <v>0.18995633187772926</v>
      </c>
      <c r="AF166">
        <f>'[1]Forward Ranks'!BL166</f>
        <v>0</v>
      </c>
      <c r="AG166" s="1">
        <f>'[1]Forward Ranks'!BQ166</f>
        <v>0.23362445414847161</v>
      </c>
      <c r="AH166" s="1">
        <f>'[1]Forward Ranks'!BR166</f>
        <v>0.28602620087336245</v>
      </c>
      <c r="AI166" s="1">
        <f>'[1]Forward Ranks'!BS166</f>
        <v>0.18340611353711792</v>
      </c>
      <c r="AJ166" s="1">
        <f>'[1]Forward Ranks'!BT166</f>
        <v>0.24672489082969432</v>
      </c>
      <c r="AL166" s="2">
        <f>'[1]Forward Ranks'!BX166</f>
        <v>0.31004366812227074</v>
      </c>
      <c r="AN166" t="str">
        <f>'[1]Forward Ranks'!B166</f>
        <v>MTL</v>
      </c>
      <c r="AO166">
        <f>'[1]F on ice'!E166</f>
        <v>54</v>
      </c>
      <c r="AP166" s="2">
        <f>'[1]Impact Score Math'!E166</f>
        <v>0.36072144288577157</v>
      </c>
      <c r="AQ166">
        <f>'[1]Impact Score Math'!G166</f>
        <v>320</v>
      </c>
      <c r="AT166" s="1">
        <f>'[1]Forward Ranks'!CJ166</f>
        <v>0.45633187772925765</v>
      </c>
      <c r="AU166" s="1">
        <f>'[1]Forward Ranks'!CK166</f>
        <v>0.77074235807860259</v>
      </c>
    </row>
    <row r="167" spans="1:47" x14ac:dyDescent="0.3">
      <c r="A167" t="str">
        <f>'[1]Forward Ranks'!A167</f>
        <v>Jake Guentzel</v>
      </c>
      <c r="B167">
        <f>'[1]Forward Ranks'!D167</f>
        <v>0</v>
      </c>
      <c r="C167" s="1">
        <f>'[1]Forward Ranks'!I167</f>
        <v>0.95851528384279472</v>
      </c>
      <c r="D167" s="1">
        <f>'[1]Forward Ranks'!J167</f>
        <v>0.98908296943231444</v>
      </c>
      <c r="E167" s="1">
        <f>'[1]Forward Ranks'!K167</f>
        <v>0.75327510917030571</v>
      </c>
      <c r="F167" s="1">
        <f>'[1]Forward Ranks'!L167</f>
        <v>0.94978165938864634</v>
      </c>
      <c r="G167">
        <f>'[1]Forward Ranks'!N167</f>
        <v>0</v>
      </c>
      <c r="H167" s="1">
        <f>'[1]Forward Ranks'!S167</f>
        <v>0.69213973799126638</v>
      </c>
      <c r="I167" s="1">
        <f>'[1]Forward Ranks'!T167</f>
        <v>0.61353711790393017</v>
      </c>
      <c r="J167" s="1">
        <f>'[1]Forward Ranks'!U167</f>
        <v>0.81441048034934493</v>
      </c>
      <c r="K167" s="1">
        <f>'[1]Forward Ranks'!V167</f>
        <v>0.65938864628820959</v>
      </c>
      <c r="L167">
        <f>'[1]Forward Ranks'!X167</f>
        <v>0</v>
      </c>
      <c r="M167" s="1">
        <f>'[1]Forward Ranks'!AC167</f>
        <v>0.14410480349344978</v>
      </c>
      <c r="N167" s="1">
        <f>'[1]Forward Ranks'!AD167</f>
        <v>0.2205240174672489</v>
      </c>
      <c r="O167" s="1">
        <f>'[1]Forward Ranks'!AE167</f>
        <v>0.53493449781659386</v>
      </c>
      <c r="P167" s="1">
        <f>'[1]Forward Ranks'!AF167</f>
        <v>0.20087336244541484</v>
      </c>
      <c r="Q167">
        <f>'[1]Forward Ranks'!AH167</f>
        <v>0</v>
      </c>
      <c r="R167" s="1">
        <f>'[1]Forward Ranks'!AM167</f>
        <v>0.92576419213973804</v>
      </c>
      <c r="S167" s="1">
        <f>'[1]Forward Ranks'!AN167</f>
        <v>0.95414847161572047</v>
      </c>
      <c r="T167" s="1">
        <f>'[1]Forward Ranks'!AO167</f>
        <v>0.78820960698689957</v>
      </c>
      <c r="U167" s="1">
        <f>'[1]Forward Ranks'!AP167</f>
        <v>0.87117903930131002</v>
      </c>
      <c r="V167">
        <f>'[1]Forward Ranks'!AR167</f>
        <v>0</v>
      </c>
      <c r="W167" s="1">
        <f>'[1]Forward Ranks'!AW167</f>
        <v>6.768558951965066E-2</v>
      </c>
      <c r="X167" s="1">
        <f>'[1]Forward Ranks'!AX167</f>
        <v>0.15502183406113537</v>
      </c>
      <c r="Y167" s="1">
        <f>'[1]Forward Ranks'!AY167</f>
        <v>0.59170305676855894</v>
      </c>
      <c r="Z167" s="1">
        <f>'[1]Forward Ranks'!AZ167</f>
        <v>0.10480349344978165</v>
      </c>
      <c r="AA167">
        <f>'[1]Forward Ranks'!BB167</f>
        <v>0</v>
      </c>
      <c r="AB167" s="1">
        <f>'[1]Forward Ranks'!BG167</f>
        <v>0.97161572052401746</v>
      </c>
      <c r="AC167" s="1">
        <f>'[1]Forward Ranks'!BH167</f>
        <v>0.95414847161572047</v>
      </c>
      <c r="AD167" s="1">
        <f>'[1]Forward Ranks'!BI167</f>
        <v>0.50436681222707425</v>
      </c>
      <c r="AE167" s="1">
        <f>'[1]Forward Ranks'!BJ167</f>
        <v>0.68340611353711789</v>
      </c>
      <c r="AF167">
        <f>'[1]Forward Ranks'!BL167</f>
        <v>0</v>
      </c>
      <c r="AG167" s="1">
        <f>'[1]Forward Ranks'!BQ167</f>
        <v>0.75545851528384278</v>
      </c>
      <c r="AH167" s="1">
        <f>'[1]Forward Ranks'!BR167</f>
        <v>0.86681222707423577</v>
      </c>
      <c r="AI167" s="1">
        <f>'[1]Forward Ranks'!BS167</f>
        <v>0.70087336244541487</v>
      </c>
      <c r="AJ167" s="1">
        <f>'[1]Forward Ranks'!BT167</f>
        <v>0.82096069868995636</v>
      </c>
      <c r="AL167" s="2">
        <f>'[1]Forward Ranks'!BX167</f>
        <v>0.64847161572052403</v>
      </c>
      <c r="AN167" t="str">
        <f>'[1]Forward Ranks'!B167</f>
        <v>PIT</v>
      </c>
      <c r="AO167">
        <f>'[1]F on ice'!E167</f>
        <v>78</v>
      </c>
      <c r="AP167" s="2">
        <f>'[1]Impact Score Math'!E167</f>
        <v>0.84368737474949895</v>
      </c>
      <c r="AQ167">
        <f>'[1]Impact Score Math'!G167</f>
        <v>79</v>
      </c>
      <c r="AT167" s="1">
        <f>'[1]Forward Ranks'!CJ167</f>
        <v>0.29912663755458513</v>
      </c>
      <c r="AU167" s="1">
        <f>'[1]Forward Ranks'!CK167</f>
        <v>0.82751091703056767</v>
      </c>
    </row>
    <row r="168" spans="1:47" x14ac:dyDescent="0.3">
      <c r="A168" t="str">
        <f>'[1]Forward Ranks'!A168</f>
        <v>Jake Leschyshyn</v>
      </c>
      <c r="B168">
        <f>'[1]Forward Ranks'!D168</f>
        <v>0</v>
      </c>
      <c r="C168" s="1">
        <f>'[1]Forward Ranks'!I168</f>
        <v>2.8384279475982533E-2</v>
      </c>
      <c r="D168" s="1">
        <f>'[1]Forward Ranks'!J168</f>
        <v>1.7467248908296942E-2</v>
      </c>
      <c r="E168" s="1">
        <f>'[1]Forward Ranks'!K168</f>
        <v>2.1834061135371178E-3</v>
      </c>
      <c r="F168" s="1">
        <f>'[1]Forward Ranks'!L168</f>
        <v>2.4017467248908297E-2</v>
      </c>
      <c r="G168">
        <f>'[1]Forward Ranks'!N168</f>
        <v>0</v>
      </c>
      <c r="H168" s="1">
        <f>'[1]Forward Ranks'!S168</f>
        <v>2.1834061135371178E-3</v>
      </c>
      <c r="I168" s="1">
        <f>'[1]Forward Ranks'!T168</f>
        <v>2.1834061135371178E-3</v>
      </c>
      <c r="J168" s="1">
        <f>'[1]Forward Ranks'!U168</f>
        <v>2.1834061135371178E-3</v>
      </c>
      <c r="K168" s="1">
        <f>'[1]Forward Ranks'!V168</f>
        <v>2.1834061135371178E-3</v>
      </c>
      <c r="L168">
        <f>'[1]Forward Ranks'!X168</f>
        <v>0</v>
      </c>
      <c r="M168" s="1">
        <f>'[1]Forward Ranks'!AC168</f>
        <v>0.24017467248908297</v>
      </c>
      <c r="N168" s="1">
        <f>'[1]Forward Ranks'!AD168</f>
        <v>0.50436681222707425</v>
      </c>
      <c r="O168" s="1">
        <f>'[1]Forward Ranks'!AE168</f>
        <v>0.3930131004366812</v>
      </c>
      <c r="P168" s="1">
        <f>'[1]Forward Ranks'!AF168</f>
        <v>0.39082969432314413</v>
      </c>
      <c r="Q168">
        <f>'[1]Forward Ranks'!AH168</f>
        <v>0</v>
      </c>
      <c r="R168" s="1">
        <f>'[1]Forward Ranks'!AM168</f>
        <v>4.3668122270742356E-3</v>
      </c>
      <c r="S168" s="1">
        <f>'[1]Forward Ranks'!AN168</f>
        <v>2.1834061135371178E-3</v>
      </c>
      <c r="T168" s="1">
        <f>'[1]Forward Ranks'!AO168</f>
        <v>2.1834061135371178E-3</v>
      </c>
      <c r="U168" s="1">
        <f>'[1]Forward Ranks'!AP168</f>
        <v>4.3668122270742356E-3</v>
      </c>
      <c r="V168">
        <f>'[1]Forward Ranks'!AR168</f>
        <v>0</v>
      </c>
      <c r="W168" s="1">
        <f>'[1]Forward Ranks'!AW168</f>
        <v>3.9301310043668124E-2</v>
      </c>
      <c r="X168" s="1">
        <f>'[1]Forward Ranks'!AX168</f>
        <v>0.10480349344978165</v>
      </c>
      <c r="Y168" s="1">
        <f>'[1]Forward Ranks'!AY168</f>
        <v>0.31441048034934499</v>
      </c>
      <c r="Z168" s="1">
        <f>'[1]Forward Ranks'!AZ168</f>
        <v>9.606986899563319E-2</v>
      </c>
      <c r="AA168">
        <f>'[1]Forward Ranks'!BB168</f>
        <v>0</v>
      </c>
      <c r="AB168" s="1">
        <f>'[1]Forward Ranks'!BG168</f>
        <v>3.7117903930131008E-2</v>
      </c>
      <c r="AC168" s="1">
        <f>'[1]Forward Ranks'!BH168</f>
        <v>0.85152838427947597</v>
      </c>
      <c r="AD168" s="1">
        <f>'[1]Forward Ranks'!BI168</f>
        <v>2.1834061135371178E-3</v>
      </c>
      <c r="AE168" s="1">
        <f>'[1]Forward Ranks'!BJ168</f>
        <v>6.5502183406113534E-3</v>
      </c>
      <c r="AF168">
        <f>'[1]Forward Ranks'!BL168</f>
        <v>0</v>
      </c>
      <c r="AG168" s="1">
        <f>'[1]Forward Ranks'!BQ168</f>
        <v>3.4934497816593885E-2</v>
      </c>
      <c r="AH168" s="1">
        <f>'[1]Forward Ranks'!BR168</f>
        <v>4.3668122270742356E-2</v>
      </c>
      <c r="AI168" s="1">
        <f>'[1]Forward Ranks'!BS168</f>
        <v>2.1834061135371178E-3</v>
      </c>
      <c r="AJ168" s="1">
        <f>'[1]Forward Ranks'!BT168</f>
        <v>4.148471615720524E-2</v>
      </c>
      <c r="AL168" s="2">
        <f>'[1]Forward Ranks'!BX168</f>
        <v>8.7336244541484712E-3</v>
      </c>
      <c r="AN168" t="str">
        <f>'[1]Forward Ranks'!B168</f>
        <v>NYR, VGK</v>
      </c>
      <c r="AO168">
        <f>'[1]F on ice'!E168</f>
        <v>35</v>
      </c>
      <c r="AP168" s="2">
        <f>'[1]Impact Score Math'!E168</f>
        <v>8.8176352705410826E-2</v>
      </c>
      <c r="AQ168">
        <f>'[1]Impact Score Math'!G168</f>
        <v>456</v>
      </c>
      <c r="AT168" s="1">
        <f>'[1]Forward Ranks'!CJ168</f>
        <v>0.46506550218340609</v>
      </c>
      <c r="AU168" s="1">
        <f>'[1]Forward Ranks'!CK168</f>
        <v>0.68340611353711789</v>
      </c>
    </row>
    <row r="169" spans="1:47" x14ac:dyDescent="0.3">
      <c r="A169" t="str">
        <f>'[1]Forward Ranks'!A169</f>
        <v>Jake Neighbours</v>
      </c>
      <c r="B169">
        <f>'[1]Forward Ranks'!D169</f>
        <v>0</v>
      </c>
      <c r="C169" s="1">
        <f>'[1]Forward Ranks'!I169</f>
        <v>5.2401746724890827E-2</v>
      </c>
      <c r="D169" s="1">
        <f>'[1]Forward Ranks'!J169</f>
        <v>4.3668122270742356E-2</v>
      </c>
      <c r="E169" s="1">
        <f>'[1]Forward Ranks'!K169</f>
        <v>0.15065502183406113</v>
      </c>
      <c r="F169" s="1">
        <f>'[1]Forward Ranks'!L169</f>
        <v>0.1091703056768559</v>
      </c>
      <c r="G169">
        <f>'[1]Forward Ranks'!N169</f>
        <v>0</v>
      </c>
      <c r="H169" s="1">
        <f>'[1]Forward Ranks'!S169</f>
        <v>0.44323144104803491</v>
      </c>
      <c r="I169" s="1">
        <f>'[1]Forward Ranks'!T169</f>
        <v>5.8951965065502182E-2</v>
      </c>
      <c r="J169" s="1">
        <f>'[1]Forward Ranks'!U169</f>
        <v>5.458515283842795E-2</v>
      </c>
      <c r="K169" s="1">
        <f>'[1]Forward Ranks'!V169</f>
        <v>0.10262008733624454</v>
      </c>
      <c r="L169">
        <f>'[1]Forward Ranks'!X169</f>
        <v>0</v>
      </c>
      <c r="M169" s="1">
        <f>'[1]Forward Ranks'!AC169</f>
        <v>0.3056768558951965</v>
      </c>
      <c r="N169" s="1">
        <f>'[1]Forward Ranks'!AD169</f>
        <v>0.39519650655021832</v>
      </c>
      <c r="O169" s="1">
        <f>'[1]Forward Ranks'!AE169</f>
        <v>8.0786026200873357E-2</v>
      </c>
      <c r="P169" s="1">
        <f>'[1]Forward Ranks'!AF169</f>
        <v>0.17903930131004367</v>
      </c>
      <c r="Q169">
        <f>'[1]Forward Ranks'!AH169</f>
        <v>0</v>
      </c>
      <c r="R169" s="1">
        <f>'[1]Forward Ranks'!AM169</f>
        <v>0.1703056768558952</v>
      </c>
      <c r="S169" s="1">
        <f>'[1]Forward Ranks'!AN169</f>
        <v>0.32096069868995636</v>
      </c>
      <c r="T169" s="1">
        <f>'[1]Forward Ranks'!AO169</f>
        <v>0.1965065502183406</v>
      </c>
      <c r="U169" s="1">
        <f>'[1]Forward Ranks'!AP169</f>
        <v>0.32532751091703055</v>
      </c>
      <c r="V169">
        <f>'[1]Forward Ranks'!AR169</f>
        <v>0</v>
      </c>
      <c r="W169" s="1">
        <f>'[1]Forward Ranks'!AW169</f>
        <v>0.4606986899563319</v>
      </c>
      <c r="X169" s="1">
        <f>'[1]Forward Ranks'!AX169</f>
        <v>0.2576419213973799</v>
      </c>
      <c r="Y169" s="1">
        <f>'[1]Forward Ranks'!AY169</f>
        <v>0.11353711790393013</v>
      </c>
      <c r="Z169" s="1">
        <f>'[1]Forward Ranks'!AZ169</f>
        <v>0.26637554585152839</v>
      </c>
      <c r="AA169">
        <f>'[1]Forward Ranks'!BB169</f>
        <v>0</v>
      </c>
      <c r="AB169" s="1">
        <f>'[1]Forward Ranks'!BG169</f>
        <v>0.29912663755458513</v>
      </c>
      <c r="AC169" s="1">
        <f>'[1]Forward Ranks'!BH169</f>
        <v>0.27729257641921395</v>
      </c>
      <c r="AD169" s="1">
        <f>'[1]Forward Ranks'!BI169</f>
        <v>0.23362445414847161</v>
      </c>
      <c r="AE169" s="1">
        <f>'[1]Forward Ranks'!BJ169</f>
        <v>3.2751091703056769E-2</v>
      </c>
      <c r="AF169">
        <f>'[1]Forward Ranks'!BL169</f>
        <v>0</v>
      </c>
      <c r="AG169" s="1">
        <f>'[1]Forward Ranks'!BQ169</f>
        <v>0.10262008733624454</v>
      </c>
      <c r="AH169" s="1">
        <f>'[1]Forward Ranks'!BR169</f>
        <v>8.7336244541484712E-2</v>
      </c>
      <c r="AI169" s="1">
        <f>'[1]Forward Ranks'!BS169</f>
        <v>5.458515283842795E-2</v>
      </c>
      <c r="AJ169" s="1">
        <f>'[1]Forward Ranks'!BT169</f>
        <v>8.5152838427947602E-2</v>
      </c>
      <c r="AL169" s="2">
        <f>'[1]Forward Ranks'!BX169</f>
        <v>5.0218340611353711E-2</v>
      </c>
      <c r="AN169" t="str">
        <f>'[1]Forward Ranks'!B169</f>
        <v>STL</v>
      </c>
      <c r="AO169">
        <f>'[1]F on ice'!E169</f>
        <v>43</v>
      </c>
      <c r="AP169" s="2">
        <f>'[1]Impact Score Math'!E169</f>
        <v>0.13627254509018036</v>
      </c>
      <c r="AQ169">
        <f>'[1]Impact Score Math'!G169</f>
        <v>432</v>
      </c>
      <c r="AT169" s="1">
        <f>'[1]Forward Ranks'!CJ169</f>
        <v>0.24672489082969432</v>
      </c>
      <c r="AU169" s="1">
        <f>'[1]Forward Ranks'!CK169</f>
        <v>0.60698689956331875</v>
      </c>
    </row>
    <row r="170" spans="1:47" x14ac:dyDescent="0.3">
      <c r="A170" t="str">
        <f>'[1]Forward Ranks'!A170</f>
        <v>Jakob Pelletier</v>
      </c>
      <c r="B170">
        <f>'[1]Forward Ranks'!D170</f>
        <v>0</v>
      </c>
      <c r="C170" s="1">
        <f>'[1]Forward Ranks'!I170</f>
        <v>0.96724890829694321</v>
      </c>
      <c r="D170" s="1">
        <f>'[1]Forward Ranks'!J170</f>
        <v>0.89301310043668125</v>
      </c>
      <c r="E170" s="1">
        <f>'[1]Forward Ranks'!K170</f>
        <v>0.11353711790393013</v>
      </c>
      <c r="F170" s="1">
        <f>'[1]Forward Ranks'!L170</f>
        <v>0.92794759825327511</v>
      </c>
      <c r="G170">
        <f>'[1]Forward Ranks'!N170</f>
        <v>0</v>
      </c>
      <c r="H170" s="1">
        <f>'[1]Forward Ranks'!S170</f>
        <v>3.2751091703056769E-2</v>
      </c>
      <c r="I170" s="1">
        <f>'[1]Forward Ranks'!T170</f>
        <v>0.20524017467248909</v>
      </c>
      <c r="J170" s="1">
        <f>'[1]Forward Ranks'!U170</f>
        <v>9.606986899563319E-2</v>
      </c>
      <c r="K170" s="1">
        <f>'[1]Forward Ranks'!V170</f>
        <v>5.6768558951965066E-2</v>
      </c>
      <c r="L170">
        <f>'[1]Forward Ranks'!X170</f>
        <v>0</v>
      </c>
      <c r="M170" s="1">
        <f>'[1]Forward Ranks'!AC170</f>
        <v>0.98471615720524019</v>
      </c>
      <c r="N170" s="1">
        <f>'[1]Forward Ranks'!AD170</f>
        <v>0.70960698689956336</v>
      </c>
      <c r="O170" s="1">
        <f>'[1]Forward Ranks'!AE170</f>
        <v>0.76419213973799127</v>
      </c>
      <c r="P170" s="1">
        <f>'[1]Forward Ranks'!AF170</f>
        <v>0.57860262008733621</v>
      </c>
      <c r="Q170">
        <f>'[1]Forward Ranks'!AH170</f>
        <v>0</v>
      </c>
      <c r="R170" s="1">
        <f>'[1]Forward Ranks'!AM170</f>
        <v>0.69432314410480345</v>
      </c>
      <c r="S170" s="1">
        <f>'[1]Forward Ranks'!AN170</f>
        <v>0.9126637554585153</v>
      </c>
      <c r="T170" s="1">
        <f>'[1]Forward Ranks'!AO170</f>
        <v>5.8951965065502182E-2</v>
      </c>
      <c r="U170" s="1">
        <f>'[1]Forward Ranks'!AP170</f>
        <v>0.76419213973799127</v>
      </c>
      <c r="V170">
        <f>'[1]Forward Ranks'!AR170</f>
        <v>0</v>
      </c>
      <c r="W170" s="1">
        <f>'[1]Forward Ranks'!AW170</f>
        <v>0.73799126637554591</v>
      </c>
      <c r="X170" s="1">
        <f>'[1]Forward Ranks'!AX170</f>
        <v>0.33406113537117904</v>
      </c>
      <c r="Y170" s="1">
        <f>'[1]Forward Ranks'!AY170</f>
        <v>0.86462882096069871</v>
      </c>
      <c r="Z170" s="1">
        <f>'[1]Forward Ranks'!AZ170</f>
        <v>0.16375545851528384</v>
      </c>
      <c r="AA170">
        <f>'[1]Forward Ranks'!BB170</f>
        <v>0</v>
      </c>
      <c r="AB170" s="1">
        <f>'[1]Forward Ranks'!BG170</f>
        <v>0.41048034934497818</v>
      </c>
      <c r="AC170" s="1">
        <f>'[1]Forward Ranks'!BH170</f>
        <v>0.92794759825327511</v>
      </c>
      <c r="AD170" s="1">
        <f>'[1]Forward Ranks'!BI170</f>
        <v>2.8384279475982533E-2</v>
      </c>
      <c r="AE170" s="1">
        <f>'[1]Forward Ranks'!BJ170</f>
        <v>2.8384279475982533E-2</v>
      </c>
      <c r="AF170">
        <f>'[1]Forward Ranks'!BL170</f>
        <v>0</v>
      </c>
      <c r="AG170" s="1">
        <f>'[1]Forward Ranks'!BQ170</f>
        <v>0.99344978165938869</v>
      </c>
      <c r="AH170" s="1">
        <f>'[1]Forward Ranks'!BR170</f>
        <v>0.89956331877729256</v>
      </c>
      <c r="AI170" s="1">
        <f>'[1]Forward Ranks'!BS170</f>
        <v>0.27292576419213976</v>
      </c>
      <c r="AJ170" s="1">
        <f>'[1]Forward Ranks'!BT170</f>
        <v>0.91484716157205237</v>
      </c>
      <c r="AL170" s="2">
        <f>'[1]Forward Ranks'!BX170</f>
        <v>0.71179039301310043</v>
      </c>
      <c r="AN170" t="str">
        <f>'[1]Forward Ranks'!B170</f>
        <v>CGY</v>
      </c>
      <c r="AO170">
        <f>'[1]F on ice'!E170</f>
        <v>24</v>
      </c>
      <c r="AP170" s="2">
        <f>'[1]Impact Score Math'!E170</f>
        <v>0.67935871743486975</v>
      </c>
      <c r="AQ170">
        <f>'[1]Impact Score Math'!G170</f>
        <v>161</v>
      </c>
      <c r="AT170" s="1">
        <f>'[1]Forward Ranks'!CJ170</f>
        <v>0.93886462882096067</v>
      </c>
      <c r="AU170" s="1">
        <f>'[1]Forward Ranks'!CK170</f>
        <v>0.10480349344978165</v>
      </c>
    </row>
    <row r="171" spans="1:47" x14ac:dyDescent="0.3">
      <c r="A171" t="str">
        <f>'[1]Forward Ranks'!A171</f>
        <v>Jakob Silfverberg</v>
      </c>
      <c r="B171">
        <f>'[1]Forward Ranks'!D171</f>
        <v>0</v>
      </c>
      <c r="C171" s="1">
        <f>'[1]Forward Ranks'!I171</f>
        <v>6.3318777292576414E-2</v>
      </c>
      <c r="D171" s="1">
        <f>'[1]Forward Ranks'!J171</f>
        <v>0.14847161572052403</v>
      </c>
      <c r="E171" s="1">
        <f>'[1]Forward Ranks'!K171</f>
        <v>0.16593886462882096</v>
      </c>
      <c r="F171" s="1">
        <f>'[1]Forward Ranks'!L171</f>
        <v>4.3668122270742356E-2</v>
      </c>
      <c r="G171">
        <f>'[1]Forward Ranks'!N171</f>
        <v>0</v>
      </c>
      <c r="H171" s="1">
        <f>'[1]Forward Ranks'!S171</f>
        <v>0.18340611353711792</v>
      </c>
      <c r="I171" s="1">
        <f>'[1]Forward Ranks'!T171</f>
        <v>0.1943231441048035</v>
      </c>
      <c r="J171" s="1">
        <f>'[1]Forward Ranks'!U171</f>
        <v>0.32751091703056767</v>
      </c>
      <c r="K171" s="1">
        <f>'[1]Forward Ranks'!V171</f>
        <v>0.11790393013100436</v>
      </c>
      <c r="L171">
        <f>'[1]Forward Ranks'!X171</f>
        <v>0</v>
      </c>
      <c r="M171" s="1">
        <f>'[1]Forward Ranks'!AC171</f>
        <v>3.7117903930131008E-2</v>
      </c>
      <c r="N171" s="1">
        <f>'[1]Forward Ranks'!AD171</f>
        <v>6.5502183406113537E-2</v>
      </c>
      <c r="O171" s="1">
        <f>'[1]Forward Ranks'!AE171</f>
        <v>0.11790393013100436</v>
      </c>
      <c r="P171" s="1">
        <f>'[1]Forward Ranks'!AF171</f>
        <v>6.3318777292576414E-2</v>
      </c>
      <c r="Q171">
        <f>'[1]Forward Ranks'!AH171</f>
        <v>0</v>
      </c>
      <c r="R171" s="1">
        <f>'[1]Forward Ranks'!AM171</f>
        <v>0.23580786026200873</v>
      </c>
      <c r="S171" s="1">
        <f>'[1]Forward Ranks'!AN171</f>
        <v>0.37336244541484714</v>
      </c>
      <c r="T171" s="1">
        <f>'[1]Forward Ranks'!AO171</f>
        <v>0.36244541484716158</v>
      </c>
      <c r="U171" s="1">
        <f>'[1]Forward Ranks'!AP171</f>
        <v>0.14192139737991266</v>
      </c>
      <c r="V171">
        <f>'[1]Forward Ranks'!AR171</f>
        <v>0</v>
      </c>
      <c r="W171" s="1">
        <f>'[1]Forward Ranks'!AW171</f>
        <v>0.60698689956331875</v>
      </c>
      <c r="X171" s="1">
        <f>'[1]Forward Ranks'!AX171</f>
        <v>0.86899563318777295</v>
      </c>
      <c r="Y171" s="1">
        <f>'[1]Forward Ranks'!AY171</f>
        <v>0.55895196506550215</v>
      </c>
      <c r="Z171" s="1">
        <f>'[1]Forward Ranks'!AZ171</f>
        <v>0.81441048034934493</v>
      </c>
      <c r="AA171">
        <f>'[1]Forward Ranks'!BB171</f>
        <v>0</v>
      </c>
      <c r="AB171" s="1">
        <f>'[1]Forward Ranks'!BG171</f>
        <v>0.2183406113537118</v>
      </c>
      <c r="AC171" s="1">
        <f>'[1]Forward Ranks'!BH171</f>
        <v>4.8034934497816595E-2</v>
      </c>
      <c r="AD171" s="1">
        <f>'[1]Forward Ranks'!BI171</f>
        <v>0.18777292576419213</v>
      </c>
      <c r="AE171" s="1">
        <f>'[1]Forward Ranks'!BJ171</f>
        <v>0.20524017467248909</v>
      </c>
      <c r="AF171">
        <f>'[1]Forward Ranks'!BL171</f>
        <v>0</v>
      </c>
      <c r="AG171" s="1">
        <f>'[1]Forward Ranks'!BQ171</f>
        <v>2.1834061135371178E-2</v>
      </c>
      <c r="AH171" s="1">
        <f>'[1]Forward Ranks'!BR171</f>
        <v>6.1135371179039298E-2</v>
      </c>
      <c r="AI171" s="1">
        <f>'[1]Forward Ranks'!BS171</f>
        <v>7.2052401746724892E-2</v>
      </c>
      <c r="AJ171" s="1">
        <f>'[1]Forward Ranks'!BT171</f>
        <v>1.5283842794759825E-2</v>
      </c>
      <c r="AL171" s="2">
        <f>'[1]Forward Ranks'!BX171</f>
        <v>2.1834061135371178E-2</v>
      </c>
      <c r="AN171" t="str">
        <f>'[1]Forward Ranks'!B171</f>
        <v>ANA</v>
      </c>
      <c r="AO171">
        <f>'[1]F on ice'!E171</f>
        <v>81</v>
      </c>
      <c r="AP171" s="2">
        <f>'[1]Impact Score Math'!E171</f>
        <v>0.10621242484969939</v>
      </c>
      <c r="AQ171">
        <f>'[1]Impact Score Math'!G171</f>
        <v>447</v>
      </c>
      <c r="AT171" s="1">
        <f>'[1]Forward Ranks'!CJ171</f>
        <v>0.27074235807860264</v>
      </c>
      <c r="AU171" s="1">
        <f>'[1]Forward Ranks'!CK171</f>
        <v>0.26637554585152839</v>
      </c>
    </row>
    <row r="172" spans="1:47" x14ac:dyDescent="0.3">
      <c r="A172" t="str">
        <f>'[1]Forward Ranks'!A172</f>
        <v>Jakub Vrana</v>
      </c>
      <c r="B172">
        <f>'[1]Forward Ranks'!D172</f>
        <v>0</v>
      </c>
      <c r="C172" s="1">
        <f>'[1]Forward Ranks'!I172</f>
        <v>0.4759825327510917</v>
      </c>
      <c r="D172" s="1">
        <f>'[1]Forward Ranks'!J172</f>
        <v>3.4934497816593885E-2</v>
      </c>
      <c r="E172" s="1">
        <f>'[1]Forward Ranks'!K172</f>
        <v>0.67685589519650657</v>
      </c>
      <c r="F172" s="1">
        <f>'[1]Forward Ranks'!L172</f>
        <v>0.35807860262008734</v>
      </c>
      <c r="G172">
        <f>'[1]Forward Ranks'!N172</f>
        <v>0</v>
      </c>
      <c r="H172" s="1">
        <f>'[1]Forward Ranks'!S172</f>
        <v>0.93013100436681218</v>
      </c>
      <c r="I172" s="1">
        <f>'[1]Forward Ranks'!T172</f>
        <v>0.38427947598253276</v>
      </c>
      <c r="J172" s="1">
        <f>'[1]Forward Ranks'!U172</f>
        <v>0.57205240174672489</v>
      </c>
      <c r="K172" s="1">
        <f>'[1]Forward Ranks'!V172</f>
        <v>0.75764192139737996</v>
      </c>
      <c r="L172">
        <f>'[1]Forward Ranks'!X172</f>
        <v>0</v>
      </c>
      <c r="M172" s="1">
        <f>'[1]Forward Ranks'!AC172</f>
        <v>1.9650655021834062E-2</v>
      </c>
      <c r="N172" s="1">
        <f>'[1]Forward Ranks'!AD172</f>
        <v>1.9650655021834062E-2</v>
      </c>
      <c r="O172" s="1">
        <f>'[1]Forward Ranks'!AE172</f>
        <v>0.82314410480349343</v>
      </c>
      <c r="P172" s="1">
        <f>'[1]Forward Ranks'!AF172</f>
        <v>1.3100436681222707E-2</v>
      </c>
      <c r="Q172">
        <f>'[1]Forward Ranks'!AH172</f>
        <v>0</v>
      </c>
      <c r="R172" s="1">
        <f>'[1]Forward Ranks'!AM172</f>
        <v>0.79694323144104806</v>
      </c>
      <c r="S172" s="1">
        <f>'[1]Forward Ranks'!AN172</f>
        <v>0.16375545851528384</v>
      </c>
      <c r="T172" s="1">
        <f>'[1]Forward Ranks'!AO172</f>
        <v>0.26200873362445415</v>
      </c>
      <c r="U172" s="1">
        <f>'[1]Forward Ranks'!AP172</f>
        <v>0.71179039301310043</v>
      </c>
      <c r="V172">
        <f>'[1]Forward Ranks'!AR172</f>
        <v>0</v>
      </c>
      <c r="W172" s="1">
        <f>'[1]Forward Ranks'!AW172</f>
        <v>4.3668122270742356E-3</v>
      </c>
      <c r="X172" s="1">
        <f>'[1]Forward Ranks'!AX172</f>
        <v>4.3668122270742356E-3</v>
      </c>
      <c r="Y172" s="1">
        <f>'[1]Forward Ranks'!AY172</f>
        <v>0.53711790393013104</v>
      </c>
      <c r="Z172" s="1">
        <f>'[1]Forward Ranks'!AZ172</f>
        <v>4.3668122270742356E-3</v>
      </c>
      <c r="AA172">
        <f>'[1]Forward Ranks'!BB172</f>
        <v>0</v>
      </c>
      <c r="AB172" s="1">
        <f>'[1]Forward Ranks'!BG172</f>
        <v>0.43886462882096072</v>
      </c>
      <c r="AC172" s="1">
        <f>'[1]Forward Ranks'!BH172</f>
        <v>0.36462882096069871</v>
      </c>
      <c r="AD172" s="1">
        <f>'[1]Forward Ranks'!BI172</f>
        <v>0.76200873362445409</v>
      </c>
      <c r="AE172" s="1">
        <f>'[1]Forward Ranks'!BJ172</f>
        <v>0.95633187772925765</v>
      </c>
      <c r="AF172">
        <f>'[1]Forward Ranks'!BL172</f>
        <v>0</v>
      </c>
      <c r="AG172" s="1">
        <f>'[1]Forward Ranks'!BQ172</f>
        <v>0.10480349344978165</v>
      </c>
      <c r="AH172" s="1">
        <f>'[1]Forward Ranks'!BR172</f>
        <v>1.5283842794759825E-2</v>
      </c>
      <c r="AI172" s="1">
        <f>'[1]Forward Ranks'!BS172</f>
        <v>0.85807860262008728</v>
      </c>
      <c r="AJ172" s="1">
        <f>'[1]Forward Ranks'!BT172</f>
        <v>6.3318777292576414E-2</v>
      </c>
      <c r="AL172" s="2">
        <f>'[1]Forward Ranks'!BX172</f>
        <v>0.18340611353711792</v>
      </c>
      <c r="AN172" t="str">
        <f>'[1]Forward Ranks'!B172</f>
        <v>DET, STL</v>
      </c>
      <c r="AO172">
        <f>'[1]F on ice'!E172</f>
        <v>25</v>
      </c>
      <c r="AP172" s="2">
        <f>'[1]Impact Score Math'!E172</f>
        <v>0.27655310621242485</v>
      </c>
      <c r="AQ172">
        <f>'[1]Impact Score Math'!G172</f>
        <v>362</v>
      </c>
      <c r="AT172" s="1">
        <f>'[1]Forward Ranks'!CJ172</f>
        <v>0.29912663755458513</v>
      </c>
      <c r="AU172" s="1">
        <f>'[1]Forward Ranks'!CK172</f>
        <v>8.5152838427947602E-2</v>
      </c>
    </row>
    <row r="173" spans="1:47" x14ac:dyDescent="0.3">
      <c r="A173" t="str">
        <f>'[1]Forward Ranks'!A173</f>
        <v>James van Riemsdyk</v>
      </c>
      <c r="B173">
        <f>'[1]Forward Ranks'!D173</f>
        <v>0</v>
      </c>
      <c r="C173" s="1">
        <f>'[1]Forward Ranks'!I173</f>
        <v>0.6506550218340611</v>
      </c>
      <c r="D173" s="1">
        <f>'[1]Forward Ranks'!J173</f>
        <v>0.78820960698689957</v>
      </c>
      <c r="E173" s="1">
        <f>'[1]Forward Ranks'!K173</f>
        <v>0.56550218340611358</v>
      </c>
      <c r="F173" s="1">
        <f>'[1]Forward Ranks'!L173</f>
        <v>0.52838427947598254</v>
      </c>
      <c r="G173">
        <f>'[1]Forward Ranks'!N173</f>
        <v>0</v>
      </c>
      <c r="H173" s="1">
        <f>'[1]Forward Ranks'!S173</f>
        <v>0.42358078602620086</v>
      </c>
      <c r="I173" s="1">
        <f>'[1]Forward Ranks'!T173</f>
        <v>0.5873362445414847</v>
      </c>
      <c r="J173" s="1">
        <f>'[1]Forward Ranks'!U173</f>
        <v>0.49563318777292575</v>
      </c>
      <c r="K173" s="1">
        <f>'[1]Forward Ranks'!V173</f>
        <v>0.51310043668122274</v>
      </c>
      <c r="L173">
        <f>'[1]Forward Ranks'!X173</f>
        <v>0</v>
      </c>
      <c r="M173" s="1">
        <f>'[1]Forward Ranks'!AC173</f>
        <v>0.61353711790393017</v>
      </c>
      <c r="N173" s="1">
        <f>'[1]Forward Ranks'!AD173</f>
        <v>0.81441048034934493</v>
      </c>
      <c r="O173" s="1">
        <f>'[1]Forward Ranks'!AE173</f>
        <v>0.57860262008733621</v>
      </c>
      <c r="P173" s="1">
        <f>'[1]Forward Ranks'!AF173</f>
        <v>0.85371179039301315</v>
      </c>
      <c r="Q173">
        <f>'[1]Forward Ranks'!AH173</f>
        <v>0</v>
      </c>
      <c r="R173" s="1">
        <f>'[1]Forward Ranks'!AM173</f>
        <v>0.79039301310043664</v>
      </c>
      <c r="S173" s="1">
        <f>'[1]Forward Ranks'!AN173</f>
        <v>0.93449781659388642</v>
      </c>
      <c r="T173" s="1">
        <f>'[1]Forward Ranks'!AO173</f>
        <v>0.70524017467248912</v>
      </c>
      <c r="U173" s="1">
        <f>'[1]Forward Ranks'!AP173</f>
        <v>0.68558951965065507</v>
      </c>
      <c r="V173">
        <f>'[1]Forward Ranks'!AR173</f>
        <v>0</v>
      </c>
      <c r="W173" s="1">
        <f>'[1]Forward Ranks'!AW173</f>
        <v>0.79694323144104806</v>
      </c>
      <c r="X173" s="1">
        <f>'[1]Forward Ranks'!AX173</f>
        <v>0.92576419213973804</v>
      </c>
      <c r="Y173" s="1">
        <f>'[1]Forward Ranks'!AY173</f>
        <v>0.59170305676855894</v>
      </c>
      <c r="Z173" s="1">
        <f>'[1]Forward Ranks'!AZ173</f>
        <v>0.90393013100436681</v>
      </c>
      <c r="AA173">
        <f>'[1]Forward Ranks'!BB173</f>
        <v>0</v>
      </c>
      <c r="AB173" s="1">
        <f>'[1]Forward Ranks'!BG173</f>
        <v>0.60043668122270744</v>
      </c>
      <c r="AC173" s="1">
        <f>'[1]Forward Ranks'!BH173</f>
        <v>0.77292576419213976</v>
      </c>
      <c r="AD173" s="1">
        <f>'[1]Forward Ranks'!BI173</f>
        <v>0.57641921397379914</v>
      </c>
      <c r="AE173" s="1">
        <f>'[1]Forward Ranks'!BJ173</f>
        <v>0.57860262008733621</v>
      </c>
      <c r="AF173">
        <f>'[1]Forward Ranks'!BL173</f>
        <v>0</v>
      </c>
      <c r="AG173" s="1">
        <f>'[1]Forward Ranks'!BQ173</f>
        <v>0.65938864628820959</v>
      </c>
      <c r="AH173" s="1">
        <f>'[1]Forward Ranks'!BR173</f>
        <v>0.87772925764192145</v>
      </c>
      <c r="AI173" s="1">
        <f>'[1]Forward Ranks'!BS173</f>
        <v>0.60480349344978168</v>
      </c>
      <c r="AJ173" s="1">
        <f>'[1]Forward Ranks'!BT173</f>
        <v>0.75764192139737996</v>
      </c>
      <c r="AL173" s="2">
        <f>'[1]Forward Ranks'!BX173</f>
        <v>0.81004366812227069</v>
      </c>
      <c r="AN173" t="str">
        <f>'[1]Forward Ranks'!B173</f>
        <v>PHI</v>
      </c>
      <c r="AO173">
        <f>'[1]F on ice'!E173</f>
        <v>61</v>
      </c>
      <c r="AP173" s="2">
        <f>'[1]Impact Score Math'!E173</f>
        <v>0.81362725450901807</v>
      </c>
      <c r="AQ173">
        <f>'[1]Impact Score Math'!G173</f>
        <v>94</v>
      </c>
      <c r="AT173" s="1">
        <f>'[1]Forward Ranks'!CJ173</f>
        <v>0.29912663755458513</v>
      </c>
      <c r="AU173" s="1">
        <f>'[1]Forward Ranks'!CK173</f>
        <v>0.14847161572052403</v>
      </c>
    </row>
    <row r="174" spans="1:47" x14ac:dyDescent="0.3">
      <c r="A174" t="str">
        <f>'[1]Forward Ranks'!A174</f>
        <v>Jamie Benn</v>
      </c>
      <c r="B174">
        <f>'[1]Forward Ranks'!D174</f>
        <v>0</v>
      </c>
      <c r="C174" s="1">
        <f>'[1]Forward Ranks'!I174</f>
        <v>0.53275109170305679</v>
      </c>
      <c r="D174" s="1">
        <f>'[1]Forward Ranks'!J174</f>
        <v>0.77947598253275108</v>
      </c>
      <c r="E174" s="1">
        <f>'[1]Forward Ranks'!K174</f>
        <v>0.98471615720524019</v>
      </c>
      <c r="F174" s="1">
        <f>'[1]Forward Ranks'!L174</f>
        <v>0.73362445414847166</v>
      </c>
      <c r="G174">
        <f>'[1]Forward Ranks'!N174</f>
        <v>0</v>
      </c>
      <c r="H174" s="1">
        <f>'[1]Forward Ranks'!S174</f>
        <v>0.86244541484716153</v>
      </c>
      <c r="I174" s="1">
        <f>'[1]Forward Ranks'!T174</f>
        <v>0.93449781659388642</v>
      </c>
      <c r="J174" s="1">
        <f>'[1]Forward Ranks'!U174</f>
        <v>0.72052401746724892</v>
      </c>
      <c r="K174" s="1">
        <f>'[1]Forward Ranks'!V174</f>
        <v>0.95633187772925765</v>
      </c>
      <c r="L174">
        <f>'[1]Forward Ranks'!X174</f>
        <v>0</v>
      </c>
      <c r="M174" s="1">
        <f>'[1]Forward Ranks'!AC174</f>
        <v>7.6419213973799124E-2</v>
      </c>
      <c r="N174" s="1">
        <f>'[1]Forward Ranks'!AD174</f>
        <v>0.52183406113537123</v>
      </c>
      <c r="O174" s="1">
        <f>'[1]Forward Ranks'!AE174</f>
        <v>0.68777292576419213</v>
      </c>
      <c r="P174" s="1">
        <f>'[1]Forward Ranks'!AF174</f>
        <v>0.26200873362445415</v>
      </c>
      <c r="Q174">
        <f>'[1]Forward Ranks'!AH174</f>
        <v>0</v>
      </c>
      <c r="R174" s="1">
        <f>'[1]Forward Ranks'!AM174</f>
        <v>0.45851528384279477</v>
      </c>
      <c r="S174" s="1">
        <f>'[1]Forward Ranks'!AN174</f>
        <v>0.79912663755458513</v>
      </c>
      <c r="T174" s="1">
        <f>'[1]Forward Ranks'!AO174</f>
        <v>0.98471615720524019</v>
      </c>
      <c r="U174" s="1">
        <f>'[1]Forward Ranks'!AP174</f>
        <v>0.74454148471615722</v>
      </c>
      <c r="V174">
        <f>'[1]Forward Ranks'!AR174</f>
        <v>0</v>
      </c>
      <c r="W174" s="1">
        <f>'[1]Forward Ranks'!AW174</f>
        <v>1.0917030567685589E-2</v>
      </c>
      <c r="X174" s="1">
        <f>'[1]Forward Ranks'!AX174</f>
        <v>0.1703056768558952</v>
      </c>
      <c r="Y174" s="1">
        <f>'[1]Forward Ranks'!AY174</f>
        <v>0.45851528384279477</v>
      </c>
      <c r="Z174" s="1">
        <f>'[1]Forward Ranks'!AZ174</f>
        <v>5.0218340611353711E-2</v>
      </c>
      <c r="AA174">
        <f>'[1]Forward Ranks'!BB174</f>
        <v>0</v>
      </c>
      <c r="AB174" s="1">
        <f>'[1]Forward Ranks'!BG174</f>
        <v>0.29694323144104806</v>
      </c>
      <c r="AC174" s="1">
        <f>'[1]Forward Ranks'!BH174</f>
        <v>0.71834061135371174</v>
      </c>
      <c r="AD174" s="1">
        <f>'[1]Forward Ranks'!BI174</f>
        <v>0.99344978165938869</v>
      </c>
      <c r="AE174" s="1">
        <f>'[1]Forward Ranks'!BJ174</f>
        <v>1</v>
      </c>
      <c r="AF174">
        <f>'[1]Forward Ranks'!BL174</f>
        <v>0</v>
      </c>
      <c r="AG174" s="1">
        <f>'[1]Forward Ranks'!BQ174</f>
        <v>0.22925764192139739</v>
      </c>
      <c r="AH174" s="1">
        <f>'[1]Forward Ranks'!BR174</f>
        <v>0.74672489082969429</v>
      </c>
      <c r="AI174" s="1">
        <f>'[1]Forward Ranks'!BS174</f>
        <v>0.95633187772925765</v>
      </c>
      <c r="AJ174" s="1">
        <f>'[1]Forward Ranks'!BT174</f>
        <v>0.55458515283842791</v>
      </c>
      <c r="AL174" s="2">
        <f>'[1]Forward Ranks'!BX174</f>
        <v>0.44978165938864628</v>
      </c>
      <c r="AN174" t="str">
        <f>'[1]Forward Ranks'!B174</f>
        <v>DAL</v>
      </c>
      <c r="AO174">
        <f>'[1]F on ice'!E174</f>
        <v>82</v>
      </c>
      <c r="AP174" s="2">
        <f>'[1]Impact Score Math'!E174</f>
        <v>0.4649298597194389</v>
      </c>
      <c r="AQ174">
        <f>'[1]Impact Score Math'!G174</f>
        <v>268</v>
      </c>
      <c r="AT174" s="1">
        <f>'[1]Forward Ranks'!CJ174</f>
        <v>0.50218340611353707</v>
      </c>
      <c r="AU174" s="1">
        <f>'[1]Forward Ranks'!CK174</f>
        <v>0.80131004366812231</v>
      </c>
    </row>
    <row r="175" spans="1:47" x14ac:dyDescent="0.3">
      <c r="A175" t="str">
        <f>'[1]Forward Ranks'!A175</f>
        <v>Jansen Harkins</v>
      </c>
      <c r="B175">
        <f>'[1]Forward Ranks'!D175</f>
        <v>0</v>
      </c>
      <c r="C175" s="1">
        <f>'[1]Forward Ranks'!I175</f>
        <v>0.48908296943231439</v>
      </c>
      <c r="D175" s="1">
        <f>'[1]Forward Ranks'!J175</f>
        <v>0.6746724890829694</v>
      </c>
      <c r="E175" s="1">
        <f>'[1]Forward Ranks'!K175</f>
        <v>0.51091703056768556</v>
      </c>
      <c r="F175" s="1">
        <f>'[1]Forward Ranks'!L175</f>
        <v>0.77729257641921401</v>
      </c>
      <c r="G175">
        <f>'[1]Forward Ranks'!N175</f>
        <v>0</v>
      </c>
      <c r="H175" s="1">
        <f>'[1]Forward Ranks'!S175</f>
        <v>0.63318777292576423</v>
      </c>
      <c r="I175" s="1">
        <f>'[1]Forward Ranks'!T175</f>
        <v>0.11572052401746726</v>
      </c>
      <c r="J175" s="1">
        <f>'[1]Forward Ranks'!U175</f>
        <v>0.13755458515283842</v>
      </c>
      <c r="K175" s="1">
        <f>'[1]Forward Ranks'!V175</f>
        <v>0.25327510917030566</v>
      </c>
      <c r="L175">
        <f>'[1]Forward Ranks'!X175</f>
        <v>0</v>
      </c>
      <c r="M175" s="1">
        <f>'[1]Forward Ranks'!AC175</f>
        <v>0.98253275109170302</v>
      </c>
      <c r="N175" s="1">
        <f>'[1]Forward Ranks'!AD175</f>
        <v>1</v>
      </c>
      <c r="O175" s="1">
        <f>'[1]Forward Ranks'!AE175</f>
        <v>0.9606986899563319</v>
      </c>
      <c r="P175" s="1">
        <f>'[1]Forward Ranks'!AF175</f>
        <v>0.99781659388646293</v>
      </c>
      <c r="Q175">
        <f>'[1]Forward Ranks'!AH175</f>
        <v>0</v>
      </c>
      <c r="R175" s="1">
        <f>'[1]Forward Ranks'!AM175</f>
        <v>0.50436681222707425</v>
      </c>
      <c r="S175" s="1">
        <f>'[1]Forward Ranks'!AN175</f>
        <v>0.70305676855895194</v>
      </c>
      <c r="T175" s="1">
        <f>'[1]Forward Ranks'!AO175</f>
        <v>0.55021834061135366</v>
      </c>
      <c r="U175" s="1">
        <f>'[1]Forward Ranks'!AP175</f>
        <v>0.75327510917030571</v>
      </c>
      <c r="V175">
        <f>'[1]Forward Ranks'!AR175</f>
        <v>0</v>
      </c>
      <c r="W175" s="1">
        <f>'[1]Forward Ranks'!AW175</f>
        <v>0.99344978165938869</v>
      </c>
      <c r="X175" s="1">
        <f>'[1]Forward Ranks'!AX175</f>
        <v>0.99781659388646293</v>
      </c>
      <c r="Y175" s="1">
        <f>'[1]Forward Ranks'!AY175</f>
        <v>0.80349344978165937</v>
      </c>
      <c r="Z175" s="1">
        <f>'[1]Forward Ranks'!AZ175</f>
        <v>1</v>
      </c>
      <c r="AA175">
        <f>'[1]Forward Ranks'!BB175</f>
        <v>0</v>
      </c>
      <c r="AB175" s="1">
        <f>'[1]Forward Ranks'!BG175</f>
        <v>0.23144104803493451</v>
      </c>
      <c r="AC175" s="1">
        <f>'[1]Forward Ranks'!BH175</f>
        <v>0.18340611353711792</v>
      </c>
      <c r="AD175" s="1">
        <f>'[1]Forward Ranks'!BI175</f>
        <v>0.45633187772925765</v>
      </c>
      <c r="AE175" s="1">
        <f>'[1]Forward Ranks'!BJ175</f>
        <v>0.83406113537117899</v>
      </c>
      <c r="AF175">
        <f>'[1]Forward Ranks'!BL175</f>
        <v>0</v>
      </c>
      <c r="AG175" s="1">
        <f>'[1]Forward Ranks'!BQ175</f>
        <v>0.87991266375545851</v>
      </c>
      <c r="AH175" s="1">
        <f>'[1]Forward Ranks'!BR175</f>
        <v>0.99781659388646293</v>
      </c>
      <c r="AI175" s="1">
        <f>'[1]Forward Ranks'!BS175</f>
        <v>0.94759825327510916</v>
      </c>
      <c r="AJ175" s="1">
        <f>'[1]Forward Ranks'!BT175</f>
        <v>0.98908296943231444</v>
      </c>
      <c r="AL175" s="2">
        <f>'[1]Forward Ranks'!BX175</f>
        <v>0.90393013100436681</v>
      </c>
      <c r="AN175" t="str">
        <f>'[1]Forward Ranks'!B175</f>
        <v>WPG</v>
      </c>
      <c r="AO175">
        <f>'[1]F on ice'!E175</f>
        <v>22</v>
      </c>
      <c r="AP175" s="2">
        <f>'[1]Impact Score Math'!E175</f>
        <v>0.74148296593186369</v>
      </c>
      <c r="AQ175">
        <f>'[1]Impact Score Math'!G175</f>
        <v>130</v>
      </c>
      <c r="AT175" s="1">
        <f>'[1]Forward Ranks'!CJ175</f>
        <v>0.17685589519650655</v>
      </c>
      <c r="AU175" s="1">
        <f>'[1]Forward Ranks'!CK175</f>
        <v>0.611353711790393</v>
      </c>
    </row>
    <row r="176" spans="1:47" x14ac:dyDescent="0.3">
      <c r="A176" t="str">
        <f>'[1]Forward Ranks'!A176</f>
        <v>Jared McCann</v>
      </c>
      <c r="B176">
        <f>'[1]Forward Ranks'!D176</f>
        <v>0</v>
      </c>
      <c r="C176" s="1">
        <f>'[1]Forward Ranks'!I176</f>
        <v>0.79912663755458513</v>
      </c>
      <c r="D176" s="1">
        <f>'[1]Forward Ranks'!J176</f>
        <v>0.28820960698689957</v>
      </c>
      <c r="E176" s="1">
        <f>'[1]Forward Ranks'!K176</f>
        <v>0.99563318777292575</v>
      </c>
      <c r="F176" s="1">
        <f>'[1]Forward Ranks'!L176</f>
        <v>0.56550218340611358</v>
      </c>
      <c r="G176">
        <f>'[1]Forward Ranks'!N176</f>
        <v>0</v>
      </c>
      <c r="H176" s="1">
        <f>'[1]Forward Ranks'!S176</f>
        <v>1</v>
      </c>
      <c r="I176" s="1">
        <f>'[1]Forward Ranks'!T176</f>
        <v>0.65938864628820959</v>
      </c>
      <c r="J176" s="1">
        <f>'[1]Forward Ranks'!U176</f>
        <v>0.85589519650655022</v>
      </c>
      <c r="K176" s="1">
        <f>'[1]Forward Ranks'!V176</f>
        <v>0.98471615720524019</v>
      </c>
      <c r="L176">
        <f>'[1]Forward Ranks'!X176</f>
        <v>0</v>
      </c>
      <c r="M176" s="1">
        <f>'[1]Forward Ranks'!AC176</f>
        <v>0.84279475982532748</v>
      </c>
      <c r="N176" s="1">
        <f>'[1]Forward Ranks'!AD176</f>
        <v>0.91703056768558955</v>
      </c>
      <c r="O176" s="1">
        <f>'[1]Forward Ranks'!AE176</f>
        <v>0.37772925764192139</v>
      </c>
      <c r="P176" s="1">
        <f>'[1]Forward Ranks'!AF176</f>
        <v>0.9126637554585153</v>
      </c>
      <c r="Q176">
        <f>'[1]Forward Ranks'!AH176</f>
        <v>0</v>
      </c>
      <c r="R176" s="1">
        <f>'[1]Forward Ranks'!AM176</f>
        <v>0.71179039301310043</v>
      </c>
      <c r="S176" s="1">
        <f>'[1]Forward Ranks'!AN176</f>
        <v>0.46506550218340609</v>
      </c>
      <c r="T176" s="1">
        <f>'[1]Forward Ranks'!AO176</f>
        <v>0.96724890829694321</v>
      </c>
      <c r="U176" s="1">
        <f>'[1]Forward Ranks'!AP176</f>
        <v>0.57641921397379914</v>
      </c>
      <c r="V176">
        <f>'[1]Forward Ranks'!AR176</f>
        <v>0</v>
      </c>
      <c r="W176" s="1">
        <f>'[1]Forward Ranks'!AW176</f>
        <v>0.36026200873362446</v>
      </c>
      <c r="X176" s="1">
        <f>'[1]Forward Ranks'!AX176</f>
        <v>0.83624454148471616</v>
      </c>
      <c r="Y176" s="1">
        <f>'[1]Forward Ranks'!AY176</f>
        <v>0.22925764192139739</v>
      </c>
      <c r="Z176" s="1">
        <f>'[1]Forward Ranks'!AZ176</f>
        <v>0.76200873362445409</v>
      </c>
      <c r="AA176">
        <f>'[1]Forward Ranks'!BB176</f>
        <v>0</v>
      </c>
      <c r="AB176" s="1">
        <f>'[1]Forward Ranks'!BG176</f>
        <v>0.5240174672489083</v>
      </c>
      <c r="AC176" s="1">
        <f>'[1]Forward Ranks'!BH176</f>
        <v>0.74235807860262004</v>
      </c>
      <c r="AD176" s="1">
        <f>'[1]Forward Ranks'!BI176</f>
        <v>0.98908296943231444</v>
      </c>
      <c r="AE176" s="1">
        <f>'[1]Forward Ranks'!BJ176</f>
        <v>0.84279475982532748</v>
      </c>
      <c r="AF176">
        <f>'[1]Forward Ranks'!BL176</f>
        <v>0</v>
      </c>
      <c r="AG176" s="1">
        <f>'[1]Forward Ranks'!BQ176</f>
        <v>0.85589519650655022</v>
      </c>
      <c r="AH176" s="1">
        <f>'[1]Forward Ranks'!BR176</f>
        <v>0.59170305676855894</v>
      </c>
      <c r="AI176" s="1">
        <f>'[1]Forward Ranks'!BS176</f>
        <v>0.8973799126637555</v>
      </c>
      <c r="AJ176" s="1">
        <f>'[1]Forward Ranks'!BT176</f>
        <v>0.81441048034934493</v>
      </c>
      <c r="AL176" s="2">
        <f>'[1]Forward Ranks'!BX176</f>
        <v>0.93231441048034935</v>
      </c>
      <c r="AN176" t="str">
        <f>'[1]Forward Ranks'!B176</f>
        <v>SEA</v>
      </c>
      <c r="AO176">
        <f>'[1]F on ice'!E176</f>
        <v>79</v>
      </c>
      <c r="AP176" s="2">
        <f>'[1]Impact Score Math'!E176</f>
        <v>0.88577154308617234</v>
      </c>
      <c r="AQ176">
        <f>'[1]Impact Score Math'!G176</f>
        <v>58</v>
      </c>
      <c r="AT176" s="1">
        <f>'[1]Forward Ranks'!CJ176</f>
        <v>0.80786026200873362</v>
      </c>
      <c r="AU176" s="1">
        <f>'[1]Forward Ranks'!CK176</f>
        <v>0.70305676855895194</v>
      </c>
    </row>
    <row r="177" spans="1:47" x14ac:dyDescent="0.3">
      <c r="A177" t="str">
        <f>'[1]Forward Ranks'!A177</f>
        <v>Jaret Anderson-Dolan</v>
      </c>
      <c r="B177">
        <f>'[1]Forward Ranks'!D177</f>
        <v>0</v>
      </c>
      <c r="C177" s="1">
        <f>'[1]Forward Ranks'!I177</f>
        <v>0.36681222707423583</v>
      </c>
      <c r="D177" s="1">
        <f>'[1]Forward Ranks'!J177</f>
        <v>0.57423580786026196</v>
      </c>
      <c r="E177" s="1">
        <f>'[1]Forward Ranks'!K177</f>
        <v>0.41703056768558949</v>
      </c>
      <c r="F177" s="1">
        <f>'[1]Forward Ranks'!L177</f>
        <v>0.18777292576419213</v>
      </c>
      <c r="G177">
        <f>'[1]Forward Ranks'!N177</f>
        <v>0</v>
      </c>
      <c r="H177" s="1">
        <f>'[1]Forward Ranks'!S177</f>
        <v>0.77510917030567683</v>
      </c>
      <c r="I177" s="1">
        <f>'[1]Forward Ranks'!T177</f>
        <v>0.13973799126637554</v>
      </c>
      <c r="J177" s="1">
        <f>'[1]Forward Ranks'!U177</f>
        <v>0.13755458515283842</v>
      </c>
      <c r="K177" s="1">
        <f>'[1]Forward Ranks'!V177</f>
        <v>0.37117903930131002</v>
      </c>
      <c r="L177">
        <f>'[1]Forward Ranks'!X177</f>
        <v>0</v>
      </c>
      <c r="M177" s="1">
        <f>'[1]Forward Ranks'!AC177</f>
        <v>0.85807860262008728</v>
      </c>
      <c r="N177" s="1">
        <f>'[1]Forward Ranks'!AD177</f>
        <v>0.72052401746724892</v>
      </c>
      <c r="O177" s="1">
        <f>'[1]Forward Ranks'!AE177</f>
        <v>7.2052401746724892E-2</v>
      </c>
      <c r="P177" s="1">
        <f>'[1]Forward Ranks'!AF177</f>
        <v>0.77947598253275108</v>
      </c>
      <c r="Q177">
        <f>'[1]Forward Ranks'!AH177</f>
        <v>0</v>
      </c>
      <c r="R177" s="1">
        <f>'[1]Forward Ranks'!AM177</f>
        <v>0.2183406113537118</v>
      </c>
      <c r="S177" s="1">
        <f>'[1]Forward Ranks'!AN177</f>
        <v>0.41484716157205243</v>
      </c>
      <c r="T177" s="1">
        <f>'[1]Forward Ranks'!AO177</f>
        <v>0.46724890829694321</v>
      </c>
      <c r="U177" s="1">
        <f>'[1]Forward Ranks'!AP177</f>
        <v>0.13537117903930132</v>
      </c>
      <c r="V177">
        <f>'[1]Forward Ranks'!AR177</f>
        <v>0</v>
      </c>
      <c r="W177" s="1">
        <f>'[1]Forward Ranks'!AW177</f>
        <v>0.3930131004366812</v>
      </c>
      <c r="X177" s="1">
        <f>'[1]Forward Ranks'!AX177</f>
        <v>0.56550218340611358</v>
      </c>
      <c r="Y177" s="1">
        <f>'[1]Forward Ranks'!AY177</f>
        <v>3.2751091703056769E-2</v>
      </c>
      <c r="Z177" s="1">
        <f>'[1]Forward Ranks'!AZ177</f>
        <v>0.55240174672489084</v>
      </c>
      <c r="AA177">
        <f>'[1]Forward Ranks'!BB177</f>
        <v>0</v>
      </c>
      <c r="AB177" s="1">
        <f>'[1]Forward Ranks'!BG177</f>
        <v>0.13973799126637554</v>
      </c>
      <c r="AC177" s="1">
        <f>'[1]Forward Ranks'!BH177</f>
        <v>0.91921397379912662</v>
      </c>
      <c r="AD177" s="1">
        <f>'[1]Forward Ranks'!BI177</f>
        <v>0.43013100436681223</v>
      </c>
      <c r="AE177" s="1">
        <f>'[1]Forward Ranks'!BJ177</f>
        <v>8.7336244541484712E-3</v>
      </c>
      <c r="AF177">
        <f>'[1]Forward Ranks'!BL177</f>
        <v>0</v>
      </c>
      <c r="AG177" s="1">
        <f>'[1]Forward Ranks'!BQ177</f>
        <v>0.61790393013100442</v>
      </c>
      <c r="AH177" s="1">
        <f>'[1]Forward Ranks'!BR177</f>
        <v>0.64847161572052403</v>
      </c>
      <c r="AI177" s="1">
        <f>'[1]Forward Ranks'!BS177</f>
        <v>0.1703056768558952</v>
      </c>
      <c r="AJ177" s="1">
        <f>'[1]Forward Ranks'!BT177</f>
        <v>0.37117903930131002</v>
      </c>
      <c r="AL177" s="2">
        <f>'[1]Forward Ranks'!BX177</f>
        <v>0.39082969432314413</v>
      </c>
      <c r="AN177" t="str">
        <f>'[1]Forward Ranks'!B177</f>
        <v>L.A</v>
      </c>
      <c r="AO177">
        <f>'[1]F on ice'!E177</f>
        <v>46</v>
      </c>
      <c r="AP177" s="2">
        <f>'[1]Impact Score Math'!E177</f>
        <v>0.34268537074148298</v>
      </c>
      <c r="AQ177">
        <f>'[1]Impact Score Math'!G177</f>
        <v>329</v>
      </c>
      <c r="AT177" s="1">
        <f>'[1]Forward Ranks'!CJ177</f>
        <v>0.9606986899563319</v>
      </c>
      <c r="AU177" s="1">
        <f>'[1]Forward Ranks'!CK177</f>
        <v>7.6419213973799124E-2</v>
      </c>
    </row>
    <row r="178" spans="1:47" x14ac:dyDescent="0.3">
      <c r="A178" t="str">
        <f>'[1]Forward Ranks'!A178</f>
        <v>Jason Dickinson</v>
      </c>
      <c r="B178">
        <f>'[1]Forward Ranks'!D178</f>
        <v>0</v>
      </c>
      <c r="C178" s="1">
        <f>'[1]Forward Ranks'!I178</f>
        <v>0.14628820960698691</v>
      </c>
      <c r="D178" s="1">
        <f>'[1]Forward Ranks'!J178</f>
        <v>7.4235807860262015E-2</v>
      </c>
      <c r="E178" s="1">
        <f>'[1]Forward Ranks'!K178</f>
        <v>0.20087336244541484</v>
      </c>
      <c r="F178" s="1">
        <f>'[1]Forward Ranks'!L178</f>
        <v>0.1222707423580786</v>
      </c>
      <c r="G178">
        <f>'[1]Forward Ranks'!N178</f>
        <v>0</v>
      </c>
      <c r="H178" s="1">
        <f>'[1]Forward Ranks'!S178</f>
        <v>0.25545851528384278</v>
      </c>
      <c r="I178" s="1">
        <f>'[1]Forward Ranks'!T178</f>
        <v>0.2816593886462882</v>
      </c>
      <c r="J178" s="1">
        <f>'[1]Forward Ranks'!U178</f>
        <v>0.32751091703056767</v>
      </c>
      <c r="K178" s="1">
        <f>'[1]Forward Ranks'!V178</f>
        <v>0.18558951965065501</v>
      </c>
      <c r="L178">
        <f>'[1]Forward Ranks'!X178</f>
        <v>0</v>
      </c>
      <c r="M178" s="1">
        <f>'[1]Forward Ranks'!AC178</f>
        <v>0.29039301310043669</v>
      </c>
      <c r="N178" s="1">
        <f>'[1]Forward Ranks'!AD178</f>
        <v>0.68558951965065507</v>
      </c>
      <c r="O178" s="1">
        <f>'[1]Forward Ranks'!AE178</f>
        <v>8.7336244541484712E-3</v>
      </c>
      <c r="P178" s="1">
        <f>'[1]Forward Ranks'!AF178</f>
        <v>0.54585152838427953</v>
      </c>
      <c r="Q178">
        <f>'[1]Forward Ranks'!AH178</f>
        <v>0</v>
      </c>
      <c r="R178" s="1">
        <f>'[1]Forward Ranks'!AM178</f>
        <v>0.55021834061135366</v>
      </c>
      <c r="S178" s="1">
        <f>'[1]Forward Ranks'!AN178</f>
        <v>0.45196506550218341</v>
      </c>
      <c r="T178" s="1">
        <f>'[1]Forward Ranks'!AO178</f>
        <v>0.44759825327510916</v>
      </c>
      <c r="U178" s="1">
        <f>'[1]Forward Ranks'!AP178</f>
        <v>0.5240174672489083</v>
      </c>
      <c r="V178">
        <f>'[1]Forward Ranks'!AR178</f>
        <v>0</v>
      </c>
      <c r="W178" s="1">
        <f>'[1]Forward Ranks'!AW178</f>
        <v>0.70742358078602618</v>
      </c>
      <c r="X178" s="1">
        <f>'[1]Forward Ranks'!AX178</f>
        <v>0.96506550218340614</v>
      </c>
      <c r="Y178" s="1">
        <f>'[1]Forward Ranks'!AY178</f>
        <v>1.3100436681222707E-2</v>
      </c>
      <c r="Z178" s="1">
        <f>'[1]Forward Ranks'!AZ178</f>
        <v>0.91048034934497812</v>
      </c>
      <c r="AA178">
        <f>'[1]Forward Ranks'!BB178</f>
        <v>0</v>
      </c>
      <c r="AB178" s="1">
        <f>'[1]Forward Ranks'!BG178</f>
        <v>0.63318777292576423</v>
      </c>
      <c r="AC178" s="1">
        <f>'[1]Forward Ranks'!BH178</f>
        <v>0.1965065502183406</v>
      </c>
      <c r="AD178" s="1">
        <f>'[1]Forward Ranks'!BI178</f>
        <v>0.29694323144104806</v>
      </c>
      <c r="AE178" s="1">
        <f>'[1]Forward Ranks'!BJ178</f>
        <v>2.1834061135371178E-2</v>
      </c>
      <c r="AF178">
        <f>'[1]Forward Ranks'!BL178</f>
        <v>0</v>
      </c>
      <c r="AG178" s="1">
        <f>'[1]Forward Ranks'!BQ178</f>
        <v>0.16375545851528384</v>
      </c>
      <c r="AH178" s="1">
        <f>'[1]Forward Ranks'!BR178</f>
        <v>0.20742358078602621</v>
      </c>
      <c r="AI178" s="1">
        <f>'[1]Forward Ranks'!BS178</f>
        <v>4.5851528384279479E-2</v>
      </c>
      <c r="AJ178" s="1">
        <f>'[1]Forward Ranks'!BT178</f>
        <v>0.22707423580786026</v>
      </c>
      <c r="AL178" s="2">
        <f>'[1]Forward Ranks'!BX178</f>
        <v>0.30349344978165937</v>
      </c>
      <c r="AN178" t="str">
        <f>'[1]Forward Ranks'!B178</f>
        <v>CHI</v>
      </c>
      <c r="AO178">
        <f>'[1]F on ice'!E178</f>
        <v>78</v>
      </c>
      <c r="AP178" s="2">
        <f>'[1]Impact Score Math'!E178</f>
        <v>0.4408817635270541</v>
      </c>
      <c r="AQ178">
        <f>'[1]Impact Score Math'!G178</f>
        <v>280</v>
      </c>
      <c r="AT178" s="1">
        <f>'[1]Forward Ranks'!CJ178</f>
        <v>0.51091703056768556</v>
      </c>
      <c r="AU178" s="1">
        <f>'[1]Forward Ranks'!CK178</f>
        <v>0.36244541484716158</v>
      </c>
    </row>
    <row r="179" spans="1:47" x14ac:dyDescent="0.3">
      <c r="A179" t="str">
        <f>'[1]Forward Ranks'!A179</f>
        <v>Jason Robertson</v>
      </c>
      <c r="B179">
        <f>'[1]Forward Ranks'!D179</f>
        <v>0</v>
      </c>
      <c r="C179" s="1">
        <f>'[1]Forward Ranks'!I179</f>
        <v>0.88209606986899558</v>
      </c>
      <c r="D179" s="1">
        <f>'[1]Forward Ranks'!J179</f>
        <v>0.9366812227074236</v>
      </c>
      <c r="E179" s="1">
        <f>'[1]Forward Ranks'!K179</f>
        <v>0.94978165938864634</v>
      </c>
      <c r="F179" s="1">
        <f>'[1]Forward Ranks'!L179</f>
        <v>0.91703056768558955</v>
      </c>
      <c r="G179">
        <f>'[1]Forward Ranks'!N179</f>
        <v>0</v>
      </c>
      <c r="H179" s="1">
        <f>'[1]Forward Ranks'!S179</f>
        <v>0.94978165938864634</v>
      </c>
      <c r="I179" s="1">
        <f>'[1]Forward Ranks'!T179</f>
        <v>0.91484716157205237</v>
      </c>
      <c r="J179" s="1">
        <f>'[1]Forward Ranks'!U179</f>
        <v>0.90829694323144106</v>
      </c>
      <c r="K179" s="1">
        <f>'[1]Forward Ranks'!V179</f>
        <v>0.9759825327510917</v>
      </c>
      <c r="L179">
        <f>'[1]Forward Ranks'!X179</f>
        <v>0</v>
      </c>
      <c r="M179" s="1">
        <f>'[1]Forward Ranks'!AC179</f>
        <v>0.86244541484716153</v>
      </c>
      <c r="N179" s="1">
        <f>'[1]Forward Ranks'!AD179</f>
        <v>0.89519650655021832</v>
      </c>
      <c r="O179" s="1">
        <f>'[1]Forward Ranks'!AE179</f>
        <v>0.86462882096069871</v>
      </c>
      <c r="P179" s="1">
        <f>'[1]Forward Ranks'!AF179</f>
        <v>0.89519650655021832</v>
      </c>
      <c r="Q179">
        <f>'[1]Forward Ranks'!AH179</f>
        <v>0</v>
      </c>
      <c r="R179" s="1">
        <f>'[1]Forward Ranks'!AM179</f>
        <v>0.95196506550218341</v>
      </c>
      <c r="S179" s="1">
        <f>'[1]Forward Ranks'!AN179</f>
        <v>0.99344978165938869</v>
      </c>
      <c r="T179" s="1">
        <f>'[1]Forward Ranks'!AO179</f>
        <v>0.96506550218340614</v>
      </c>
      <c r="U179" s="1">
        <f>'[1]Forward Ranks'!AP179</f>
        <v>0.99126637554585151</v>
      </c>
      <c r="V179">
        <f>'[1]Forward Ranks'!AR179</f>
        <v>0</v>
      </c>
      <c r="W179" s="1">
        <f>'[1]Forward Ranks'!AW179</f>
        <v>0.90393013100436681</v>
      </c>
      <c r="X179" s="1">
        <f>'[1]Forward Ranks'!AX179</f>
        <v>0.77292576419213976</v>
      </c>
      <c r="Y179" s="1">
        <f>'[1]Forward Ranks'!AY179</f>
        <v>0.74672489082969429</v>
      </c>
      <c r="Z179" s="1">
        <f>'[1]Forward Ranks'!AZ179</f>
        <v>0.80567685589519655</v>
      </c>
      <c r="AA179">
        <f>'[1]Forward Ranks'!BB179</f>
        <v>0</v>
      </c>
      <c r="AB179" s="1">
        <f>'[1]Forward Ranks'!BG179</f>
        <v>0.92358078602620086</v>
      </c>
      <c r="AC179" s="1">
        <f>'[1]Forward Ranks'!BH179</f>
        <v>0.71615720524017468</v>
      </c>
      <c r="AD179" s="1">
        <f>'[1]Forward Ranks'!BI179</f>
        <v>0.85807860262008728</v>
      </c>
      <c r="AE179" s="1">
        <f>'[1]Forward Ranks'!BJ179</f>
        <v>0.90174672489082974</v>
      </c>
      <c r="AF179">
        <f>'[1]Forward Ranks'!BL179</f>
        <v>0</v>
      </c>
      <c r="AG179" s="1">
        <f>'[1]Forward Ranks'!BQ179</f>
        <v>0.93013100436681218</v>
      </c>
      <c r="AH179" s="1">
        <f>'[1]Forward Ranks'!BR179</f>
        <v>0.98034934497816595</v>
      </c>
      <c r="AI179" s="1">
        <f>'[1]Forward Ranks'!BS179</f>
        <v>0.97379912663755464</v>
      </c>
      <c r="AJ179" s="1">
        <f>'[1]Forward Ranks'!BT179</f>
        <v>0.96724890829694321</v>
      </c>
      <c r="AL179" s="2">
        <f>'[1]Forward Ranks'!BX179</f>
        <v>1</v>
      </c>
      <c r="AN179" t="str">
        <f>'[1]Forward Ranks'!B179</f>
        <v>DAL</v>
      </c>
      <c r="AO179">
        <f>'[1]F on ice'!E179</f>
        <v>82</v>
      </c>
      <c r="AP179" s="2">
        <f>'[1]Impact Score Math'!E179</f>
        <v>1</v>
      </c>
      <c r="AQ179">
        <f>'[1]Impact Score Math'!G179</f>
        <v>1</v>
      </c>
      <c r="AT179" s="1">
        <f>'[1]Forward Ranks'!CJ179</f>
        <v>0.88209606986899558</v>
      </c>
      <c r="AU179" s="1">
        <f>'[1]Forward Ranks'!CK179</f>
        <v>0.17903930131004367</v>
      </c>
    </row>
    <row r="180" spans="1:47" x14ac:dyDescent="0.3">
      <c r="A180" t="str">
        <f>'[1]Forward Ranks'!A180</f>
        <v>Jason Zucker</v>
      </c>
      <c r="B180">
        <f>'[1]Forward Ranks'!D180</f>
        <v>0</v>
      </c>
      <c r="C180" s="1">
        <f>'[1]Forward Ranks'!I180</f>
        <v>0.94978165938864634</v>
      </c>
      <c r="D180" s="1">
        <f>'[1]Forward Ranks'!J180</f>
        <v>0.94759825327510916</v>
      </c>
      <c r="E180" s="1">
        <f>'[1]Forward Ranks'!K180</f>
        <v>0.76637554585152834</v>
      </c>
      <c r="F180" s="1">
        <f>'[1]Forward Ranks'!L180</f>
        <v>0.99344978165938869</v>
      </c>
      <c r="G180">
        <f>'[1]Forward Ranks'!N180</f>
        <v>0</v>
      </c>
      <c r="H180" s="1">
        <f>'[1]Forward Ranks'!S180</f>
        <v>0.96288209606986896</v>
      </c>
      <c r="I180" s="1">
        <f>'[1]Forward Ranks'!T180</f>
        <v>0.2816593886462882</v>
      </c>
      <c r="J180" s="1">
        <f>'[1]Forward Ranks'!U180</f>
        <v>0.27947598253275108</v>
      </c>
      <c r="K180" s="1">
        <f>'[1]Forward Ranks'!V180</f>
        <v>0.79039301310043664</v>
      </c>
      <c r="L180">
        <f>'[1]Forward Ranks'!X180</f>
        <v>0</v>
      </c>
      <c r="M180" s="1">
        <f>'[1]Forward Ranks'!AC180</f>
        <v>0.55895196506550215</v>
      </c>
      <c r="N180" s="1">
        <f>'[1]Forward Ranks'!AD180</f>
        <v>0.55240174672489084</v>
      </c>
      <c r="O180" s="1">
        <f>'[1]Forward Ranks'!AE180</f>
        <v>0.17467248908296942</v>
      </c>
      <c r="P180" s="1">
        <f>'[1]Forward Ranks'!AF180</f>
        <v>0.41484716157205243</v>
      </c>
      <c r="Q180">
        <f>'[1]Forward Ranks'!AH180</f>
        <v>0</v>
      </c>
      <c r="R180" s="1">
        <f>'[1]Forward Ranks'!AM180</f>
        <v>0.8973799126637555</v>
      </c>
      <c r="S180" s="1">
        <f>'[1]Forward Ranks'!AN180</f>
        <v>0.87991266375545851</v>
      </c>
      <c r="T180" s="1">
        <f>'[1]Forward Ranks'!AO180</f>
        <v>0.73799126637554591</v>
      </c>
      <c r="U180" s="1">
        <f>'[1]Forward Ranks'!AP180</f>
        <v>0.94541484716157209</v>
      </c>
      <c r="V180">
        <f>'[1]Forward Ranks'!AR180</f>
        <v>0</v>
      </c>
      <c r="W180" s="1">
        <f>'[1]Forward Ranks'!AW180</f>
        <v>0.73362445414847166</v>
      </c>
      <c r="X180" s="1">
        <f>'[1]Forward Ranks'!AX180</f>
        <v>0.6746724890829694</v>
      </c>
      <c r="Y180" s="1">
        <f>'[1]Forward Ranks'!AY180</f>
        <v>7.8602620087336247E-2</v>
      </c>
      <c r="Z180" s="1">
        <f>'[1]Forward Ranks'!AZ180</f>
        <v>0.39082969432314413</v>
      </c>
      <c r="AA180">
        <f>'[1]Forward Ranks'!BB180</f>
        <v>0</v>
      </c>
      <c r="AB180" s="1">
        <f>'[1]Forward Ranks'!BG180</f>
        <v>0.8493449781659389</v>
      </c>
      <c r="AC180" s="1">
        <f>'[1]Forward Ranks'!BH180</f>
        <v>0.99344978165938869</v>
      </c>
      <c r="AD180" s="1">
        <f>'[1]Forward Ranks'!BI180</f>
        <v>0.39519650655021832</v>
      </c>
      <c r="AE180" s="1">
        <f>'[1]Forward Ranks'!BJ180</f>
        <v>0.20524017467248909</v>
      </c>
      <c r="AF180">
        <f>'[1]Forward Ranks'!BL180</f>
        <v>0</v>
      </c>
      <c r="AG180" s="1">
        <f>'[1]Forward Ranks'!BQ180</f>
        <v>0.90611353711790388</v>
      </c>
      <c r="AH180" s="1">
        <f>'[1]Forward Ranks'!BR180</f>
        <v>0.90393013100436681</v>
      </c>
      <c r="AI180" s="1">
        <f>'[1]Forward Ranks'!BS180</f>
        <v>0.4606986899563319</v>
      </c>
      <c r="AJ180" s="1">
        <f>'[1]Forward Ranks'!BT180</f>
        <v>0.91703056768558955</v>
      </c>
      <c r="AL180" s="2">
        <f>'[1]Forward Ranks'!BX180</f>
        <v>0.90174672489082974</v>
      </c>
      <c r="AN180" t="str">
        <f>'[1]Forward Ranks'!B180</f>
        <v>PIT</v>
      </c>
      <c r="AO180">
        <f>'[1]F on ice'!E180</f>
        <v>78</v>
      </c>
      <c r="AP180" s="2">
        <f>'[1]Impact Score Math'!E180</f>
        <v>0.92184368737474953</v>
      </c>
      <c r="AQ180">
        <f>'[1]Impact Score Math'!G180</f>
        <v>40</v>
      </c>
      <c r="AT180" s="1">
        <f>'[1]Forward Ranks'!CJ180</f>
        <v>0.40393013100436681</v>
      </c>
      <c r="AU180" s="1">
        <f>'[1]Forward Ranks'!CK180</f>
        <v>0.74235807860262004</v>
      </c>
    </row>
    <row r="181" spans="1:47" x14ac:dyDescent="0.3">
      <c r="A181" t="str">
        <f>'[1]Forward Ranks'!A181</f>
        <v>Jayson Megna</v>
      </c>
      <c r="B181">
        <f>'[1]Forward Ranks'!D181</f>
        <v>0</v>
      </c>
      <c r="C181" s="1">
        <f>'[1]Forward Ranks'!I181</f>
        <v>2.6200873362445413E-2</v>
      </c>
      <c r="D181" s="1">
        <f>'[1]Forward Ranks'!J181</f>
        <v>5.2401746724890827E-2</v>
      </c>
      <c r="E181" s="1">
        <f>'[1]Forward Ranks'!K181</f>
        <v>2.4017467248908297E-2</v>
      </c>
      <c r="F181" s="1">
        <f>'[1]Forward Ranks'!L181</f>
        <v>6.3318777292576414E-2</v>
      </c>
      <c r="G181">
        <f>'[1]Forward Ranks'!N181</f>
        <v>0</v>
      </c>
      <c r="H181" s="1">
        <f>'[1]Forward Ranks'!S181</f>
        <v>4.8034934497816595E-2</v>
      </c>
      <c r="I181" s="1">
        <f>'[1]Forward Ranks'!T181</f>
        <v>0.18340611353711792</v>
      </c>
      <c r="J181" s="1">
        <f>'[1]Forward Ranks'!U181</f>
        <v>0.12445414847161572</v>
      </c>
      <c r="K181" s="1">
        <f>'[1]Forward Ranks'!V181</f>
        <v>5.6768558951965066E-2</v>
      </c>
      <c r="L181">
        <f>'[1]Forward Ranks'!X181</f>
        <v>0</v>
      </c>
      <c r="M181" s="1">
        <f>'[1]Forward Ranks'!AC181</f>
        <v>2.6200873362445413E-2</v>
      </c>
      <c r="N181" s="1">
        <f>'[1]Forward Ranks'!AD181</f>
        <v>0.11135371179039301</v>
      </c>
      <c r="O181" s="1">
        <f>'[1]Forward Ranks'!AE181</f>
        <v>1.9650655021834062E-2</v>
      </c>
      <c r="P181" s="1">
        <f>'[1]Forward Ranks'!AF181</f>
        <v>0.10043668122270742</v>
      </c>
      <c r="Q181">
        <f>'[1]Forward Ranks'!AH181</f>
        <v>0</v>
      </c>
      <c r="R181" s="1">
        <f>'[1]Forward Ranks'!AM181</f>
        <v>5.6768558951965066E-2</v>
      </c>
      <c r="S181" s="1">
        <f>'[1]Forward Ranks'!AN181</f>
        <v>0.10043668122270742</v>
      </c>
      <c r="T181" s="1">
        <f>'[1]Forward Ranks'!AO181</f>
        <v>0.11135371179039301</v>
      </c>
      <c r="U181" s="1">
        <f>'[1]Forward Ranks'!AP181</f>
        <v>0.13100436681222707</v>
      </c>
      <c r="V181">
        <f>'[1]Forward Ranks'!AR181</f>
        <v>0</v>
      </c>
      <c r="W181" s="1">
        <f>'[1]Forward Ranks'!AW181</f>
        <v>0.35589519650655022</v>
      </c>
      <c r="X181" s="1">
        <f>'[1]Forward Ranks'!AX181</f>
        <v>0.87991266375545851</v>
      </c>
      <c r="Y181" s="1">
        <f>'[1]Forward Ranks'!AY181</f>
        <v>0.17467248908296942</v>
      </c>
      <c r="Z181" s="1">
        <f>'[1]Forward Ranks'!AZ181</f>
        <v>0.72052401746724892</v>
      </c>
      <c r="AA181">
        <f>'[1]Forward Ranks'!BB181</f>
        <v>0</v>
      </c>
      <c r="AB181" s="1">
        <f>'[1]Forward Ranks'!BG181</f>
        <v>4.3668122270742356E-2</v>
      </c>
      <c r="AC181" s="1">
        <f>'[1]Forward Ranks'!BH181</f>
        <v>0.11353711790393013</v>
      </c>
      <c r="AD181" s="1">
        <f>'[1]Forward Ranks'!BI181</f>
        <v>3.4934497816593885E-2</v>
      </c>
      <c r="AE181" s="1">
        <f>'[1]Forward Ranks'!BJ181</f>
        <v>2.4017467248908297E-2</v>
      </c>
      <c r="AF181">
        <f>'[1]Forward Ranks'!BL181</f>
        <v>0</v>
      </c>
      <c r="AG181" s="1">
        <f>'[1]Forward Ranks'!BQ181</f>
        <v>1.0917030567685589E-2</v>
      </c>
      <c r="AH181" s="1">
        <f>'[1]Forward Ranks'!BR181</f>
        <v>4.5851528384279479E-2</v>
      </c>
      <c r="AI181" s="1">
        <f>'[1]Forward Ranks'!BS181</f>
        <v>6.5502183406113534E-3</v>
      </c>
      <c r="AJ181" s="1">
        <f>'[1]Forward Ranks'!BT181</f>
        <v>3.2751091703056769E-2</v>
      </c>
      <c r="AL181" s="2">
        <f>'[1]Forward Ranks'!BX181</f>
        <v>1.0917030567685589E-2</v>
      </c>
      <c r="AN181" t="str">
        <f>'[1]Forward Ranks'!B181</f>
        <v>ANA, COL</v>
      </c>
      <c r="AO181">
        <f>'[1]F on ice'!E181</f>
        <v>55</v>
      </c>
      <c r="AP181" s="2">
        <f>'[1]Impact Score Math'!E181</f>
        <v>9.0180360721442893E-2</v>
      </c>
      <c r="AQ181">
        <f>'[1]Impact Score Math'!G181</f>
        <v>455</v>
      </c>
      <c r="AT181" s="1">
        <f>'[1]Forward Ranks'!CJ181</f>
        <v>0.85807860262008728</v>
      </c>
      <c r="AU181" s="1">
        <f>'[1]Forward Ranks'!CK181</f>
        <v>2.4017467248908297E-2</v>
      </c>
    </row>
    <row r="182" spans="1:47" x14ac:dyDescent="0.3">
      <c r="A182" t="str">
        <f>'[1]Forward Ranks'!A182</f>
        <v>Jean-Gabriel Pageau</v>
      </c>
      <c r="B182">
        <f>'[1]Forward Ranks'!D182</f>
        <v>0</v>
      </c>
      <c r="C182" s="1">
        <f>'[1]Forward Ranks'!I182</f>
        <v>0.36244541484716158</v>
      </c>
      <c r="D182" s="1">
        <f>'[1]Forward Ranks'!J182</f>
        <v>0.79039301310043664</v>
      </c>
      <c r="E182" s="1">
        <f>'[1]Forward Ranks'!K182</f>
        <v>0.45633187772925765</v>
      </c>
      <c r="F182" s="1">
        <f>'[1]Forward Ranks'!L182</f>
        <v>0.76200873362445409</v>
      </c>
      <c r="G182">
        <f>'[1]Forward Ranks'!N182</f>
        <v>0</v>
      </c>
      <c r="H182" s="1">
        <f>'[1]Forward Ranks'!S182</f>
        <v>3.2751091703056769E-2</v>
      </c>
      <c r="I182" s="1">
        <f>'[1]Forward Ranks'!T182</f>
        <v>0.8253275109170306</v>
      </c>
      <c r="J182" s="1">
        <f>'[1]Forward Ranks'!U182</f>
        <v>0.76419213973799127</v>
      </c>
      <c r="K182" s="1">
        <f>'[1]Forward Ranks'!V182</f>
        <v>0.44978165938864628</v>
      </c>
      <c r="L182">
        <f>'[1]Forward Ranks'!X182</f>
        <v>0</v>
      </c>
      <c r="M182" s="1">
        <f>'[1]Forward Ranks'!AC182</f>
        <v>0.18122270742358079</v>
      </c>
      <c r="N182" s="1">
        <f>'[1]Forward Ranks'!AD182</f>
        <v>0.44541484716157204</v>
      </c>
      <c r="O182" s="1">
        <f>'[1]Forward Ranks'!AE182</f>
        <v>0.63755458515283847</v>
      </c>
      <c r="P182" s="1">
        <f>'[1]Forward Ranks'!AF182</f>
        <v>0.43013100436681223</v>
      </c>
      <c r="Q182">
        <f>'[1]Forward Ranks'!AH182</f>
        <v>0</v>
      </c>
      <c r="R182" s="1">
        <f>'[1]Forward Ranks'!AM182</f>
        <v>0.25545851528384278</v>
      </c>
      <c r="S182" s="1">
        <f>'[1]Forward Ranks'!AN182</f>
        <v>0.80786026200873362</v>
      </c>
      <c r="T182" s="1">
        <f>'[1]Forward Ranks'!AO182</f>
        <v>0.39519650655021832</v>
      </c>
      <c r="U182" s="1">
        <f>'[1]Forward Ranks'!AP182</f>
        <v>0.74017467248908297</v>
      </c>
      <c r="V182">
        <f>'[1]Forward Ranks'!AR182</f>
        <v>0</v>
      </c>
      <c r="W182" s="1">
        <f>'[1]Forward Ranks'!AW182</f>
        <v>0.17903930131004367</v>
      </c>
      <c r="X182" s="1">
        <f>'[1]Forward Ranks'!AX182</f>
        <v>0.72925764192139741</v>
      </c>
      <c r="Y182" s="1">
        <f>'[1]Forward Ranks'!AY182</f>
        <v>0.3056768558951965</v>
      </c>
      <c r="Z182" s="1">
        <f>'[1]Forward Ranks'!AZ182</f>
        <v>0.61790393013100442</v>
      </c>
      <c r="AA182">
        <f>'[1]Forward Ranks'!BB182</f>
        <v>0</v>
      </c>
      <c r="AB182" s="1">
        <f>'[1]Forward Ranks'!BG182</f>
        <v>0.53056768558951961</v>
      </c>
      <c r="AC182" s="1">
        <f>'[1]Forward Ranks'!BH182</f>
        <v>5.0218340611353711E-2</v>
      </c>
      <c r="AD182" s="1">
        <f>'[1]Forward Ranks'!BI182</f>
        <v>0.5</v>
      </c>
      <c r="AE182" s="1">
        <f>'[1]Forward Ranks'!BJ182</f>
        <v>0.68340611353711789</v>
      </c>
      <c r="AF182">
        <f>'[1]Forward Ranks'!BL182</f>
        <v>0</v>
      </c>
      <c r="AG182" s="1">
        <f>'[1]Forward Ranks'!BQ182</f>
        <v>0.24890829694323144</v>
      </c>
      <c r="AH182" s="1">
        <f>'[1]Forward Ranks'!BR182</f>
        <v>0.72270742358078599</v>
      </c>
      <c r="AI182" s="1">
        <f>'[1]Forward Ranks'!BS182</f>
        <v>0.57641921397379914</v>
      </c>
      <c r="AJ182" s="1">
        <f>'[1]Forward Ranks'!BT182</f>
        <v>0.67685589519650657</v>
      </c>
      <c r="AL182" s="2">
        <f>'[1]Forward Ranks'!BX182</f>
        <v>0.3930131004366812</v>
      </c>
      <c r="AN182" t="str">
        <f>'[1]Forward Ranks'!B182</f>
        <v>NYI</v>
      </c>
      <c r="AO182">
        <f>'[1]F on ice'!E182</f>
        <v>70</v>
      </c>
      <c r="AP182" s="2">
        <f>'[1]Impact Score Math'!E182</f>
        <v>0.4709418837675351</v>
      </c>
      <c r="AQ182">
        <f>'[1]Impact Score Math'!G182</f>
        <v>265</v>
      </c>
      <c r="AT182" s="1">
        <f>'[1]Forward Ranks'!CJ182</f>
        <v>0.82096069868995636</v>
      </c>
      <c r="AU182" s="1">
        <f>'[1]Forward Ranks'!CK182</f>
        <v>0.16812227074235808</v>
      </c>
    </row>
    <row r="183" spans="1:47" x14ac:dyDescent="0.3">
      <c r="A183" t="str">
        <f>'[1]Forward Ranks'!A183</f>
        <v>Jeff Carter</v>
      </c>
      <c r="B183">
        <f>'[1]Forward Ranks'!D183</f>
        <v>0</v>
      </c>
      <c r="C183" s="1">
        <f>'[1]Forward Ranks'!I183</f>
        <v>0.40611353711790393</v>
      </c>
      <c r="D183" s="1">
        <f>'[1]Forward Ranks'!J183</f>
        <v>0.52183406113537123</v>
      </c>
      <c r="E183" s="1">
        <f>'[1]Forward Ranks'!K183</f>
        <v>0.13973799126637554</v>
      </c>
      <c r="F183" s="1">
        <f>'[1]Forward Ranks'!L183</f>
        <v>0.48034934497816595</v>
      </c>
      <c r="G183">
        <f>'[1]Forward Ranks'!N183</f>
        <v>0</v>
      </c>
      <c r="H183" s="1">
        <f>'[1]Forward Ranks'!S183</f>
        <v>0.27510917030567683</v>
      </c>
      <c r="I183" s="1">
        <f>'[1]Forward Ranks'!T183</f>
        <v>0.15938864628820962</v>
      </c>
      <c r="J183" s="1">
        <f>'[1]Forward Ranks'!U183</f>
        <v>0.11135371179039301</v>
      </c>
      <c r="K183" s="1">
        <f>'[1]Forward Ranks'!V183</f>
        <v>0.13100436681222707</v>
      </c>
      <c r="L183">
        <f>'[1]Forward Ranks'!X183</f>
        <v>0</v>
      </c>
      <c r="M183" s="1">
        <f>'[1]Forward Ranks'!AC183</f>
        <v>0.31659388646288211</v>
      </c>
      <c r="N183" s="1">
        <f>'[1]Forward Ranks'!AD183</f>
        <v>0.18122270742358079</v>
      </c>
      <c r="O183" s="1">
        <f>'[1]Forward Ranks'!AE183</f>
        <v>0.25545851528384278</v>
      </c>
      <c r="P183" s="1">
        <f>'[1]Forward Ranks'!AF183</f>
        <v>0.42358078602620086</v>
      </c>
      <c r="Q183">
        <f>'[1]Forward Ranks'!AH183</f>
        <v>0</v>
      </c>
      <c r="R183" s="1">
        <f>'[1]Forward Ranks'!AM183</f>
        <v>4.3668122270742356E-2</v>
      </c>
      <c r="S183" s="1">
        <f>'[1]Forward Ranks'!AN183</f>
        <v>8.5152838427947602E-2</v>
      </c>
      <c r="T183" s="1">
        <f>'[1]Forward Ranks'!AO183</f>
        <v>0.10480349344978165</v>
      </c>
      <c r="U183" s="1">
        <f>'[1]Forward Ranks'!AP183</f>
        <v>8.5152838427947602E-2</v>
      </c>
      <c r="V183">
        <f>'[1]Forward Ranks'!AR183</f>
        <v>0</v>
      </c>
      <c r="W183" s="1">
        <f>'[1]Forward Ranks'!AW183</f>
        <v>0.37554585152838427</v>
      </c>
      <c r="X183" s="1">
        <f>'[1]Forward Ranks'!AX183</f>
        <v>0.20524017467248909</v>
      </c>
      <c r="Y183" s="1">
        <f>'[1]Forward Ranks'!AY183</f>
        <v>0.16812227074235808</v>
      </c>
      <c r="Z183" s="1">
        <f>'[1]Forward Ranks'!AZ183</f>
        <v>0.44978165938864628</v>
      </c>
      <c r="AA183">
        <f>'[1]Forward Ranks'!BB183</f>
        <v>0</v>
      </c>
      <c r="AB183" s="1">
        <f>'[1]Forward Ranks'!BG183</f>
        <v>0.21615720524017468</v>
      </c>
      <c r="AC183" s="1">
        <f>'[1]Forward Ranks'!BH183</f>
        <v>1.9650655021834062E-2</v>
      </c>
      <c r="AD183" s="1">
        <f>'[1]Forward Ranks'!BI183</f>
        <v>6.5502183406113537E-2</v>
      </c>
      <c r="AE183" s="1">
        <f>'[1]Forward Ranks'!BJ183</f>
        <v>6.9868995633187769E-2</v>
      </c>
      <c r="AF183">
        <f>'[1]Forward Ranks'!BL183</f>
        <v>0</v>
      </c>
      <c r="AG183" s="1">
        <f>'[1]Forward Ranks'!BQ183</f>
        <v>0.34716157205240172</v>
      </c>
      <c r="AH183" s="1">
        <f>'[1]Forward Ranks'!BR183</f>
        <v>0.34716157205240172</v>
      </c>
      <c r="AI183" s="1">
        <f>'[1]Forward Ranks'!BS183</f>
        <v>8.0786026200873357E-2</v>
      </c>
      <c r="AJ183" s="1">
        <f>'[1]Forward Ranks'!BT183</f>
        <v>0.43886462882096072</v>
      </c>
      <c r="AL183" s="2">
        <f>'[1]Forward Ranks'!BX183</f>
        <v>0.14410480349344978</v>
      </c>
      <c r="AN183" t="str">
        <f>'[1]Forward Ranks'!B183</f>
        <v>PIT</v>
      </c>
      <c r="AO183">
        <f>'[1]F on ice'!E183</f>
        <v>79</v>
      </c>
      <c r="AP183" s="2">
        <f>'[1]Impact Score Math'!E183</f>
        <v>0.21042084168336672</v>
      </c>
      <c r="AQ183">
        <f>'[1]Impact Score Math'!G183</f>
        <v>395</v>
      </c>
      <c r="AT183" s="1">
        <f>'[1]Forward Ranks'!CJ183</f>
        <v>0.38646288209606988</v>
      </c>
      <c r="AU183" s="1">
        <f>'[1]Forward Ranks'!CK183</f>
        <v>6.1135371179039298E-2</v>
      </c>
    </row>
    <row r="184" spans="1:47" x14ac:dyDescent="0.3">
      <c r="A184" t="str">
        <f>'[1]Forward Ranks'!A184</f>
        <v>Jeff Skinner</v>
      </c>
      <c r="B184">
        <f>'[1]Forward Ranks'!D184</f>
        <v>0</v>
      </c>
      <c r="C184" s="1">
        <f>'[1]Forward Ranks'!I184</f>
        <v>0.94104803493449785</v>
      </c>
      <c r="D184" s="1">
        <f>'[1]Forward Ranks'!J184</f>
        <v>0.91484716157205237</v>
      </c>
      <c r="E184" s="1">
        <f>'[1]Forward Ranks'!K184</f>
        <v>0.99781659388646293</v>
      </c>
      <c r="F184" s="1">
        <f>'[1]Forward Ranks'!L184</f>
        <v>0.92139737991266379</v>
      </c>
      <c r="G184">
        <f>'[1]Forward Ranks'!N184</f>
        <v>0</v>
      </c>
      <c r="H184" s="1">
        <f>'[1]Forward Ranks'!S184</f>
        <v>0.96943231441048039</v>
      </c>
      <c r="I184" s="1">
        <f>'[1]Forward Ranks'!T184</f>
        <v>0.97379912663755464</v>
      </c>
      <c r="J184" s="1">
        <f>'[1]Forward Ranks'!U184</f>
        <v>0.95196506550218341</v>
      </c>
      <c r="K184" s="1">
        <f>'[1]Forward Ranks'!V184</f>
        <v>0.99781659388646293</v>
      </c>
      <c r="L184">
        <f>'[1]Forward Ranks'!X184</f>
        <v>0</v>
      </c>
      <c r="M184" s="1">
        <f>'[1]Forward Ranks'!AC184</f>
        <v>0.1965065502183406</v>
      </c>
      <c r="N184" s="1">
        <f>'[1]Forward Ranks'!AD184</f>
        <v>6.768558951965066E-2</v>
      </c>
      <c r="O184" s="1">
        <f>'[1]Forward Ranks'!AE184</f>
        <v>0.11790393013100436</v>
      </c>
      <c r="P184" s="1">
        <f>'[1]Forward Ranks'!AF184</f>
        <v>5.6768558951965066E-2</v>
      </c>
      <c r="Q184">
        <f>'[1]Forward Ranks'!AH184</f>
        <v>0</v>
      </c>
      <c r="R184" s="1">
        <f>'[1]Forward Ranks'!AM184</f>
        <v>0.98253275109170302</v>
      </c>
      <c r="S184" s="1">
        <f>'[1]Forward Ranks'!AN184</f>
        <v>0.99563318777292575</v>
      </c>
      <c r="T184" s="1">
        <f>'[1]Forward Ranks'!AO184</f>
        <v>0.99563318777292575</v>
      </c>
      <c r="U184" s="1">
        <f>'[1]Forward Ranks'!AP184</f>
        <v>0.97816593886462877</v>
      </c>
      <c r="V184">
        <f>'[1]Forward Ranks'!AR184</f>
        <v>0</v>
      </c>
      <c r="W184" s="1">
        <f>'[1]Forward Ranks'!AW184</f>
        <v>0.10262008733624454</v>
      </c>
      <c r="X184" s="1">
        <f>'[1]Forward Ranks'!AX184</f>
        <v>6.768558951965066E-2</v>
      </c>
      <c r="Y184" s="1">
        <f>'[1]Forward Ranks'!AY184</f>
        <v>0.31441048034934499</v>
      </c>
      <c r="Z184" s="1">
        <f>'[1]Forward Ranks'!AZ184</f>
        <v>3.2751091703056769E-2</v>
      </c>
      <c r="AA184">
        <f>'[1]Forward Ranks'!BB184</f>
        <v>0</v>
      </c>
      <c r="AB184" s="1">
        <f>'[1]Forward Ranks'!BG184</f>
        <v>0.80567685589519655</v>
      </c>
      <c r="AC184" s="1">
        <f>'[1]Forward Ranks'!BH184</f>
        <v>0.97379912663755464</v>
      </c>
      <c r="AD184" s="1">
        <f>'[1]Forward Ranks'!BI184</f>
        <v>0.97161572052401746</v>
      </c>
      <c r="AE184" s="1">
        <f>'[1]Forward Ranks'!BJ184</f>
        <v>0.86026200873362446</v>
      </c>
      <c r="AF184">
        <f>'[1]Forward Ranks'!BL184</f>
        <v>0</v>
      </c>
      <c r="AG184" s="1">
        <f>'[1]Forward Ranks'!BQ184</f>
        <v>0.75764192139737996</v>
      </c>
      <c r="AH184" s="1">
        <f>'[1]Forward Ranks'!BR184</f>
        <v>0.5873362445414847</v>
      </c>
      <c r="AI184" s="1">
        <f>'[1]Forward Ranks'!BS184</f>
        <v>0.82969432314410485</v>
      </c>
      <c r="AJ184" s="1">
        <f>'[1]Forward Ranks'!BT184</f>
        <v>0.59825327510917026</v>
      </c>
      <c r="AL184" s="2">
        <f>'[1]Forward Ranks'!BX184</f>
        <v>0.85152838427947597</v>
      </c>
      <c r="AN184" t="str">
        <f>'[1]Forward Ranks'!B184</f>
        <v>BUF</v>
      </c>
      <c r="AO184">
        <f>'[1]F on ice'!E184</f>
        <v>79</v>
      </c>
      <c r="AP184" s="2">
        <f>'[1]Impact Score Math'!E184</f>
        <v>0.88977955911823647</v>
      </c>
      <c r="AQ184">
        <f>'[1]Impact Score Math'!G184</f>
        <v>56</v>
      </c>
      <c r="AT184" s="1">
        <f>'[1]Forward Ranks'!CJ184</f>
        <v>0.73362445414847166</v>
      </c>
      <c r="AU184" s="1">
        <f>'[1]Forward Ranks'!CK184</f>
        <v>0.88427947598253276</v>
      </c>
    </row>
    <row r="185" spans="1:47" x14ac:dyDescent="0.3">
      <c r="A185" t="str">
        <f>'[1]Forward Ranks'!A185</f>
        <v>Jesper Boqvist</v>
      </c>
      <c r="B185">
        <f>'[1]Forward Ranks'!D185</f>
        <v>0</v>
      </c>
      <c r="C185" s="1">
        <f>'[1]Forward Ranks'!I185</f>
        <v>0.50218340611353707</v>
      </c>
      <c r="D185" s="1">
        <f>'[1]Forward Ranks'!J185</f>
        <v>0.61790393013100442</v>
      </c>
      <c r="E185" s="1">
        <f>'[1]Forward Ranks'!K185</f>
        <v>0.54803493449781659</v>
      </c>
      <c r="F185" s="1">
        <f>'[1]Forward Ranks'!L185</f>
        <v>0.68777292576419213</v>
      </c>
      <c r="G185">
        <f>'[1]Forward Ranks'!N185</f>
        <v>0</v>
      </c>
      <c r="H185" s="1">
        <f>'[1]Forward Ranks'!S185</f>
        <v>0.65938864628820959</v>
      </c>
      <c r="I185" s="1">
        <f>'[1]Forward Ranks'!T185</f>
        <v>0.43449781659388648</v>
      </c>
      <c r="J185" s="1">
        <f>'[1]Forward Ranks'!U185</f>
        <v>0.19213973799126638</v>
      </c>
      <c r="K185" s="1">
        <f>'[1]Forward Ranks'!V185</f>
        <v>0.53711790393013104</v>
      </c>
      <c r="L185">
        <f>'[1]Forward Ranks'!X185</f>
        <v>0</v>
      </c>
      <c r="M185" s="1">
        <f>'[1]Forward Ranks'!AC185</f>
        <v>0.76200873362445409</v>
      </c>
      <c r="N185" s="1">
        <f>'[1]Forward Ranks'!AD185</f>
        <v>0.76200873362445409</v>
      </c>
      <c r="O185" s="1">
        <f>'[1]Forward Ranks'!AE185</f>
        <v>0.87554585152838427</v>
      </c>
      <c r="P185" s="1">
        <f>'[1]Forward Ranks'!AF185</f>
        <v>0.82751091703056767</v>
      </c>
      <c r="Q185">
        <f>'[1]Forward Ranks'!AH185</f>
        <v>0</v>
      </c>
      <c r="R185" s="1">
        <f>'[1]Forward Ranks'!AM185</f>
        <v>8.5152838427947602E-2</v>
      </c>
      <c r="S185" s="1">
        <f>'[1]Forward Ranks'!AN185</f>
        <v>0.1091703056768559</v>
      </c>
      <c r="T185" s="1">
        <f>'[1]Forward Ranks'!AO185</f>
        <v>0.34934497816593885</v>
      </c>
      <c r="U185" s="1">
        <f>'[1]Forward Ranks'!AP185</f>
        <v>0.17903930131004367</v>
      </c>
      <c r="V185">
        <f>'[1]Forward Ranks'!AR185</f>
        <v>0</v>
      </c>
      <c r="W185" s="1">
        <f>'[1]Forward Ranks'!AW185</f>
        <v>0.56768558951965065</v>
      </c>
      <c r="X185" s="1">
        <f>'[1]Forward Ranks'!AX185</f>
        <v>0.32096069868995636</v>
      </c>
      <c r="Y185" s="1">
        <f>'[1]Forward Ranks'!AY185</f>
        <v>0.71179039301310043</v>
      </c>
      <c r="Z185" s="1">
        <f>'[1]Forward Ranks'!AZ185</f>
        <v>0.65502183406113534</v>
      </c>
      <c r="AA185">
        <f>'[1]Forward Ranks'!BB185</f>
        <v>0</v>
      </c>
      <c r="AB185" s="1">
        <f>'[1]Forward Ranks'!BG185</f>
        <v>0.26419213973799127</v>
      </c>
      <c r="AC185" s="1">
        <f>'[1]Forward Ranks'!BH185</f>
        <v>0.76200873362445409</v>
      </c>
      <c r="AD185" s="1">
        <f>'[1]Forward Ranks'!BI185</f>
        <v>0.73362445414847166</v>
      </c>
      <c r="AE185" s="1">
        <f>'[1]Forward Ranks'!BJ185</f>
        <v>0.81877729257641918</v>
      </c>
      <c r="AF185">
        <f>'[1]Forward Ranks'!BL185</f>
        <v>0</v>
      </c>
      <c r="AG185" s="1">
        <f>'[1]Forward Ranks'!BQ185</f>
        <v>0.62882096069868998</v>
      </c>
      <c r="AH185" s="1">
        <f>'[1]Forward Ranks'!BR185</f>
        <v>0.72052401746724892</v>
      </c>
      <c r="AI185" s="1">
        <f>'[1]Forward Ranks'!BS185</f>
        <v>0.84497816593886466</v>
      </c>
      <c r="AJ185" s="1">
        <f>'[1]Forward Ranks'!BT185</f>
        <v>0.81441048034934493</v>
      </c>
      <c r="AL185" s="2">
        <f>'[1]Forward Ranks'!BX185</f>
        <v>0.58078602620087338</v>
      </c>
      <c r="AN185" t="str">
        <f>'[1]Forward Ranks'!B185</f>
        <v>N.J</v>
      </c>
      <c r="AO185">
        <f>'[1]F on ice'!E185</f>
        <v>70</v>
      </c>
      <c r="AP185" s="2">
        <f>'[1]Impact Score Math'!E185</f>
        <v>0.5290581162324649</v>
      </c>
      <c r="AQ185">
        <f>'[1]Impact Score Math'!G185</f>
        <v>236</v>
      </c>
      <c r="AT185" s="1">
        <f>'[1]Forward Ranks'!CJ185</f>
        <v>0.98253275109170302</v>
      </c>
      <c r="AU185" s="1">
        <f>'[1]Forward Ranks'!CK185</f>
        <v>0.20742358078602621</v>
      </c>
    </row>
    <row r="186" spans="1:47" x14ac:dyDescent="0.3">
      <c r="A186" t="str">
        <f>'[1]Forward Ranks'!A186</f>
        <v>Jesper Bratt</v>
      </c>
      <c r="B186">
        <f>'[1]Forward Ranks'!D186</f>
        <v>0</v>
      </c>
      <c r="C186" s="1">
        <f>'[1]Forward Ranks'!I186</f>
        <v>0.98253275109170302</v>
      </c>
      <c r="D186" s="1">
        <f>'[1]Forward Ranks'!J186</f>
        <v>0.95633187772925765</v>
      </c>
      <c r="E186" s="1">
        <f>'[1]Forward Ranks'!K186</f>
        <v>0.89519650655021832</v>
      </c>
      <c r="F186" s="1">
        <f>'[1]Forward Ranks'!L186</f>
        <v>0.98034934497816595</v>
      </c>
      <c r="G186">
        <f>'[1]Forward Ranks'!N186</f>
        <v>0</v>
      </c>
      <c r="H186" s="1">
        <f>'[1]Forward Ranks'!S186</f>
        <v>0.84279475982532748</v>
      </c>
      <c r="I186" s="1">
        <f>'[1]Forward Ranks'!T186</f>
        <v>0.76200873362445409</v>
      </c>
      <c r="J186" s="1">
        <f>'[1]Forward Ranks'!U186</f>
        <v>0.75109170305676853</v>
      </c>
      <c r="K186" s="1">
        <f>'[1]Forward Ranks'!V186</f>
        <v>0.87991266375545851</v>
      </c>
      <c r="L186">
        <f>'[1]Forward Ranks'!X186</f>
        <v>0</v>
      </c>
      <c r="M186" s="1">
        <f>'[1]Forward Ranks'!AC186</f>
        <v>0.87554585152838427</v>
      </c>
      <c r="N186" s="1">
        <f>'[1]Forward Ranks'!AD186</f>
        <v>0.76637554585152834</v>
      </c>
      <c r="O186" s="1">
        <f>'[1]Forward Ranks'!AE186</f>
        <v>0.45196506550218341</v>
      </c>
      <c r="P186" s="1">
        <f>'[1]Forward Ranks'!AF186</f>
        <v>0.68340611353711789</v>
      </c>
      <c r="Q186">
        <f>'[1]Forward Ranks'!AH186</f>
        <v>0</v>
      </c>
      <c r="R186" s="1">
        <f>'[1]Forward Ranks'!AM186</f>
        <v>0.97816593886462877</v>
      </c>
      <c r="S186" s="1">
        <f>'[1]Forward Ranks'!AN186</f>
        <v>0.86462882096069871</v>
      </c>
      <c r="T186" s="1">
        <f>'[1]Forward Ranks'!AO186</f>
        <v>0.80786026200873362</v>
      </c>
      <c r="U186" s="1">
        <f>'[1]Forward Ranks'!AP186</f>
        <v>0.90174672489082974</v>
      </c>
      <c r="V186">
        <f>'[1]Forward Ranks'!AR186</f>
        <v>0</v>
      </c>
      <c r="W186" s="1">
        <f>'[1]Forward Ranks'!AW186</f>
        <v>0.72707423580786024</v>
      </c>
      <c r="X186" s="1">
        <f>'[1]Forward Ranks'!AX186</f>
        <v>0.29039301310043669</v>
      </c>
      <c r="Y186" s="1">
        <f>'[1]Forward Ranks'!AY186</f>
        <v>0.20524017467248909</v>
      </c>
      <c r="Z186" s="1">
        <f>'[1]Forward Ranks'!AZ186</f>
        <v>0.34061135371179041</v>
      </c>
      <c r="AA186">
        <f>'[1]Forward Ranks'!BB186</f>
        <v>0</v>
      </c>
      <c r="AB186" s="1">
        <f>'[1]Forward Ranks'!BG186</f>
        <v>0.79912663755458513</v>
      </c>
      <c r="AC186" s="1">
        <f>'[1]Forward Ranks'!BH186</f>
        <v>0.67903930131004364</v>
      </c>
      <c r="AD186" s="1">
        <f>'[1]Forward Ranks'!BI186</f>
        <v>0.66812227074235808</v>
      </c>
      <c r="AE186" s="1">
        <f>'[1]Forward Ranks'!BJ186</f>
        <v>0.41048034934497818</v>
      </c>
      <c r="AF186">
        <f>'[1]Forward Ranks'!BL186</f>
        <v>0</v>
      </c>
      <c r="AG186" s="1">
        <f>'[1]Forward Ranks'!BQ186</f>
        <v>0.96724890829694321</v>
      </c>
      <c r="AH186" s="1">
        <f>'[1]Forward Ranks'!BR186</f>
        <v>0.94759825327510916</v>
      </c>
      <c r="AI186" s="1">
        <f>'[1]Forward Ranks'!BS186</f>
        <v>0.80349344978165937</v>
      </c>
      <c r="AJ186" s="1">
        <f>'[1]Forward Ranks'!BT186</f>
        <v>0.95851528384279472</v>
      </c>
      <c r="AL186" s="2">
        <f>'[1]Forward Ranks'!BX186</f>
        <v>0.98034934497816595</v>
      </c>
      <c r="AN186" t="str">
        <f>'[1]Forward Ranks'!B186</f>
        <v>N.J</v>
      </c>
      <c r="AO186">
        <f>'[1]F on ice'!E186</f>
        <v>82</v>
      </c>
      <c r="AP186" s="2">
        <f>'[1]Impact Score Math'!E186</f>
        <v>0.9819639278557114</v>
      </c>
      <c r="AQ186">
        <f>'[1]Impact Score Math'!G186</f>
        <v>10</v>
      </c>
      <c r="AT186" s="1">
        <f>'[1]Forward Ranks'!CJ186</f>
        <v>0.96943231441048039</v>
      </c>
      <c r="AU186" s="1">
        <f>'[1]Forward Ranks'!CK186</f>
        <v>0.10480349344978165</v>
      </c>
    </row>
    <row r="187" spans="1:47" x14ac:dyDescent="0.3">
      <c r="A187" t="str">
        <f>'[1]Forward Ranks'!A187</f>
        <v>Jesper Fast</v>
      </c>
      <c r="B187">
        <f>'[1]Forward Ranks'!D187</f>
        <v>0</v>
      </c>
      <c r="C187" s="1">
        <f>'[1]Forward Ranks'!I187</f>
        <v>0.86681222707423577</v>
      </c>
      <c r="D187" s="1">
        <f>'[1]Forward Ranks'!J187</f>
        <v>0.90611353711790388</v>
      </c>
      <c r="E187" s="1">
        <f>'[1]Forward Ranks'!K187</f>
        <v>0.4606986899563319</v>
      </c>
      <c r="F187" s="1">
        <f>'[1]Forward Ranks'!L187</f>
        <v>0.83406113537117899</v>
      </c>
      <c r="G187">
        <f>'[1]Forward Ranks'!N187</f>
        <v>0</v>
      </c>
      <c r="H187" s="1">
        <f>'[1]Forward Ranks'!S187</f>
        <v>0.37991266375545851</v>
      </c>
      <c r="I187" s="1">
        <f>'[1]Forward Ranks'!T187</f>
        <v>0.44978165938864628</v>
      </c>
      <c r="J187" s="1">
        <f>'[1]Forward Ranks'!U187</f>
        <v>0.16157205240174671</v>
      </c>
      <c r="K187" s="1">
        <f>'[1]Forward Ranks'!V187</f>
        <v>0.38209606986899564</v>
      </c>
      <c r="L187">
        <f>'[1]Forward Ranks'!X187</f>
        <v>0</v>
      </c>
      <c r="M187" s="1">
        <f>'[1]Forward Ranks'!AC187</f>
        <v>0.99126637554585151</v>
      </c>
      <c r="N187" s="1">
        <f>'[1]Forward Ranks'!AD187</f>
        <v>0.90611353711790388</v>
      </c>
      <c r="O187" s="1">
        <f>'[1]Forward Ranks'!AE187</f>
        <v>0.75109170305676853</v>
      </c>
      <c r="P187" s="1">
        <f>'[1]Forward Ranks'!AF187</f>
        <v>0.96506550218340614</v>
      </c>
      <c r="Q187">
        <f>'[1]Forward Ranks'!AH187</f>
        <v>0</v>
      </c>
      <c r="R187" s="1">
        <f>'[1]Forward Ranks'!AM187</f>
        <v>0.19868995633187772</v>
      </c>
      <c r="S187" s="1">
        <f>'[1]Forward Ranks'!AN187</f>
        <v>0.6506550218340611</v>
      </c>
      <c r="T187" s="1">
        <f>'[1]Forward Ranks'!AO187</f>
        <v>0.40393013100436681</v>
      </c>
      <c r="U187" s="1">
        <f>'[1]Forward Ranks'!AP187</f>
        <v>0.32532751091703055</v>
      </c>
      <c r="V187">
        <f>'[1]Forward Ranks'!AR187</f>
        <v>0</v>
      </c>
      <c r="W187" s="1">
        <f>'[1]Forward Ranks'!AW187</f>
        <v>0.81004366812227069</v>
      </c>
      <c r="X187" s="1">
        <f>'[1]Forward Ranks'!AX187</f>
        <v>0.64628820960698685</v>
      </c>
      <c r="Y187" s="1">
        <f>'[1]Forward Ranks'!AY187</f>
        <v>0.50655021834061131</v>
      </c>
      <c r="Z187" s="1">
        <f>'[1]Forward Ranks'!AZ187</f>
        <v>0.49563318777292575</v>
      </c>
      <c r="AA187">
        <f>'[1]Forward Ranks'!BB187</f>
        <v>0</v>
      </c>
      <c r="AB187" s="1">
        <f>'[1]Forward Ranks'!BG187</f>
        <v>0.63100436681222705</v>
      </c>
      <c r="AC187" s="1">
        <f>'[1]Forward Ranks'!BH187</f>
        <v>0.58951965065502188</v>
      </c>
      <c r="AD187" s="1">
        <f>'[1]Forward Ranks'!BI187</f>
        <v>0.38209606986899564</v>
      </c>
      <c r="AE187" s="1">
        <f>'[1]Forward Ranks'!BJ187</f>
        <v>0.25982532751091703</v>
      </c>
      <c r="AF187">
        <f>'[1]Forward Ranks'!BL187</f>
        <v>0</v>
      </c>
      <c r="AG187" s="1">
        <f>'[1]Forward Ranks'!BQ187</f>
        <v>0.98034934497816595</v>
      </c>
      <c r="AH187" s="1">
        <f>'[1]Forward Ranks'!BR187</f>
        <v>0.9606986899563319</v>
      </c>
      <c r="AI187" s="1">
        <f>'[1]Forward Ranks'!BS187</f>
        <v>0.63973799126637554</v>
      </c>
      <c r="AJ187" s="1">
        <f>'[1]Forward Ranks'!BT187</f>
        <v>0.95633187772925765</v>
      </c>
      <c r="AL187" s="2">
        <f>'[1]Forward Ranks'!BX187</f>
        <v>0.79257641921397382</v>
      </c>
      <c r="AN187" t="str">
        <f>'[1]Forward Ranks'!B187</f>
        <v>CAR</v>
      </c>
      <c r="AO187">
        <f>'[1]F on ice'!E187</f>
        <v>80</v>
      </c>
      <c r="AP187" s="2">
        <f>'[1]Impact Score Math'!E187</f>
        <v>0.8176352705410822</v>
      </c>
      <c r="AQ187">
        <f>'[1]Impact Score Math'!G187</f>
        <v>92</v>
      </c>
      <c r="AT187" s="1">
        <f>'[1]Forward Ranks'!CJ187</f>
        <v>0.8253275109170306</v>
      </c>
      <c r="AU187" s="1">
        <f>'[1]Forward Ranks'!CK187</f>
        <v>0.40174672489082969</v>
      </c>
    </row>
    <row r="188" spans="1:47" x14ac:dyDescent="0.3">
      <c r="A188" t="str">
        <f>'[1]Forward Ranks'!A188</f>
        <v>Jesperi Kotkaniemi</v>
      </c>
      <c r="B188">
        <f>'[1]Forward Ranks'!D188</f>
        <v>0</v>
      </c>
      <c r="C188" s="1">
        <f>'[1]Forward Ranks'!I188</f>
        <v>0.86244541484716153</v>
      </c>
      <c r="D188" s="1">
        <f>'[1]Forward Ranks'!J188</f>
        <v>0.68340611353711789</v>
      </c>
      <c r="E188" s="1">
        <f>'[1]Forward Ranks'!K188</f>
        <v>0.49781659388646288</v>
      </c>
      <c r="F188" s="1">
        <f>'[1]Forward Ranks'!L188</f>
        <v>0.70960698689956336</v>
      </c>
      <c r="G188">
        <f>'[1]Forward Ranks'!N188</f>
        <v>0</v>
      </c>
      <c r="H188" s="1">
        <f>'[1]Forward Ranks'!S188</f>
        <v>0.56986899563318782</v>
      </c>
      <c r="I188" s="1">
        <f>'[1]Forward Ranks'!T188</f>
        <v>0.56986899563318782</v>
      </c>
      <c r="J188" s="1">
        <f>'[1]Forward Ranks'!U188</f>
        <v>0.16157205240174671</v>
      </c>
      <c r="K188" s="1">
        <f>'[1]Forward Ranks'!V188</f>
        <v>0.5633187772925764</v>
      </c>
      <c r="L188">
        <f>'[1]Forward Ranks'!X188</f>
        <v>0</v>
      </c>
      <c r="M188" s="1">
        <f>'[1]Forward Ranks'!AC188</f>
        <v>0.98908296943231444</v>
      </c>
      <c r="N188" s="1">
        <f>'[1]Forward Ranks'!AD188</f>
        <v>0.9126637554585153</v>
      </c>
      <c r="O188" s="1">
        <f>'[1]Forward Ranks'!AE188</f>
        <v>0.89082969432314407</v>
      </c>
      <c r="P188" s="1">
        <f>'[1]Forward Ranks'!AF188</f>
        <v>0.98471615720524019</v>
      </c>
      <c r="Q188">
        <f>'[1]Forward Ranks'!AH188</f>
        <v>0</v>
      </c>
      <c r="R188" s="1">
        <f>'[1]Forward Ranks'!AM188</f>
        <v>0.2205240174672489</v>
      </c>
      <c r="S188" s="1">
        <f>'[1]Forward Ranks'!AN188</f>
        <v>0.12445414847161572</v>
      </c>
      <c r="T188" s="1">
        <f>'[1]Forward Ranks'!AO188</f>
        <v>0.46506550218340609</v>
      </c>
      <c r="U188" s="1">
        <f>'[1]Forward Ranks'!AP188</f>
        <v>0.14192139737991266</v>
      </c>
      <c r="V188">
        <f>'[1]Forward Ranks'!AR188</f>
        <v>0</v>
      </c>
      <c r="W188" s="1">
        <f>'[1]Forward Ranks'!AW188</f>
        <v>0.78820960698689957</v>
      </c>
      <c r="X188" s="1">
        <f>'[1]Forward Ranks'!AX188</f>
        <v>0.63318777292576423</v>
      </c>
      <c r="Y188" s="1">
        <f>'[1]Forward Ranks'!AY188</f>
        <v>0.68558951965065507</v>
      </c>
      <c r="Z188" s="1">
        <f>'[1]Forward Ranks'!AZ188</f>
        <v>0.68995633187772931</v>
      </c>
      <c r="AA188">
        <f>'[1]Forward Ranks'!BB188</f>
        <v>0</v>
      </c>
      <c r="AB188" s="1">
        <f>'[1]Forward Ranks'!BG188</f>
        <v>0.55458515283842791</v>
      </c>
      <c r="AC188" s="1">
        <f>'[1]Forward Ranks'!BH188</f>
        <v>0.96288209606986896</v>
      </c>
      <c r="AD188" s="1">
        <f>'[1]Forward Ranks'!BI188</f>
        <v>0.388646288209607</v>
      </c>
      <c r="AE188" s="1">
        <f>'[1]Forward Ranks'!BJ188</f>
        <v>0.46288209606986902</v>
      </c>
      <c r="AF188">
        <f>'[1]Forward Ranks'!BL188</f>
        <v>0</v>
      </c>
      <c r="AG188" s="1">
        <f>'[1]Forward Ranks'!BQ188</f>
        <v>0.97816593886462877</v>
      </c>
      <c r="AH188" s="1">
        <f>'[1]Forward Ranks'!BR188</f>
        <v>0.86462882096069871</v>
      </c>
      <c r="AI188" s="1">
        <f>'[1]Forward Ranks'!BS188</f>
        <v>0.8253275109170306</v>
      </c>
      <c r="AJ188" s="1">
        <f>'[1]Forward Ranks'!BT188</f>
        <v>0.94541484716157209</v>
      </c>
      <c r="AL188" s="2">
        <f>'[1]Forward Ranks'!BX188</f>
        <v>0.83624454148471616</v>
      </c>
      <c r="AN188" t="str">
        <f>'[1]Forward Ranks'!B188</f>
        <v>CAR</v>
      </c>
      <c r="AO188">
        <f>'[1]F on ice'!E188</f>
        <v>82</v>
      </c>
      <c r="AP188" s="2">
        <f>'[1]Impact Score Math'!E188</f>
        <v>0.81563126252505014</v>
      </c>
      <c r="AQ188">
        <f>'[1]Impact Score Math'!G188</f>
        <v>93</v>
      </c>
      <c r="AT188" s="1">
        <f>'[1]Forward Ranks'!CJ188</f>
        <v>0.16593886462882096</v>
      </c>
      <c r="AU188" s="1">
        <f>'[1]Forward Ranks'!CK188</f>
        <v>0.46724890829694321</v>
      </c>
    </row>
    <row r="189" spans="1:47" x14ac:dyDescent="0.3">
      <c r="A189" t="str">
        <f>'[1]Forward Ranks'!A189</f>
        <v>Jesse Puljujarvi</v>
      </c>
      <c r="B189">
        <f>'[1]Forward Ranks'!D189</f>
        <v>0</v>
      </c>
      <c r="C189" s="1">
        <f>'[1]Forward Ranks'!I189</f>
        <v>0.78602620087336239</v>
      </c>
      <c r="D189" s="1">
        <f>'[1]Forward Ranks'!J189</f>
        <v>0.5873362445414847</v>
      </c>
      <c r="E189" s="1">
        <f>'[1]Forward Ranks'!K189</f>
        <v>0.2205240174672489</v>
      </c>
      <c r="F189" s="1">
        <f>'[1]Forward Ranks'!L189</f>
        <v>0.68777292576419213</v>
      </c>
      <c r="G189">
        <f>'[1]Forward Ranks'!N189</f>
        <v>0</v>
      </c>
      <c r="H189" s="1">
        <f>'[1]Forward Ranks'!S189</f>
        <v>0.10480349344978165</v>
      </c>
      <c r="I189" s="1">
        <f>'[1]Forward Ranks'!T189</f>
        <v>0.26637554585152839</v>
      </c>
      <c r="J189" s="1">
        <f>'[1]Forward Ranks'!U189</f>
        <v>0.32751091703056767</v>
      </c>
      <c r="K189" s="1">
        <f>'[1]Forward Ranks'!V189</f>
        <v>0.11790393013100436</v>
      </c>
      <c r="L189">
        <f>'[1]Forward Ranks'!X189</f>
        <v>0</v>
      </c>
      <c r="M189" s="1">
        <f>'[1]Forward Ranks'!AC189</f>
        <v>0.9366812227074236</v>
      </c>
      <c r="N189" s="1">
        <f>'[1]Forward Ranks'!AD189</f>
        <v>0.88646288209606983</v>
      </c>
      <c r="O189" s="1">
        <f>'[1]Forward Ranks'!AE189</f>
        <v>0.44541484716157204</v>
      </c>
      <c r="P189" s="1">
        <f>'[1]Forward Ranks'!AF189</f>
        <v>0.92139737991266379</v>
      </c>
      <c r="Q189">
        <f>'[1]Forward Ranks'!AH189</f>
        <v>0</v>
      </c>
      <c r="R189" s="1">
        <f>'[1]Forward Ranks'!AM189</f>
        <v>0.56550218340611358</v>
      </c>
      <c r="S189" s="1">
        <f>'[1]Forward Ranks'!AN189</f>
        <v>0.24890829694323144</v>
      </c>
      <c r="T189" s="1">
        <f>'[1]Forward Ranks'!AO189</f>
        <v>0.15283842794759825</v>
      </c>
      <c r="U189" s="1">
        <f>'[1]Forward Ranks'!AP189</f>
        <v>0.36244541484716158</v>
      </c>
      <c r="V189">
        <f>'[1]Forward Ranks'!AR189</f>
        <v>0</v>
      </c>
      <c r="W189" s="1">
        <f>'[1]Forward Ranks'!AW189</f>
        <v>0.89082969432314407</v>
      </c>
      <c r="X189" s="1">
        <f>'[1]Forward Ranks'!AX189</f>
        <v>0.70742358078602618</v>
      </c>
      <c r="Y189" s="1">
        <f>'[1]Forward Ranks'!AY189</f>
        <v>0.55021834061135366</v>
      </c>
      <c r="Z189" s="1">
        <f>'[1]Forward Ranks'!AZ189</f>
        <v>0.85589519650655022</v>
      </c>
      <c r="AA189">
        <f>'[1]Forward Ranks'!BB189</f>
        <v>0</v>
      </c>
      <c r="AB189" s="1">
        <f>'[1]Forward Ranks'!BG189</f>
        <v>0.35807860262008734</v>
      </c>
      <c r="AC189" s="1">
        <f>'[1]Forward Ranks'!BH189</f>
        <v>0.57205240174672489</v>
      </c>
      <c r="AD189" s="1">
        <f>'[1]Forward Ranks'!BI189</f>
        <v>0.10698689956331878</v>
      </c>
      <c r="AE189" s="1">
        <f>'[1]Forward Ranks'!BJ189</f>
        <v>6.9868995633187769E-2</v>
      </c>
      <c r="AF189">
        <f>'[1]Forward Ranks'!BL189</f>
        <v>0</v>
      </c>
      <c r="AG189" s="1">
        <f>'[1]Forward Ranks'!BQ189</f>
        <v>0.91048034934497812</v>
      </c>
      <c r="AH189" s="1">
        <f>'[1]Forward Ranks'!BR189</f>
        <v>0.77074235807860259</v>
      </c>
      <c r="AI189" s="1">
        <f>'[1]Forward Ranks'!BS189</f>
        <v>0.22707423580786026</v>
      </c>
      <c r="AJ189" s="1">
        <f>'[1]Forward Ranks'!BT189</f>
        <v>0.86462882096069871</v>
      </c>
      <c r="AL189" s="2">
        <f>'[1]Forward Ranks'!BX189</f>
        <v>0.75764192139737996</v>
      </c>
      <c r="AN189" t="str">
        <f>'[1]Forward Ranks'!B189</f>
        <v>CAR, EDM</v>
      </c>
      <c r="AO189">
        <f>'[1]F on ice'!E189</f>
        <v>75</v>
      </c>
      <c r="AP189" s="2">
        <f>'[1]Impact Score Math'!E189</f>
        <v>0.68937875751503008</v>
      </c>
      <c r="AQ189">
        <f>'[1]Impact Score Math'!G189</f>
        <v>156</v>
      </c>
      <c r="AT189" s="1">
        <f>'[1]Forward Ranks'!CJ189</f>
        <v>0.36026200873362446</v>
      </c>
      <c r="AU189" s="1">
        <f>'[1]Forward Ranks'!CK189</f>
        <v>0.21615720524017468</v>
      </c>
    </row>
    <row r="190" spans="1:47" x14ac:dyDescent="0.3">
      <c r="A190" t="str">
        <f>'[1]Forward Ranks'!A190</f>
        <v>Jesse Ylonen</v>
      </c>
      <c r="B190">
        <f>'[1]Forward Ranks'!D190</f>
        <v>0</v>
      </c>
      <c r="C190" s="1">
        <f>'[1]Forward Ranks'!I190</f>
        <v>4.5851528384279479E-2</v>
      </c>
      <c r="D190" s="1">
        <f>'[1]Forward Ranks'!J190</f>
        <v>1.9650655021834062E-2</v>
      </c>
      <c r="E190" s="1">
        <f>'[1]Forward Ranks'!K190</f>
        <v>0.2423580786026201</v>
      </c>
      <c r="F190" s="1">
        <f>'[1]Forward Ranks'!L190</f>
        <v>3.0567685589519649E-2</v>
      </c>
      <c r="G190">
        <f>'[1]Forward Ranks'!N190</f>
        <v>0</v>
      </c>
      <c r="H190" s="1">
        <f>'[1]Forward Ranks'!S190</f>
        <v>0.51528384279475981</v>
      </c>
      <c r="I190" s="1">
        <f>'[1]Forward Ranks'!T190</f>
        <v>0.73580786026200873</v>
      </c>
      <c r="J190" s="1">
        <f>'[1]Forward Ranks'!U190</f>
        <v>0.29475982532751094</v>
      </c>
      <c r="K190" s="1">
        <f>'[1]Forward Ranks'!V190</f>
        <v>0.67030567685589515</v>
      </c>
      <c r="L190">
        <f>'[1]Forward Ranks'!X190</f>
        <v>0</v>
      </c>
      <c r="M190" s="1">
        <f>'[1]Forward Ranks'!AC190</f>
        <v>0.388646288209607</v>
      </c>
      <c r="N190" s="1">
        <f>'[1]Forward Ranks'!AD190</f>
        <v>0.10480349344978165</v>
      </c>
      <c r="O190" s="1">
        <f>'[1]Forward Ranks'!AE190</f>
        <v>8.7336244541484712E-2</v>
      </c>
      <c r="P190" s="1">
        <f>'[1]Forward Ranks'!AF190</f>
        <v>0.39082969432314413</v>
      </c>
      <c r="Q190">
        <f>'[1]Forward Ranks'!AH190</f>
        <v>0</v>
      </c>
      <c r="R190" s="1">
        <f>'[1]Forward Ranks'!AM190</f>
        <v>0.2816593886462882</v>
      </c>
      <c r="S190" s="1">
        <f>'[1]Forward Ranks'!AN190</f>
        <v>3.9301310043668124E-2</v>
      </c>
      <c r="T190" s="1">
        <f>'[1]Forward Ranks'!AO190</f>
        <v>0.18340611353711792</v>
      </c>
      <c r="U190" s="1">
        <f>'[1]Forward Ranks'!AP190</f>
        <v>0.10698689956331878</v>
      </c>
      <c r="V190">
        <f>'[1]Forward Ranks'!AR190</f>
        <v>0</v>
      </c>
      <c r="W190" s="1">
        <f>'[1]Forward Ranks'!AW190</f>
        <v>0.93886462882096067</v>
      </c>
      <c r="X190" s="1">
        <f>'[1]Forward Ranks'!AX190</f>
        <v>0.56550218340611358</v>
      </c>
      <c r="Y190" s="1">
        <f>'[1]Forward Ranks'!AY190</f>
        <v>0.1331877729257642</v>
      </c>
      <c r="Z190" s="1">
        <f>'[1]Forward Ranks'!AZ190</f>
        <v>0.94759825327510916</v>
      </c>
      <c r="AA190">
        <f>'[1]Forward Ranks'!BB190</f>
        <v>0</v>
      </c>
      <c r="AB190" s="1">
        <f>'[1]Forward Ranks'!BG190</f>
        <v>0.46506550218340609</v>
      </c>
      <c r="AC190" s="1">
        <f>'[1]Forward Ranks'!BH190</f>
        <v>0.39519650655021832</v>
      </c>
      <c r="AD190" s="1">
        <f>'[1]Forward Ranks'!BI190</f>
        <v>0.44978165938864628</v>
      </c>
      <c r="AE190" s="1">
        <f>'[1]Forward Ranks'!BJ190</f>
        <v>9.606986899563319E-2</v>
      </c>
      <c r="AF190">
        <f>'[1]Forward Ranks'!BL190</f>
        <v>0</v>
      </c>
      <c r="AG190" s="1">
        <f>'[1]Forward Ranks'!BQ190</f>
        <v>9.8253275109170299E-2</v>
      </c>
      <c r="AH190" s="1">
        <f>'[1]Forward Ranks'!BR190</f>
        <v>1.7467248908296942E-2</v>
      </c>
      <c r="AI190" s="1">
        <f>'[1]Forward Ranks'!BS190</f>
        <v>9.3886462882096067E-2</v>
      </c>
      <c r="AJ190" s="1">
        <f>'[1]Forward Ranks'!BT190</f>
        <v>6.5502183406113537E-2</v>
      </c>
      <c r="AL190" s="2">
        <f>'[1]Forward Ranks'!BX190</f>
        <v>0.26855895196506552</v>
      </c>
      <c r="AN190" t="str">
        <f>'[1]Forward Ranks'!B190</f>
        <v>MTL</v>
      </c>
      <c r="AO190">
        <f>'[1]F on ice'!E190</f>
        <v>37</v>
      </c>
      <c r="AP190" s="2">
        <f>'[1]Impact Score Math'!E190</f>
        <v>0.36873747494989978</v>
      </c>
      <c r="AQ190">
        <f>'[1]Impact Score Math'!G190</f>
        <v>316</v>
      </c>
      <c r="AT190" s="1">
        <f>'[1]Forward Ranks'!CJ190</f>
        <v>0.99563318777292575</v>
      </c>
      <c r="AU190" s="1">
        <f>'[1]Forward Ranks'!CK190</f>
        <v>8.5152838427947602E-2</v>
      </c>
    </row>
    <row r="191" spans="1:47" x14ac:dyDescent="0.3">
      <c r="A191" t="str">
        <f>'[1]Forward Ranks'!A191</f>
        <v>Jimmy Vesey</v>
      </c>
      <c r="B191">
        <f>'[1]Forward Ranks'!D191</f>
        <v>0</v>
      </c>
      <c r="C191" s="1">
        <f>'[1]Forward Ranks'!I191</f>
        <v>0.64410480349344978</v>
      </c>
      <c r="D191" s="1">
        <f>'[1]Forward Ranks'!J191</f>
        <v>0.83187772925764192</v>
      </c>
      <c r="E191" s="1">
        <f>'[1]Forward Ranks'!K191</f>
        <v>0.51528384279475981</v>
      </c>
      <c r="F191" s="1">
        <f>'[1]Forward Ranks'!L191</f>
        <v>0.82969432314410485</v>
      </c>
      <c r="G191">
        <f>'[1]Forward Ranks'!N191</f>
        <v>0</v>
      </c>
      <c r="H191" s="1">
        <f>'[1]Forward Ranks'!S191</f>
        <v>0.20742358078602621</v>
      </c>
      <c r="I191" s="1">
        <f>'[1]Forward Ranks'!T191</f>
        <v>0.31877729257641924</v>
      </c>
      <c r="J191" s="1">
        <f>'[1]Forward Ranks'!U191</f>
        <v>0.26637554585152839</v>
      </c>
      <c r="K191" s="1">
        <f>'[1]Forward Ranks'!V191</f>
        <v>0.18122270742358079</v>
      </c>
      <c r="L191">
        <f>'[1]Forward Ranks'!X191</f>
        <v>0</v>
      </c>
      <c r="M191" s="1">
        <f>'[1]Forward Ranks'!AC191</f>
        <v>0.71615720524017468</v>
      </c>
      <c r="N191" s="1">
        <f>'[1]Forward Ranks'!AD191</f>
        <v>0.611353711790393</v>
      </c>
      <c r="O191" s="1">
        <f>'[1]Forward Ranks'!AE191</f>
        <v>0.76419213973799127</v>
      </c>
      <c r="P191" s="1">
        <f>'[1]Forward Ranks'!AF191</f>
        <v>0.62008733624454149</v>
      </c>
      <c r="Q191">
        <f>'[1]Forward Ranks'!AH191</f>
        <v>0</v>
      </c>
      <c r="R191" s="1">
        <f>'[1]Forward Ranks'!AM191</f>
        <v>0.77947598253275108</v>
      </c>
      <c r="S191" s="1">
        <f>'[1]Forward Ranks'!AN191</f>
        <v>0.92794759825327511</v>
      </c>
      <c r="T191" s="1">
        <f>'[1]Forward Ranks'!AO191</f>
        <v>0.45414847161572053</v>
      </c>
      <c r="U191" s="1">
        <f>'[1]Forward Ranks'!AP191</f>
        <v>0.91484716157205237</v>
      </c>
      <c r="V191">
        <f>'[1]Forward Ranks'!AR191</f>
        <v>0</v>
      </c>
      <c r="W191" s="1">
        <f>'[1]Forward Ranks'!AW191</f>
        <v>0.57641921397379914</v>
      </c>
      <c r="X191" s="1">
        <f>'[1]Forward Ranks'!AX191</f>
        <v>0.83842794759825323</v>
      </c>
      <c r="Y191" s="1">
        <f>'[1]Forward Ranks'!AY191</f>
        <v>0.58515283842794763</v>
      </c>
      <c r="Z191" s="1">
        <f>'[1]Forward Ranks'!AZ191</f>
        <v>0.68995633187772931</v>
      </c>
      <c r="AA191">
        <f>'[1]Forward Ranks'!BB191</f>
        <v>0</v>
      </c>
      <c r="AB191" s="1">
        <f>'[1]Forward Ranks'!BG191</f>
        <v>0.41484716157205243</v>
      </c>
      <c r="AC191" s="1">
        <f>'[1]Forward Ranks'!BH191</f>
        <v>0.4606986899563319</v>
      </c>
      <c r="AD191" s="1">
        <f>'[1]Forward Ranks'!BI191</f>
        <v>0.44759825327510916</v>
      </c>
      <c r="AE191" s="1">
        <f>'[1]Forward Ranks'!BJ191</f>
        <v>0.68340611353711789</v>
      </c>
      <c r="AF191">
        <f>'[1]Forward Ranks'!BL191</f>
        <v>0</v>
      </c>
      <c r="AG191" s="1">
        <f>'[1]Forward Ranks'!BQ191</f>
        <v>0.70960698689956336</v>
      </c>
      <c r="AH191" s="1">
        <f>'[1]Forward Ranks'!BR191</f>
        <v>0.82969432314410485</v>
      </c>
      <c r="AI191" s="1">
        <f>'[1]Forward Ranks'!BS191</f>
        <v>0.70305676855895194</v>
      </c>
      <c r="AJ191" s="1">
        <f>'[1]Forward Ranks'!BT191</f>
        <v>0.81004366812227069</v>
      </c>
      <c r="AL191" s="2">
        <f>'[1]Forward Ranks'!BX191</f>
        <v>0.73799126637554591</v>
      </c>
      <c r="AN191" t="str">
        <f>'[1]Forward Ranks'!B191</f>
        <v>NYR</v>
      </c>
      <c r="AO191">
        <f>'[1]F on ice'!E191</f>
        <v>81</v>
      </c>
      <c r="AP191" s="2">
        <f>'[1]Impact Score Math'!E191</f>
        <v>0.69739478957915835</v>
      </c>
      <c r="AQ191">
        <f>'[1]Impact Score Math'!G191</f>
        <v>152</v>
      </c>
      <c r="AT191" s="1">
        <f>'[1]Forward Ranks'!CJ191</f>
        <v>0.84497816593886466</v>
      </c>
      <c r="AU191" s="1">
        <f>'[1]Forward Ranks'!CK191</f>
        <v>0.3296943231441048</v>
      </c>
    </row>
    <row r="192" spans="1:47" x14ac:dyDescent="0.3">
      <c r="A192" t="str">
        <f>'[1]Forward Ranks'!A192</f>
        <v>JJ Peterka</v>
      </c>
      <c r="B192">
        <f>'[1]Forward Ranks'!D192</f>
        <v>0</v>
      </c>
      <c r="C192" s="1">
        <f>'[1]Forward Ranks'!I192</f>
        <v>0.54803493449781659</v>
      </c>
      <c r="D192" s="1">
        <f>'[1]Forward Ranks'!J192</f>
        <v>0.71397379912663761</v>
      </c>
      <c r="E192" s="1">
        <f>'[1]Forward Ranks'!K192</f>
        <v>0.69213973799126638</v>
      </c>
      <c r="F192" s="1">
        <f>'[1]Forward Ranks'!L192</f>
        <v>0.79475982532751088</v>
      </c>
      <c r="G192">
        <f>'[1]Forward Ranks'!N192</f>
        <v>0</v>
      </c>
      <c r="H192" s="1">
        <f>'[1]Forward Ranks'!S192</f>
        <v>0.46724890829694321</v>
      </c>
      <c r="I192" s="1">
        <f>'[1]Forward Ranks'!T192</f>
        <v>0.6506550218340611</v>
      </c>
      <c r="J192" s="1">
        <f>'[1]Forward Ranks'!U192</f>
        <v>0.78165938864628826</v>
      </c>
      <c r="K192" s="1">
        <f>'[1]Forward Ranks'!V192</f>
        <v>0.59606986899563319</v>
      </c>
      <c r="L192">
        <f>'[1]Forward Ranks'!X192</f>
        <v>0</v>
      </c>
      <c r="M192" s="1">
        <f>'[1]Forward Ranks'!AC192</f>
        <v>0.1222707423580786</v>
      </c>
      <c r="N192" s="1">
        <f>'[1]Forward Ranks'!AD192</f>
        <v>0.13100436681222707</v>
      </c>
      <c r="O192" s="1">
        <f>'[1]Forward Ranks'!AE192</f>
        <v>2.1834061135371178E-2</v>
      </c>
      <c r="P192" s="1">
        <f>'[1]Forward Ranks'!AF192</f>
        <v>0.10698689956331878</v>
      </c>
      <c r="Q192">
        <f>'[1]Forward Ranks'!AH192</f>
        <v>0</v>
      </c>
      <c r="R192" s="1">
        <f>'[1]Forward Ranks'!AM192</f>
        <v>0.36026200873362446</v>
      </c>
      <c r="S192" s="1">
        <f>'[1]Forward Ranks'!AN192</f>
        <v>0.76200873362445409</v>
      </c>
      <c r="T192" s="1">
        <f>'[1]Forward Ranks'!AO192</f>
        <v>0.43013100436681223</v>
      </c>
      <c r="U192" s="1">
        <f>'[1]Forward Ranks'!AP192</f>
        <v>0.75545851528384278</v>
      </c>
      <c r="V192">
        <f>'[1]Forward Ranks'!AR192</f>
        <v>0</v>
      </c>
      <c r="W192" s="1">
        <f>'[1]Forward Ranks'!AW192</f>
        <v>6.3318777292576414E-2</v>
      </c>
      <c r="X192" s="1">
        <f>'[1]Forward Ranks'!AX192</f>
        <v>0.27947598253275108</v>
      </c>
      <c r="Y192" s="1">
        <f>'[1]Forward Ranks'!AY192</f>
        <v>3.9301310043668124E-2</v>
      </c>
      <c r="Z192" s="1">
        <f>'[1]Forward Ranks'!AZ192</f>
        <v>0.11572052401746726</v>
      </c>
      <c r="AA192">
        <f>'[1]Forward Ranks'!BB192</f>
        <v>0</v>
      </c>
      <c r="AB192" s="1">
        <f>'[1]Forward Ranks'!BG192</f>
        <v>0.4606986899563319</v>
      </c>
      <c r="AC192" s="1">
        <f>'[1]Forward Ranks'!BH192</f>
        <v>0.61790393013100442</v>
      </c>
      <c r="AD192" s="1">
        <f>'[1]Forward Ranks'!BI192</f>
        <v>0.77292576419213976</v>
      </c>
      <c r="AE192" s="1">
        <f>'[1]Forward Ranks'!BJ192</f>
        <v>0.31877729257641924</v>
      </c>
      <c r="AF192">
        <f>'[1]Forward Ranks'!BL192</f>
        <v>0</v>
      </c>
      <c r="AG192" s="1">
        <f>'[1]Forward Ranks'!BQ192</f>
        <v>0.29694323144104806</v>
      </c>
      <c r="AH192" s="1">
        <f>'[1]Forward Ranks'!BR192</f>
        <v>0.4126637554585153</v>
      </c>
      <c r="AI192" s="1">
        <f>'[1]Forward Ranks'!BS192</f>
        <v>0.24017467248908297</v>
      </c>
      <c r="AJ192" s="1">
        <f>'[1]Forward Ranks'!BT192</f>
        <v>0.41703056768558949</v>
      </c>
      <c r="AL192" s="2">
        <f>'[1]Forward Ranks'!BX192</f>
        <v>0.3296943231441048</v>
      </c>
      <c r="AN192" t="str">
        <f>'[1]Forward Ranks'!B192</f>
        <v>BUF</v>
      </c>
      <c r="AO192">
        <f>'[1]F on ice'!E192</f>
        <v>77</v>
      </c>
      <c r="AP192" s="2">
        <f>'[1]Impact Score Math'!E192</f>
        <v>0.42685370741482964</v>
      </c>
      <c r="AQ192">
        <f>'[1]Impact Score Math'!G192</f>
        <v>287</v>
      </c>
      <c r="AT192" s="1">
        <f>'[1]Forward Ranks'!CJ192</f>
        <v>0.51965065502183405</v>
      </c>
      <c r="AU192" s="1">
        <f>'[1]Forward Ranks'!CK192</f>
        <v>0.42358078602620086</v>
      </c>
    </row>
    <row r="193" spans="1:47" x14ac:dyDescent="0.3">
      <c r="A193" t="str">
        <f>'[1]Forward Ranks'!A193</f>
        <v>Joe Pavelski</v>
      </c>
      <c r="B193">
        <f>'[1]Forward Ranks'!D193</f>
        <v>0</v>
      </c>
      <c r="C193" s="1">
        <f>'[1]Forward Ranks'!I193</f>
        <v>0.80131004366812231</v>
      </c>
      <c r="D193" s="1">
        <f>'[1]Forward Ranks'!J193</f>
        <v>0.89082969432314407</v>
      </c>
      <c r="E193" s="1">
        <f>'[1]Forward Ranks'!K193</f>
        <v>0.97816593886462877</v>
      </c>
      <c r="F193" s="1">
        <f>'[1]Forward Ranks'!L193</f>
        <v>0.87772925764192145</v>
      </c>
      <c r="G193">
        <f>'[1]Forward Ranks'!N193</f>
        <v>0</v>
      </c>
      <c r="H193" s="1">
        <f>'[1]Forward Ranks'!S193</f>
        <v>0.46724890829694321</v>
      </c>
      <c r="I193" s="1">
        <f>'[1]Forward Ranks'!T193</f>
        <v>0.90611353711790388</v>
      </c>
      <c r="J193" s="1">
        <f>'[1]Forward Ranks'!U193</f>
        <v>0.88209606986899558</v>
      </c>
      <c r="K193" s="1">
        <f>'[1]Forward Ranks'!V193</f>
        <v>0.82969432314410485</v>
      </c>
      <c r="L193">
        <f>'[1]Forward Ranks'!X193</f>
        <v>0</v>
      </c>
      <c r="M193" s="1">
        <f>'[1]Forward Ranks'!AC193</f>
        <v>0.77074235807860259</v>
      </c>
      <c r="N193" s="1">
        <f>'[1]Forward Ranks'!AD193</f>
        <v>0.86244541484716153</v>
      </c>
      <c r="O193" s="1">
        <f>'[1]Forward Ranks'!AE193</f>
        <v>0.888646288209607</v>
      </c>
      <c r="P193" s="1">
        <f>'[1]Forward Ranks'!AF193</f>
        <v>0.79912663755458513</v>
      </c>
      <c r="Q193">
        <f>'[1]Forward Ranks'!AH193</f>
        <v>0</v>
      </c>
      <c r="R193" s="1">
        <f>'[1]Forward Ranks'!AM193</f>
        <v>0.83842794759825323</v>
      </c>
      <c r="S193" s="1">
        <f>'[1]Forward Ranks'!AN193</f>
        <v>0.94104803493449785</v>
      </c>
      <c r="T193" s="1">
        <f>'[1]Forward Ranks'!AO193</f>
        <v>0.98908296943231444</v>
      </c>
      <c r="U193" s="1">
        <f>'[1]Forward Ranks'!AP193</f>
        <v>0.94759825327510916</v>
      </c>
      <c r="V193">
        <f>'[1]Forward Ranks'!AR193</f>
        <v>0</v>
      </c>
      <c r="W193" s="1">
        <f>'[1]Forward Ranks'!AW193</f>
        <v>0.81004366812227069</v>
      </c>
      <c r="X193" s="1">
        <f>'[1]Forward Ranks'!AX193</f>
        <v>0.68558951965065507</v>
      </c>
      <c r="Y193" s="1">
        <f>'[1]Forward Ranks'!AY193</f>
        <v>0.76200873362445409</v>
      </c>
      <c r="Z193" s="1">
        <f>'[1]Forward Ranks'!AZ193</f>
        <v>0.63100436681222705</v>
      </c>
      <c r="AA193">
        <f>'[1]Forward Ranks'!BB193</f>
        <v>0</v>
      </c>
      <c r="AB193" s="1">
        <f>'[1]Forward Ranks'!BG193</f>
        <v>0.80349344978165937</v>
      </c>
      <c r="AC193" s="1">
        <f>'[1]Forward Ranks'!BH193</f>
        <v>0.80786026200873362</v>
      </c>
      <c r="AD193" s="1">
        <f>'[1]Forward Ranks'!BI193</f>
        <v>0.95633187772925765</v>
      </c>
      <c r="AE193" s="1">
        <f>'[1]Forward Ranks'!BJ193</f>
        <v>0.97816593886462877</v>
      </c>
      <c r="AF193">
        <f>'[1]Forward Ranks'!BL193</f>
        <v>0</v>
      </c>
      <c r="AG193" s="1">
        <f>'[1]Forward Ranks'!BQ193</f>
        <v>0.83187772925764192</v>
      </c>
      <c r="AH193" s="1">
        <f>'[1]Forward Ranks'!BR193</f>
        <v>0.93886462882096067</v>
      </c>
      <c r="AI193" s="1">
        <f>'[1]Forward Ranks'!BS193</f>
        <v>0.98253275109170302</v>
      </c>
      <c r="AJ193" s="1">
        <f>'[1]Forward Ranks'!BT193</f>
        <v>0.92576419213973804</v>
      </c>
      <c r="AL193" s="2">
        <f>'[1]Forward Ranks'!BX193</f>
        <v>0.95851528384279472</v>
      </c>
      <c r="AN193" t="str">
        <f>'[1]Forward Ranks'!B193</f>
        <v>DAL</v>
      </c>
      <c r="AO193">
        <f>'[1]F on ice'!E193</f>
        <v>82</v>
      </c>
      <c r="AP193" s="2">
        <f>'[1]Impact Score Math'!E193</f>
        <v>0.96793587174348694</v>
      </c>
      <c r="AQ193">
        <f>'[1]Impact Score Math'!G193</f>
        <v>17</v>
      </c>
      <c r="AT193" s="1">
        <f>'[1]Forward Ranks'!CJ193</f>
        <v>0.96943231441048039</v>
      </c>
      <c r="AU193" s="1">
        <f>'[1]Forward Ranks'!CK193</f>
        <v>0.74890829694323147</v>
      </c>
    </row>
    <row r="194" spans="1:47" x14ac:dyDescent="0.3">
      <c r="A194" t="str">
        <f>'[1]Forward Ranks'!A194</f>
        <v>Joe Veleno</v>
      </c>
      <c r="B194">
        <f>'[1]Forward Ranks'!D194</f>
        <v>0</v>
      </c>
      <c r="C194" s="1">
        <f>'[1]Forward Ranks'!I194</f>
        <v>6.1135371179039298E-2</v>
      </c>
      <c r="D194" s="1">
        <f>'[1]Forward Ranks'!J194</f>
        <v>4.5851528384279479E-2</v>
      </c>
      <c r="E194" s="1">
        <f>'[1]Forward Ranks'!K194</f>
        <v>0.20524017467248909</v>
      </c>
      <c r="F194" s="1">
        <f>'[1]Forward Ranks'!L194</f>
        <v>4.8034934497816595E-2</v>
      </c>
      <c r="G194">
        <f>'[1]Forward Ranks'!N194</f>
        <v>0</v>
      </c>
      <c r="H194" s="1">
        <f>'[1]Forward Ranks'!S194</f>
        <v>0.29694323144104806</v>
      </c>
      <c r="I194" s="1">
        <f>'[1]Forward Ranks'!T194</f>
        <v>8.0786026200873357E-2</v>
      </c>
      <c r="J194" s="1">
        <f>'[1]Forward Ranks'!U194</f>
        <v>0.13755458515283842</v>
      </c>
      <c r="K194" s="1">
        <f>'[1]Forward Ranks'!V194</f>
        <v>8.296943231441048E-2</v>
      </c>
      <c r="L194">
        <f>'[1]Forward Ranks'!X194</f>
        <v>0</v>
      </c>
      <c r="M194" s="1">
        <f>'[1]Forward Ranks'!AC194</f>
        <v>0.57860262008733621</v>
      </c>
      <c r="N194" s="1">
        <f>'[1]Forward Ranks'!AD194</f>
        <v>0.52183406113537123</v>
      </c>
      <c r="O194" s="1">
        <f>'[1]Forward Ranks'!AE194</f>
        <v>0.42794759825327511</v>
      </c>
      <c r="P194" s="1">
        <f>'[1]Forward Ranks'!AF194</f>
        <v>0.71834061135371174</v>
      </c>
      <c r="Q194">
        <f>'[1]Forward Ranks'!AH194</f>
        <v>0</v>
      </c>
      <c r="R194" s="1">
        <f>'[1]Forward Ranks'!AM194</f>
        <v>0.26200873362445415</v>
      </c>
      <c r="S194" s="1">
        <f>'[1]Forward Ranks'!AN194</f>
        <v>0.21397379912663755</v>
      </c>
      <c r="T194" s="1">
        <f>'[1]Forward Ranks'!AO194</f>
        <v>0.37117903930131002</v>
      </c>
      <c r="U194" s="1">
        <f>'[1]Forward Ranks'!AP194</f>
        <v>0.17248908296943233</v>
      </c>
      <c r="V194">
        <f>'[1]Forward Ranks'!AR194</f>
        <v>0</v>
      </c>
      <c r="W194" s="1">
        <f>'[1]Forward Ranks'!AW194</f>
        <v>0.59825327510917026</v>
      </c>
      <c r="X194" s="1">
        <f>'[1]Forward Ranks'!AX194</f>
        <v>0.62445414847161573</v>
      </c>
      <c r="Y194" s="1">
        <f>'[1]Forward Ranks'!AY194</f>
        <v>0.64628820960698685</v>
      </c>
      <c r="Z194" s="1">
        <f>'[1]Forward Ranks'!AZ194</f>
        <v>0.72052401746724892</v>
      </c>
      <c r="AA194">
        <f>'[1]Forward Ranks'!BB194</f>
        <v>0</v>
      </c>
      <c r="AB194" s="1">
        <f>'[1]Forward Ranks'!BG194</f>
        <v>0.38209606986899564</v>
      </c>
      <c r="AC194" s="1">
        <f>'[1]Forward Ranks'!BH194</f>
        <v>0.62008733624454149</v>
      </c>
      <c r="AD194" s="1">
        <f>'[1]Forward Ranks'!BI194</f>
        <v>0.42794759825327511</v>
      </c>
      <c r="AE194" s="1">
        <f>'[1]Forward Ranks'!BJ194</f>
        <v>0.3056768558951965</v>
      </c>
      <c r="AF194">
        <f>'[1]Forward Ranks'!BL194</f>
        <v>0</v>
      </c>
      <c r="AG194" s="1">
        <f>'[1]Forward Ranks'!BQ194</f>
        <v>0.16812227074235808</v>
      </c>
      <c r="AH194" s="1">
        <f>'[1]Forward Ranks'!BR194</f>
        <v>0.11353711790393013</v>
      </c>
      <c r="AI194" s="1">
        <f>'[1]Forward Ranks'!BS194</f>
        <v>0.20960698689956331</v>
      </c>
      <c r="AJ194" s="1">
        <f>'[1]Forward Ranks'!BT194</f>
        <v>0.1703056768558952</v>
      </c>
      <c r="AL194" s="2">
        <f>'[1]Forward Ranks'!BX194</f>
        <v>0.16375545851528384</v>
      </c>
      <c r="AN194" t="str">
        <f>'[1]Forward Ranks'!B194</f>
        <v>DET</v>
      </c>
      <c r="AO194">
        <f>'[1]F on ice'!E194</f>
        <v>81</v>
      </c>
      <c r="AP194" s="2">
        <f>'[1]Impact Score Math'!E194</f>
        <v>0.24649298597194388</v>
      </c>
      <c r="AQ194">
        <f>'[1]Impact Score Math'!G194</f>
        <v>377</v>
      </c>
      <c r="AT194" s="1">
        <f>'[1]Forward Ranks'!CJ194</f>
        <v>0.46506550218340609</v>
      </c>
      <c r="AU194" s="1">
        <f>'[1]Forward Ranks'!CK194</f>
        <v>0.40829694323144106</v>
      </c>
    </row>
    <row r="195" spans="1:47" x14ac:dyDescent="0.3">
      <c r="A195" t="str">
        <f>'[1]Forward Ranks'!A195</f>
        <v>Joel Armia</v>
      </c>
      <c r="B195">
        <f>'[1]Forward Ranks'!D195</f>
        <v>0</v>
      </c>
      <c r="C195" s="1">
        <f>'[1]Forward Ranks'!I195</f>
        <v>0.20960698689956331</v>
      </c>
      <c r="D195" s="1">
        <f>'[1]Forward Ranks'!J195</f>
        <v>0.26855895196506552</v>
      </c>
      <c r="E195" s="1">
        <f>'[1]Forward Ranks'!K195</f>
        <v>4.5851528384279479E-2</v>
      </c>
      <c r="F195" s="1">
        <f>'[1]Forward Ranks'!L195</f>
        <v>0.24672489082969432</v>
      </c>
      <c r="G195">
        <f>'[1]Forward Ranks'!N195</f>
        <v>0</v>
      </c>
      <c r="H195" s="1">
        <f>'[1]Forward Ranks'!S195</f>
        <v>0.388646288209607</v>
      </c>
      <c r="I195" s="1">
        <f>'[1]Forward Ranks'!T195</f>
        <v>0.29694323144104806</v>
      </c>
      <c r="J195" s="1">
        <f>'[1]Forward Ranks'!U195</f>
        <v>0.23580786026200873</v>
      </c>
      <c r="K195" s="1">
        <f>'[1]Forward Ranks'!V195</f>
        <v>0.27947598253275108</v>
      </c>
      <c r="L195">
        <f>'[1]Forward Ranks'!X195</f>
        <v>0</v>
      </c>
      <c r="M195" s="1">
        <f>'[1]Forward Ranks'!AC195</f>
        <v>0.15065502183406113</v>
      </c>
      <c r="N195" s="1">
        <f>'[1]Forward Ranks'!AD195</f>
        <v>0.12663755458515283</v>
      </c>
      <c r="O195" s="1">
        <f>'[1]Forward Ranks'!AE195</f>
        <v>0.33624454148471616</v>
      </c>
      <c r="P195" s="1">
        <f>'[1]Forward Ranks'!AF195</f>
        <v>7.8602620087336247E-2</v>
      </c>
      <c r="Q195">
        <f>'[1]Forward Ranks'!AH195</f>
        <v>0</v>
      </c>
      <c r="R195" s="1">
        <f>'[1]Forward Ranks'!AM195</f>
        <v>0.57205240174672489</v>
      </c>
      <c r="S195" s="1">
        <f>'[1]Forward Ranks'!AN195</f>
        <v>0.5393013100436681</v>
      </c>
      <c r="T195" s="1">
        <f>'[1]Forward Ranks'!AO195</f>
        <v>0.12882096069868995</v>
      </c>
      <c r="U195" s="1">
        <f>'[1]Forward Ranks'!AP195</f>
        <v>0.51528384279475981</v>
      </c>
      <c r="V195">
        <f>'[1]Forward Ranks'!AR195</f>
        <v>0</v>
      </c>
      <c r="W195" s="1">
        <f>'[1]Forward Ranks'!AW195</f>
        <v>0.27510917030567683</v>
      </c>
      <c r="X195" s="1">
        <f>'[1]Forward Ranks'!AX195</f>
        <v>0.4759825327510917</v>
      </c>
      <c r="Y195" s="1">
        <f>'[1]Forward Ranks'!AY195</f>
        <v>0.62445414847161573</v>
      </c>
      <c r="Z195" s="1">
        <f>'[1]Forward Ranks'!AZ195</f>
        <v>0.38209606986899564</v>
      </c>
      <c r="AA195">
        <f>'[1]Forward Ranks'!BB195</f>
        <v>0</v>
      </c>
      <c r="AB195" s="1">
        <f>'[1]Forward Ranks'!BG195</f>
        <v>0.37991266375545851</v>
      </c>
      <c r="AC195" s="1">
        <f>'[1]Forward Ranks'!BH195</f>
        <v>0.44104803493449779</v>
      </c>
      <c r="AD195" s="1">
        <f>'[1]Forward Ranks'!BI195</f>
        <v>4.5851528384279479E-2</v>
      </c>
      <c r="AE195" s="1">
        <f>'[1]Forward Ranks'!BJ195</f>
        <v>0.1091703056768559</v>
      </c>
      <c r="AF195">
        <f>'[1]Forward Ranks'!BL195</f>
        <v>0</v>
      </c>
      <c r="AG195" s="1">
        <f>'[1]Forward Ranks'!BQ195</f>
        <v>0.12882096069868995</v>
      </c>
      <c r="AH195" s="1">
        <f>'[1]Forward Ranks'!BR195</f>
        <v>0.17248908296943233</v>
      </c>
      <c r="AI195" s="1">
        <f>'[1]Forward Ranks'!BS195</f>
        <v>6.1135371179039298E-2</v>
      </c>
      <c r="AJ195" s="1">
        <f>'[1]Forward Ranks'!BT195</f>
        <v>9.606986899563319E-2</v>
      </c>
      <c r="AL195" s="2">
        <f>'[1]Forward Ranks'!BX195</f>
        <v>0.14628820960698691</v>
      </c>
      <c r="AN195" t="str">
        <f>'[1]Forward Ranks'!B195</f>
        <v>MTL</v>
      </c>
      <c r="AO195">
        <f>'[1]F on ice'!E195</f>
        <v>43</v>
      </c>
      <c r="AP195" s="2">
        <f>'[1]Impact Score Math'!E195</f>
        <v>0.23446893787575152</v>
      </c>
      <c r="AQ195">
        <f>'[1]Impact Score Math'!G195</f>
        <v>383</v>
      </c>
      <c r="AT195" s="1">
        <f>'[1]Forward Ranks'!CJ195</f>
        <v>0.20305676855895197</v>
      </c>
      <c r="AU195" s="1">
        <f>'[1]Forward Ranks'!CK195</f>
        <v>0.16157205240174671</v>
      </c>
    </row>
    <row r="196" spans="1:47" x14ac:dyDescent="0.3">
      <c r="A196" t="str">
        <f>'[1]Forward Ranks'!A196</f>
        <v>Joel Eriksson Ek</v>
      </c>
      <c r="B196">
        <f>'[1]Forward Ranks'!D196</f>
        <v>0</v>
      </c>
      <c r="C196" s="1">
        <f>'[1]Forward Ranks'!I196</f>
        <v>0.69868995633187769</v>
      </c>
      <c r="D196" s="1">
        <f>'[1]Forward Ranks'!J196</f>
        <v>0.63537117903930129</v>
      </c>
      <c r="E196" s="1">
        <f>'[1]Forward Ranks'!K196</f>
        <v>0.4606986899563319</v>
      </c>
      <c r="F196" s="1">
        <f>'[1]Forward Ranks'!L196</f>
        <v>0.49344978165938863</v>
      </c>
      <c r="G196">
        <f>'[1]Forward Ranks'!N196</f>
        <v>0</v>
      </c>
      <c r="H196" s="1">
        <f>'[1]Forward Ranks'!S196</f>
        <v>0.20742358078602621</v>
      </c>
      <c r="I196" s="1">
        <f>'[1]Forward Ranks'!T196</f>
        <v>0.95851528384279472</v>
      </c>
      <c r="J196" s="1">
        <f>'[1]Forward Ranks'!U196</f>
        <v>0.9366812227074236</v>
      </c>
      <c r="K196" s="1">
        <f>'[1]Forward Ranks'!V196</f>
        <v>0.79694323144104806</v>
      </c>
      <c r="L196">
        <f>'[1]Forward Ranks'!X196</f>
        <v>0</v>
      </c>
      <c r="M196" s="1">
        <f>'[1]Forward Ranks'!AC196</f>
        <v>0.388646288209607</v>
      </c>
      <c r="N196" s="1">
        <f>'[1]Forward Ranks'!AD196</f>
        <v>0.89082969432314407</v>
      </c>
      <c r="O196" s="1">
        <f>'[1]Forward Ranks'!AE196</f>
        <v>0.85152838427947597</v>
      </c>
      <c r="P196" s="1">
        <f>'[1]Forward Ranks'!AF196</f>
        <v>0.85371179039301315</v>
      </c>
      <c r="Q196">
        <f>'[1]Forward Ranks'!AH196</f>
        <v>0</v>
      </c>
      <c r="R196" s="1">
        <f>'[1]Forward Ranks'!AM196</f>
        <v>0.71834061135371174</v>
      </c>
      <c r="S196" s="1">
        <f>'[1]Forward Ranks'!AN196</f>
        <v>0.85807860262008728</v>
      </c>
      <c r="T196" s="1">
        <f>'[1]Forward Ranks'!AO196</f>
        <v>0.67685589519650657</v>
      </c>
      <c r="U196" s="1">
        <f>'[1]Forward Ranks'!AP196</f>
        <v>0.69650655021834063</v>
      </c>
      <c r="V196">
        <f>'[1]Forward Ranks'!AR196</f>
        <v>0</v>
      </c>
      <c r="W196" s="1">
        <f>'[1]Forward Ranks'!AW196</f>
        <v>0.26855895196506552</v>
      </c>
      <c r="X196" s="1">
        <f>'[1]Forward Ranks'!AX196</f>
        <v>0.57423580786026196</v>
      </c>
      <c r="Y196" s="1">
        <f>'[1]Forward Ranks'!AY196</f>
        <v>0.61353711790393017</v>
      </c>
      <c r="Z196" s="1">
        <f>'[1]Forward Ranks'!AZ196</f>
        <v>0.72052401746724892</v>
      </c>
      <c r="AA196">
        <f>'[1]Forward Ranks'!BB196</f>
        <v>0</v>
      </c>
      <c r="AB196" s="1">
        <f>'[1]Forward Ranks'!BG196</f>
        <v>0.50436681222707425</v>
      </c>
      <c r="AC196" s="1">
        <f>'[1]Forward Ranks'!BH196</f>
        <v>0.13755458515283842</v>
      </c>
      <c r="AD196" s="1">
        <f>'[1]Forward Ranks'!BI196</f>
        <v>0.40829694323144106</v>
      </c>
      <c r="AE196" s="1">
        <f>'[1]Forward Ranks'!BJ196</f>
        <v>0.78820960698689957</v>
      </c>
      <c r="AF196">
        <f>'[1]Forward Ranks'!BL196</f>
        <v>0</v>
      </c>
      <c r="AG196" s="1">
        <f>'[1]Forward Ranks'!BQ196</f>
        <v>0.57860262008733621</v>
      </c>
      <c r="AH196" s="1">
        <f>'[1]Forward Ranks'!BR196</f>
        <v>0.81659388646288211</v>
      </c>
      <c r="AI196" s="1">
        <f>'[1]Forward Ranks'!BS196</f>
        <v>0.77074235807860259</v>
      </c>
      <c r="AJ196" s="1">
        <f>'[1]Forward Ranks'!BT196</f>
        <v>0.74672489082969429</v>
      </c>
      <c r="AL196" s="2">
        <f>'[1]Forward Ranks'!BX196</f>
        <v>0.72270742358078599</v>
      </c>
      <c r="AN196" t="str">
        <f>'[1]Forward Ranks'!B196</f>
        <v>MIN</v>
      </c>
      <c r="AO196">
        <f>'[1]F on ice'!E196</f>
        <v>78</v>
      </c>
      <c r="AP196" s="2">
        <f>'[1]Impact Score Math'!E196</f>
        <v>0.70941883767535074</v>
      </c>
      <c r="AQ196">
        <f>'[1]Impact Score Math'!G196</f>
        <v>146</v>
      </c>
      <c r="AT196" s="1">
        <f>'[1]Forward Ranks'!CJ196</f>
        <v>0.42794759825327511</v>
      </c>
      <c r="AU196" s="1">
        <f>'[1]Forward Ranks'!CK196</f>
        <v>0.3296943231441048</v>
      </c>
    </row>
    <row r="197" spans="1:47" x14ac:dyDescent="0.3">
      <c r="A197" t="str">
        <f>'[1]Forward Ranks'!A197</f>
        <v>Joel Farabee</v>
      </c>
      <c r="B197">
        <f>'[1]Forward Ranks'!D197</f>
        <v>0</v>
      </c>
      <c r="C197" s="1">
        <f>'[1]Forward Ranks'!I197</f>
        <v>0.46506550218340609</v>
      </c>
      <c r="D197" s="1">
        <f>'[1]Forward Ranks'!J197</f>
        <v>0.43231441048034935</v>
      </c>
      <c r="E197" s="1">
        <f>'[1]Forward Ranks'!K197</f>
        <v>0.74672489082969429</v>
      </c>
      <c r="F197" s="1">
        <f>'[1]Forward Ranks'!L197</f>
        <v>0.4126637554585153</v>
      </c>
      <c r="G197">
        <f>'[1]Forward Ranks'!N197</f>
        <v>0</v>
      </c>
      <c r="H197" s="1">
        <f>'[1]Forward Ranks'!S197</f>
        <v>0.70087336244541487</v>
      </c>
      <c r="I197" s="1">
        <f>'[1]Forward Ranks'!T197</f>
        <v>0.6506550218340611</v>
      </c>
      <c r="J197" s="1">
        <f>'[1]Forward Ranks'!U197</f>
        <v>0.42358078602620086</v>
      </c>
      <c r="K197" s="1">
        <f>'[1]Forward Ranks'!V197</f>
        <v>0.68777292576419213</v>
      </c>
      <c r="L197">
        <f>'[1]Forward Ranks'!X197</f>
        <v>0</v>
      </c>
      <c r="M197" s="1">
        <f>'[1]Forward Ranks'!AC197</f>
        <v>0.15283842794759825</v>
      </c>
      <c r="N197" s="1">
        <f>'[1]Forward Ranks'!AD197</f>
        <v>0.19213973799126638</v>
      </c>
      <c r="O197" s="1">
        <f>'[1]Forward Ranks'!AE197</f>
        <v>0.30349344978165937</v>
      </c>
      <c r="P197" s="1">
        <f>'[1]Forward Ranks'!AF197</f>
        <v>0.13755458515283842</v>
      </c>
      <c r="Q197">
        <f>'[1]Forward Ranks'!AH197</f>
        <v>0</v>
      </c>
      <c r="R197" s="1">
        <f>'[1]Forward Ranks'!AM197</f>
        <v>0.55676855895196509</v>
      </c>
      <c r="S197" s="1">
        <f>'[1]Forward Ranks'!AN197</f>
        <v>0.59606986899563319</v>
      </c>
      <c r="T197" s="1">
        <f>'[1]Forward Ranks'!AO197</f>
        <v>0.89519650655021832</v>
      </c>
      <c r="U197" s="1">
        <f>'[1]Forward Ranks'!AP197</f>
        <v>0.62445414847161573</v>
      </c>
      <c r="V197">
        <f>'[1]Forward Ranks'!AR197</f>
        <v>0</v>
      </c>
      <c r="W197" s="1">
        <f>'[1]Forward Ranks'!AW197</f>
        <v>8.0786026200873357E-2</v>
      </c>
      <c r="X197" s="1">
        <f>'[1]Forward Ranks'!AX197</f>
        <v>0.13537117903930132</v>
      </c>
      <c r="Y197" s="1">
        <f>'[1]Forward Ranks'!AY197</f>
        <v>0.24017467248908297</v>
      </c>
      <c r="Z197" s="1">
        <f>'[1]Forward Ranks'!AZ197</f>
        <v>4.3668122270742356E-2</v>
      </c>
      <c r="AA197">
        <f>'[1]Forward Ranks'!BB197</f>
        <v>0</v>
      </c>
      <c r="AB197" s="1">
        <f>'[1]Forward Ranks'!BG197</f>
        <v>0.75327510917030571</v>
      </c>
      <c r="AC197" s="1">
        <f>'[1]Forward Ranks'!BH197</f>
        <v>0.62227074235807855</v>
      </c>
      <c r="AD197" s="1">
        <f>'[1]Forward Ranks'!BI197</f>
        <v>0.81441048034934493</v>
      </c>
      <c r="AE197" s="1">
        <f>'[1]Forward Ranks'!BJ197</f>
        <v>0.68340611353711789</v>
      </c>
      <c r="AF197">
        <f>'[1]Forward Ranks'!BL197</f>
        <v>0</v>
      </c>
      <c r="AG197" s="1">
        <f>'[1]Forward Ranks'!BQ197</f>
        <v>0.2816593886462882</v>
      </c>
      <c r="AH197" s="1">
        <f>'[1]Forward Ranks'!BR197</f>
        <v>0.2816593886462882</v>
      </c>
      <c r="AI197" s="1">
        <f>'[1]Forward Ranks'!BS197</f>
        <v>0.54803493449781659</v>
      </c>
      <c r="AJ197" s="1">
        <f>'[1]Forward Ranks'!BT197</f>
        <v>0.24454148471615719</v>
      </c>
      <c r="AL197" s="2">
        <f>'[1]Forward Ranks'!BX197</f>
        <v>0.27292576419213976</v>
      </c>
      <c r="AN197" t="str">
        <f>'[1]Forward Ranks'!B197</f>
        <v>PHI</v>
      </c>
      <c r="AO197">
        <f>'[1]F on ice'!E197</f>
        <v>82</v>
      </c>
      <c r="AP197" s="2">
        <f>'[1]Impact Score Math'!E197</f>
        <v>0.43887775551102204</v>
      </c>
      <c r="AQ197">
        <f>'[1]Impact Score Math'!G197</f>
        <v>281</v>
      </c>
      <c r="AT197" s="1">
        <f>'[1]Forward Ranks'!CJ197</f>
        <v>0.42794759825327511</v>
      </c>
      <c r="AU197" s="1">
        <f>'[1]Forward Ranks'!CK197</f>
        <v>0.54585152838427953</v>
      </c>
    </row>
    <row r="198" spans="1:47" x14ac:dyDescent="0.3">
      <c r="A198" t="str">
        <f>'[1]Forward Ranks'!A198</f>
        <v>Joel Kiviranta</v>
      </c>
      <c r="B198">
        <f>'[1]Forward Ranks'!D198</f>
        <v>0</v>
      </c>
      <c r="C198" s="1">
        <f>'[1]Forward Ranks'!I198</f>
        <v>0.20087336244541484</v>
      </c>
      <c r="D198" s="1">
        <f>'[1]Forward Ranks'!J198</f>
        <v>0.17903930131004367</v>
      </c>
      <c r="E198" s="1">
        <f>'[1]Forward Ranks'!K198</f>
        <v>2.1834061135371178E-2</v>
      </c>
      <c r="F198" s="1">
        <f>'[1]Forward Ranks'!L198</f>
        <v>6.768558951965066E-2</v>
      </c>
      <c r="G198">
        <f>'[1]Forward Ranks'!N198</f>
        <v>0</v>
      </c>
      <c r="H198" s="1">
        <f>'[1]Forward Ranks'!S198</f>
        <v>0.27510917030567683</v>
      </c>
      <c r="I198" s="1">
        <f>'[1]Forward Ranks'!T198</f>
        <v>1.5283842794759825E-2</v>
      </c>
      <c r="J198" s="1">
        <f>'[1]Forward Ranks'!U198</f>
        <v>2.1834061135371178E-3</v>
      </c>
      <c r="K198" s="1">
        <f>'[1]Forward Ranks'!V198</f>
        <v>1.7467248908296942E-2</v>
      </c>
      <c r="L198">
        <f>'[1]Forward Ranks'!X198</f>
        <v>0</v>
      </c>
      <c r="M198" s="1">
        <f>'[1]Forward Ranks'!AC198</f>
        <v>0.82969432314410485</v>
      </c>
      <c r="N198" s="1">
        <f>'[1]Forward Ranks'!AD198</f>
        <v>0.77292576419213976</v>
      </c>
      <c r="O198" s="1">
        <f>'[1]Forward Ranks'!AE198</f>
        <v>0.79475982532751088</v>
      </c>
      <c r="P198" s="1">
        <f>'[1]Forward Ranks'!AF198</f>
        <v>0.71834061135371174</v>
      </c>
      <c r="Q198">
        <f>'[1]Forward Ranks'!AH198</f>
        <v>0</v>
      </c>
      <c r="R198" s="1">
        <f>'[1]Forward Ranks'!AM198</f>
        <v>0.11353711790393013</v>
      </c>
      <c r="S198" s="1">
        <f>'[1]Forward Ranks'!AN198</f>
        <v>5.8951965065502182E-2</v>
      </c>
      <c r="T198" s="1">
        <f>'[1]Forward Ranks'!AO198</f>
        <v>1.0917030567685589E-2</v>
      </c>
      <c r="U198" s="1">
        <f>'[1]Forward Ranks'!AP198</f>
        <v>3.0567685589519649E-2</v>
      </c>
      <c r="V198">
        <f>'[1]Forward Ranks'!AR198</f>
        <v>0</v>
      </c>
      <c r="W198" s="1">
        <f>'[1]Forward Ranks'!AW198</f>
        <v>0.84279475982532748</v>
      </c>
      <c r="X198" s="1">
        <f>'[1]Forward Ranks'!AX198</f>
        <v>0.5873362445414847</v>
      </c>
      <c r="Y198" s="1">
        <f>'[1]Forward Ranks'!AY198</f>
        <v>0.62008733624454149</v>
      </c>
      <c r="Z198" s="1">
        <f>'[1]Forward Ranks'!AZ198</f>
        <v>0.53493449781659386</v>
      </c>
      <c r="AA198">
        <f>'[1]Forward Ranks'!BB198</f>
        <v>0</v>
      </c>
      <c r="AB198" s="1">
        <f>'[1]Forward Ranks'!BG198</f>
        <v>0.1943231441048035</v>
      </c>
      <c r="AC198" s="1">
        <f>'[1]Forward Ranks'!BH198</f>
        <v>0.12882096069868995</v>
      </c>
      <c r="AD198" s="1">
        <f>'[1]Forward Ranks'!BI198</f>
        <v>1.9650655021834062E-2</v>
      </c>
      <c r="AE198" s="1">
        <f>'[1]Forward Ranks'!BJ198</f>
        <v>4.3668122270742356E-2</v>
      </c>
      <c r="AF198">
        <f>'[1]Forward Ranks'!BL198</f>
        <v>0</v>
      </c>
      <c r="AG198" s="1">
        <f>'[1]Forward Ranks'!BQ198</f>
        <v>0.45414847161572053</v>
      </c>
      <c r="AH198" s="1">
        <f>'[1]Forward Ranks'!BR198</f>
        <v>0.38209606986899564</v>
      </c>
      <c r="AI198" s="1">
        <f>'[1]Forward Ranks'!BS198</f>
        <v>5.8951965065502182E-2</v>
      </c>
      <c r="AJ198" s="1">
        <f>'[1]Forward Ranks'!BT198</f>
        <v>0.20960698689956331</v>
      </c>
      <c r="AL198" s="2">
        <f>'[1]Forward Ranks'!BX198</f>
        <v>0.18122270742358079</v>
      </c>
      <c r="AN198" t="str">
        <f>'[1]Forward Ranks'!B198</f>
        <v>DAL</v>
      </c>
      <c r="AO198">
        <f>'[1]F on ice'!E198</f>
        <v>70</v>
      </c>
      <c r="AP198" s="2">
        <f>'[1]Impact Score Math'!E198</f>
        <v>0.23046092184368738</v>
      </c>
      <c r="AQ198">
        <f>'[1]Impact Score Math'!G198</f>
        <v>385</v>
      </c>
      <c r="AT198" s="1">
        <f>'[1]Forward Ranks'!CJ198</f>
        <v>0.13755458515283842</v>
      </c>
      <c r="AU198" s="1">
        <f>'[1]Forward Ranks'!CK198</f>
        <v>0.59170305676855894</v>
      </c>
    </row>
    <row r="199" spans="1:47" x14ac:dyDescent="0.3">
      <c r="A199" t="str">
        <f>'[1]Forward Ranks'!A199</f>
        <v>Joey Anderson</v>
      </c>
      <c r="B199">
        <f>'[1]Forward Ranks'!D199</f>
        <v>0</v>
      </c>
      <c r="C199" s="1">
        <f>'[1]Forward Ranks'!I199</f>
        <v>0.57423580786026196</v>
      </c>
      <c r="D199" s="1">
        <f>'[1]Forward Ranks'!J199</f>
        <v>0.46288209606986902</v>
      </c>
      <c r="E199" s="1">
        <f>'[1]Forward Ranks'!K199</f>
        <v>0.34934497816593885</v>
      </c>
      <c r="F199" s="1">
        <f>'[1]Forward Ranks'!L199</f>
        <v>0.24672489082969432</v>
      </c>
      <c r="G199">
        <f>'[1]Forward Ranks'!N199</f>
        <v>0</v>
      </c>
      <c r="H199" s="1">
        <f>'[1]Forward Ranks'!S199</f>
        <v>0.76200873362445409</v>
      </c>
      <c r="I199" s="1">
        <f>'[1]Forward Ranks'!T199</f>
        <v>8.0786026200873357E-2</v>
      </c>
      <c r="J199" s="1">
        <f>'[1]Forward Ranks'!U199</f>
        <v>0.36244541484716158</v>
      </c>
      <c r="K199" s="1">
        <f>'[1]Forward Ranks'!V199</f>
        <v>0.29694323144104806</v>
      </c>
      <c r="L199">
        <f>'[1]Forward Ranks'!X199</f>
        <v>0</v>
      </c>
      <c r="M199" s="1">
        <f>'[1]Forward Ranks'!AC199</f>
        <v>0.9759825327510917</v>
      </c>
      <c r="N199" s="1">
        <f>'[1]Forward Ranks'!AD199</f>
        <v>0.82314410480349343</v>
      </c>
      <c r="O199" s="1">
        <f>'[1]Forward Ranks'!AE199</f>
        <v>0.15938864628820962</v>
      </c>
      <c r="P199" s="1">
        <f>'[1]Forward Ranks'!AF199</f>
        <v>0.93449781659388642</v>
      </c>
      <c r="Q199">
        <f>'[1]Forward Ranks'!AH199</f>
        <v>0</v>
      </c>
      <c r="R199" s="1">
        <f>'[1]Forward Ranks'!AM199</f>
        <v>0.59388646288209612</v>
      </c>
      <c r="S199" s="1">
        <f>'[1]Forward Ranks'!AN199</f>
        <v>0.42794759825327511</v>
      </c>
      <c r="T199" s="1">
        <f>'[1]Forward Ranks'!AO199</f>
        <v>0.44759825327510916</v>
      </c>
      <c r="U199" s="1">
        <f>'[1]Forward Ranks'!AP199</f>
        <v>0.2205240174672489</v>
      </c>
      <c r="V199">
        <f>'[1]Forward Ranks'!AR199</f>
        <v>0</v>
      </c>
      <c r="W199" s="1">
        <f>'[1]Forward Ranks'!AW199</f>
        <v>0.98689956331877726</v>
      </c>
      <c r="X199" s="1">
        <f>'[1]Forward Ranks'!AX199</f>
        <v>0.55458515283842791</v>
      </c>
      <c r="Y199" s="1">
        <f>'[1]Forward Ranks'!AY199</f>
        <v>0.22270742358078602</v>
      </c>
      <c r="Z199" s="1">
        <f>'[1]Forward Ranks'!AZ199</f>
        <v>0.81441048034934493</v>
      </c>
      <c r="AA199">
        <f>'[1]Forward Ranks'!BB199</f>
        <v>0</v>
      </c>
      <c r="AB199" s="1">
        <f>'[1]Forward Ranks'!BG199</f>
        <v>0.20305676855895197</v>
      </c>
      <c r="AC199" s="1">
        <f>'[1]Forward Ranks'!BH199</f>
        <v>0.28602620087336245</v>
      </c>
      <c r="AD199" s="1">
        <f>'[1]Forward Ranks'!BI199</f>
        <v>0.44104803493449779</v>
      </c>
      <c r="AE199" s="1">
        <f>'[1]Forward Ranks'!BJ199</f>
        <v>5.458515283842795E-2</v>
      </c>
      <c r="AF199">
        <f>'[1]Forward Ranks'!BL199</f>
        <v>0</v>
      </c>
      <c r="AG199" s="1">
        <f>'[1]Forward Ranks'!BQ199</f>
        <v>0.8973799126637555</v>
      </c>
      <c r="AH199" s="1">
        <f>'[1]Forward Ranks'!BR199</f>
        <v>0.63100436681222705</v>
      </c>
      <c r="AI199" s="1">
        <f>'[1]Forward Ranks'!BS199</f>
        <v>0.18777292576419213</v>
      </c>
      <c r="AJ199" s="1">
        <f>'[1]Forward Ranks'!BT199</f>
        <v>0.58078602620087338</v>
      </c>
      <c r="AL199" s="2">
        <f>'[1]Forward Ranks'!BX199</f>
        <v>0.71834061135371174</v>
      </c>
      <c r="AN199" t="str">
        <f>'[1]Forward Ranks'!B199</f>
        <v>CHI, TOR</v>
      </c>
      <c r="AO199">
        <f>'[1]F on ice'!E199</f>
        <v>38</v>
      </c>
      <c r="AP199" s="2">
        <f>'[1]Impact Score Math'!E199</f>
        <v>0.60120240480961928</v>
      </c>
      <c r="AQ199">
        <f>'[1]Impact Score Math'!G199</f>
        <v>200</v>
      </c>
      <c r="AT199" s="1">
        <f>'[1]Forward Ranks'!CJ199</f>
        <v>0.99563318777292575</v>
      </c>
      <c r="AU199" s="1">
        <f>'[1]Forward Ranks'!CK199</f>
        <v>0.80786026200873362</v>
      </c>
    </row>
    <row r="200" spans="1:47" x14ac:dyDescent="0.3">
      <c r="A200" t="str">
        <f>'[1]Forward Ranks'!A200</f>
        <v>John Tavares</v>
      </c>
      <c r="B200">
        <f>'[1]Forward Ranks'!D200</f>
        <v>0</v>
      </c>
      <c r="C200" s="1">
        <f>'[1]Forward Ranks'!I200</f>
        <v>0.64847161572052403</v>
      </c>
      <c r="D200" s="1">
        <f>'[1]Forward Ranks'!J200</f>
        <v>0.86899563318777295</v>
      </c>
      <c r="E200" s="1">
        <f>'[1]Forward Ranks'!K200</f>
        <v>0.73144104803493448</v>
      </c>
      <c r="F200" s="1">
        <f>'[1]Forward Ranks'!L200</f>
        <v>0.81222707423580787</v>
      </c>
      <c r="G200">
        <f>'[1]Forward Ranks'!N200</f>
        <v>0</v>
      </c>
      <c r="H200" s="1">
        <f>'[1]Forward Ranks'!S200</f>
        <v>0.76200873362445409</v>
      </c>
      <c r="I200" s="1">
        <f>'[1]Forward Ranks'!T200</f>
        <v>0.72052401746724892</v>
      </c>
      <c r="J200" s="1">
        <f>'[1]Forward Ranks'!U200</f>
        <v>0.58078602620087338</v>
      </c>
      <c r="K200" s="1">
        <f>'[1]Forward Ranks'!V200</f>
        <v>0.80349344978165937</v>
      </c>
      <c r="L200">
        <f>'[1]Forward Ranks'!X200</f>
        <v>0</v>
      </c>
      <c r="M200" s="1">
        <f>'[1]Forward Ranks'!AC200</f>
        <v>0.63100436681222705</v>
      </c>
      <c r="N200" s="1">
        <f>'[1]Forward Ranks'!AD200</f>
        <v>0.50655021834061131</v>
      </c>
      <c r="O200" s="1">
        <f>'[1]Forward Ranks'!AE200</f>
        <v>0.44541484716157204</v>
      </c>
      <c r="P200" s="1">
        <f>'[1]Forward Ranks'!AF200</f>
        <v>0.5873362445414847</v>
      </c>
      <c r="Q200">
        <f>'[1]Forward Ranks'!AH200</f>
        <v>0</v>
      </c>
      <c r="R200" s="1">
        <f>'[1]Forward Ranks'!AM200</f>
        <v>0.53275109170305679</v>
      </c>
      <c r="S200" s="1">
        <f>'[1]Forward Ranks'!AN200</f>
        <v>0.68340611353711789</v>
      </c>
      <c r="T200" s="1">
        <f>'[1]Forward Ranks'!AO200</f>
        <v>0.62008733624454149</v>
      </c>
      <c r="U200" s="1">
        <f>'[1]Forward Ranks'!AP200</f>
        <v>0.57641921397379914</v>
      </c>
      <c r="V200">
        <f>'[1]Forward Ranks'!AR200</f>
        <v>0</v>
      </c>
      <c r="W200" s="1">
        <f>'[1]Forward Ranks'!AW200</f>
        <v>0.40611353711790393</v>
      </c>
      <c r="X200" s="1">
        <f>'[1]Forward Ranks'!AX200</f>
        <v>0.36026200873362446</v>
      </c>
      <c r="Y200" s="1">
        <f>'[1]Forward Ranks'!AY200</f>
        <v>0.12008733624454149</v>
      </c>
      <c r="Z200" s="1">
        <f>'[1]Forward Ranks'!AZ200</f>
        <v>0.38209606986899564</v>
      </c>
      <c r="AA200">
        <f>'[1]Forward Ranks'!BB200</f>
        <v>0</v>
      </c>
      <c r="AB200" s="1">
        <f>'[1]Forward Ranks'!BG200</f>
        <v>0.72707423580786024</v>
      </c>
      <c r="AC200" s="1">
        <f>'[1]Forward Ranks'!BH200</f>
        <v>0.79257641921397382</v>
      </c>
      <c r="AD200" s="1">
        <f>'[1]Forward Ranks'!BI200</f>
        <v>0.68558951965065507</v>
      </c>
      <c r="AE200" s="1">
        <f>'[1]Forward Ranks'!BJ200</f>
        <v>0.54803493449781659</v>
      </c>
      <c r="AF200">
        <f>'[1]Forward Ranks'!BL200</f>
        <v>0</v>
      </c>
      <c r="AG200" s="1">
        <f>'[1]Forward Ranks'!BQ200</f>
        <v>0.66593886462882101</v>
      </c>
      <c r="AH200" s="1">
        <f>'[1]Forward Ranks'!BR200</f>
        <v>0.81004366812227069</v>
      </c>
      <c r="AI200" s="1">
        <f>'[1]Forward Ranks'!BS200</f>
        <v>0.62882096069868998</v>
      </c>
      <c r="AJ200" s="1">
        <f>'[1]Forward Ranks'!BT200</f>
        <v>0.79039301310043664</v>
      </c>
      <c r="AL200" s="2">
        <f>'[1]Forward Ranks'!BX200</f>
        <v>0.76200873362445409</v>
      </c>
      <c r="AN200" t="str">
        <f>'[1]Forward Ranks'!B200</f>
        <v>TOR</v>
      </c>
      <c r="AO200">
        <f>'[1]F on ice'!E200</f>
        <v>80</v>
      </c>
      <c r="AP200" s="2">
        <f>'[1]Impact Score Math'!E200</f>
        <v>0.80761523046092187</v>
      </c>
      <c r="AQ200">
        <f>'[1]Impact Score Math'!G200</f>
        <v>97</v>
      </c>
      <c r="AT200" s="1">
        <f>'[1]Forward Ranks'!CJ200</f>
        <v>0.39519650655021832</v>
      </c>
      <c r="AU200" s="1">
        <f>'[1]Forward Ranks'!CK200</f>
        <v>0.12445414847161572</v>
      </c>
    </row>
    <row r="201" spans="1:47" x14ac:dyDescent="0.3">
      <c r="A201" t="str">
        <f>'[1]Forward Ranks'!A201</f>
        <v>Johnny Gaudreau</v>
      </c>
      <c r="B201">
        <f>'[1]Forward Ranks'!D201</f>
        <v>0</v>
      </c>
      <c r="C201" s="1">
        <f>'[1]Forward Ranks'!I201</f>
        <v>0.5873362445414847</v>
      </c>
      <c r="D201" s="1">
        <f>'[1]Forward Ranks'!J201</f>
        <v>0.36462882096069871</v>
      </c>
      <c r="E201" s="1">
        <f>'[1]Forward Ranks'!K201</f>
        <v>0.60043668122270744</v>
      </c>
      <c r="F201" s="1">
        <f>'[1]Forward Ranks'!L201</f>
        <v>0.64192139737991272</v>
      </c>
      <c r="G201">
        <f>'[1]Forward Ranks'!N201</f>
        <v>0</v>
      </c>
      <c r="H201" s="1">
        <f>'[1]Forward Ranks'!S201</f>
        <v>0.46724890829694321</v>
      </c>
      <c r="I201" s="1">
        <f>'[1]Forward Ranks'!T201</f>
        <v>0.81222707423580787</v>
      </c>
      <c r="J201" s="1">
        <f>'[1]Forward Ranks'!U201</f>
        <v>0.74235807860262004</v>
      </c>
      <c r="K201" s="1">
        <f>'[1]Forward Ranks'!V201</f>
        <v>0.69650655021834063</v>
      </c>
      <c r="L201">
        <f>'[1]Forward Ranks'!X201</f>
        <v>0</v>
      </c>
      <c r="M201" s="1">
        <f>'[1]Forward Ranks'!AC201</f>
        <v>7.4235807860262015E-2</v>
      </c>
      <c r="N201" s="1">
        <f>'[1]Forward Ranks'!AD201</f>
        <v>0.18777292576419213</v>
      </c>
      <c r="O201" s="1">
        <f>'[1]Forward Ranks'!AE201</f>
        <v>5.2401746724890827E-2</v>
      </c>
      <c r="P201" s="1">
        <f>'[1]Forward Ranks'!AF201</f>
        <v>0.10043668122270742</v>
      </c>
      <c r="Q201">
        <f>'[1]Forward Ranks'!AH201</f>
        <v>0</v>
      </c>
      <c r="R201" s="1">
        <f>'[1]Forward Ranks'!AM201</f>
        <v>0.88646288209606983</v>
      </c>
      <c r="S201" s="1">
        <f>'[1]Forward Ranks'!AN201</f>
        <v>0.70742358078602618</v>
      </c>
      <c r="T201" s="1">
        <f>'[1]Forward Ranks'!AO201</f>
        <v>0.85589519650655022</v>
      </c>
      <c r="U201" s="1">
        <f>'[1]Forward Ranks'!AP201</f>
        <v>0.90611353711790388</v>
      </c>
      <c r="V201">
        <f>'[1]Forward Ranks'!AR201</f>
        <v>0</v>
      </c>
      <c r="W201" s="1">
        <f>'[1]Forward Ranks'!AW201</f>
        <v>0.55676855895196509</v>
      </c>
      <c r="X201" s="1">
        <f>'[1]Forward Ranks'!AX201</f>
        <v>0.50873362445414849</v>
      </c>
      <c r="Y201" s="1">
        <f>'[1]Forward Ranks'!AY201</f>
        <v>0.4366812227074236</v>
      </c>
      <c r="Z201" s="1">
        <f>'[1]Forward Ranks'!AZ201</f>
        <v>0.34061135371179041</v>
      </c>
      <c r="AA201">
        <f>'[1]Forward Ranks'!BB201</f>
        <v>0</v>
      </c>
      <c r="AB201" s="1">
        <f>'[1]Forward Ranks'!BG201</f>
        <v>0.96288209606986896</v>
      </c>
      <c r="AC201" s="1">
        <f>'[1]Forward Ranks'!BH201</f>
        <v>0.5</v>
      </c>
      <c r="AD201" s="1">
        <f>'[1]Forward Ranks'!BI201</f>
        <v>0.62445414847161573</v>
      </c>
      <c r="AE201" s="1">
        <f>'[1]Forward Ranks'!BJ201</f>
        <v>0.3056768558951965</v>
      </c>
      <c r="AF201">
        <f>'[1]Forward Ranks'!BL201</f>
        <v>0</v>
      </c>
      <c r="AG201" s="1">
        <f>'[1]Forward Ranks'!BQ201</f>
        <v>0.27074235807860264</v>
      </c>
      <c r="AH201" s="1">
        <f>'[1]Forward Ranks'!BR201</f>
        <v>0.24454148471615719</v>
      </c>
      <c r="AI201" s="1">
        <f>'[1]Forward Ranks'!BS201</f>
        <v>0.23362445414847161</v>
      </c>
      <c r="AJ201" s="1">
        <f>'[1]Forward Ranks'!BT201</f>
        <v>0.31441048034934499</v>
      </c>
      <c r="AL201" s="2">
        <f>'[1]Forward Ranks'!BX201</f>
        <v>0.59606986899563319</v>
      </c>
      <c r="AN201" t="str">
        <f>'[1]Forward Ranks'!B201</f>
        <v>CBJ</v>
      </c>
      <c r="AO201">
        <f>'[1]F on ice'!E201</f>
        <v>80</v>
      </c>
      <c r="AP201" s="2">
        <f>'[1]Impact Score Math'!E201</f>
        <v>0.78156312625250501</v>
      </c>
      <c r="AQ201">
        <f>'[1]Impact Score Math'!G201</f>
        <v>110</v>
      </c>
      <c r="AT201" s="1">
        <f>'[1]Forward Ranks'!CJ201</f>
        <v>0.88209606986899558</v>
      </c>
      <c r="AU201" s="1">
        <f>'[1]Forward Ranks'!CK201</f>
        <v>0.61790393013100442</v>
      </c>
    </row>
    <row r="202" spans="1:47" x14ac:dyDescent="0.3">
      <c r="A202" t="str">
        <f>'[1]Forward Ranks'!A202</f>
        <v>Jonah Gadjovich</v>
      </c>
      <c r="B202">
        <f>'[1]Forward Ranks'!D202</f>
        <v>0</v>
      </c>
      <c r="C202" s="1">
        <f>'[1]Forward Ranks'!I202</f>
        <v>0.44323144104803491</v>
      </c>
      <c r="D202" s="1">
        <f>'[1]Forward Ranks'!J202</f>
        <v>0.86462882096069871</v>
      </c>
      <c r="E202" s="1">
        <f>'[1]Forward Ranks'!K202</f>
        <v>0.48471615720524019</v>
      </c>
      <c r="F202" s="1">
        <f>'[1]Forward Ranks'!L202</f>
        <v>0.56550218340611358</v>
      </c>
      <c r="G202">
        <f>'[1]Forward Ranks'!N202</f>
        <v>0</v>
      </c>
      <c r="H202" s="1">
        <f>'[1]Forward Ranks'!S202</f>
        <v>0.36681222707423583</v>
      </c>
      <c r="I202" s="1">
        <f>'[1]Forward Ranks'!T202</f>
        <v>0.33842794759825329</v>
      </c>
      <c r="J202" s="1">
        <f>'[1]Forward Ranks'!U202</f>
        <v>8.5152838427947602E-2</v>
      </c>
      <c r="K202" s="1">
        <f>'[1]Forward Ranks'!V202</f>
        <v>0.29694323144104806</v>
      </c>
      <c r="L202">
        <f>'[1]Forward Ranks'!X202</f>
        <v>0</v>
      </c>
      <c r="M202" s="1">
        <f>'[1]Forward Ranks'!AC202</f>
        <v>0.53493449781659386</v>
      </c>
      <c r="N202" s="1">
        <f>'[1]Forward Ranks'!AD202</f>
        <v>0.31004366812227074</v>
      </c>
      <c r="O202" s="1">
        <f>'[1]Forward Ranks'!AE202</f>
        <v>0.18995633187772926</v>
      </c>
      <c r="P202" s="1">
        <f>'[1]Forward Ranks'!AF202</f>
        <v>0.71834061135371174</v>
      </c>
      <c r="Q202">
        <f>'[1]Forward Ranks'!AH202</f>
        <v>0</v>
      </c>
      <c r="R202" s="1">
        <f>'[1]Forward Ranks'!AM202</f>
        <v>0.45633187772925765</v>
      </c>
      <c r="S202" s="1">
        <f>'[1]Forward Ranks'!AN202</f>
        <v>0.44759825327510916</v>
      </c>
      <c r="T202" s="1">
        <f>'[1]Forward Ranks'!AO202</f>
        <v>0.3296943231441048</v>
      </c>
      <c r="U202" s="1">
        <f>'[1]Forward Ranks'!AP202</f>
        <v>0.16157205240174671</v>
      </c>
      <c r="V202">
        <f>'[1]Forward Ranks'!AR202</f>
        <v>0</v>
      </c>
      <c r="W202" s="1">
        <f>'[1]Forward Ranks'!AW202</f>
        <v>0.54585152838427953</v>
      </c>
      <c r="X202" s="1">
        <f>'[1]Forward Ranks'!AX202</f>
        <v>0.1222707423580786</v>
      </c>
      <c r="Y202" s="1">
        <f>'[1]Forward Ranks'!AY202</f>
        <v>0.54803493449781659</v>
      </c>
      <c r="Z202" s="1">
        <f>'[1]Forward Ranks'!AZ202</f>
        <v>0.75327510917030571</v>
      </c>
      <c r="AA202">
        <f>'[1]Forward Ranks'!BB202</f>
        <v>0</v>
      </c>
      <c r="AB202" s="1">
        <f>'[1]Forward Ranks'!BG202</f>
        <v>3.2751091703056769E-2</v>
      </c>
      <c r="AC202" s="1">
        <f>'[1]Forward Ranks'!BH202</f>
        <v>0.2576419213973799</v>
      </c>
      <c r="AD202" s="1">
        <f>'[1]Forward Ranks'!BI202</f>
        <v>0.63973799126637554</v>
      </c>
      <c r="AE202" s="1">
        <f>'[1]Forward Ranks'!BJ202</f>
        <v>0.29039301310043669</v>
      </c>
      <c r="AF202">
        <f>'[1]Forward Ranks'!BL202</f>
        <v>0</v>
      </c>
      <c r="AG202" s="1">
        <f>'[1]Forward Ranks'!BQ202</f>
        <v>0.47379912663755458</v>
      </c>
      <c r="AH202" s="1">
        <f>'[1]Forward Ranks'!BR202</f>
        <v>0.73362445414847166</v>
      </c>
      <c r="AI202" s="1">
        <f>'[1]Forward Ranks'!BS202</f>
        <v>0.27729257641921395</v>
      </c>
      <c r="AJ202" s="1">
        <f>'[1]Forward Ranks'!BT202</f>
        <v>0.69213973799126638</v>
      </c>
      <c r="AL202" s="2">
        <f>'[1]Forward Ranks'!BX202</f>
        <v>0.4606986899563319</v>
      </c>
      <c r="AN202" t="str">
        <f>'[1]Forward Ranks'!B202</f>
        <v>S.J</v>
      </c>
      <c r="AO202">
        <f>'[1]F on ice'!E202</f>
        <v>35</v>
      </c>
      <c r="AP202" s="2">
        <f>'[1]Impact Score Math'!E202</f>
        <v>0.33466933867735471</v>
      </c>
      <c r="AQ202">
        <f>'[1]Impact Score Math'!G202</f>
        <v>333</v>
      </c>
      <c r="AT202" s="1">
        <f>'[1]Forward Ranks'!CJ202</f>
        <v>1.0917030567685589E-2</v>
      </c>
      <c r="AU202" s="1">
        <f>'[1]Forward Ranks'!CK202</f>
        <v>0.99344978165938869</v>
      </c>
    </row>
    <row r="203" spans="1:47" x14ac:dyDescent="0.3">
      <c r="A203" t="str">
        <f>'[1]Forward Ranks'!A203</f>
        <v>Jonatan Berggren</v>
      </c>
      <c r="B203">
        <f>'[1]Forward Ranks'!D203</f>
        <v>0</v>
      </c>
      <c r="C203" s="1">
        <f>'[1]Forward Ranks'!I203</f>
        <v>0.2576419213973799</v>
      </c>
      <c r="D203" s="1">
        <f>'[1]Forward Ranks'!J203</f>
        <v>0.11790393013100436</v>
      </c>
      <c r="E203" s="1">
        <f>'[1]Forward Ranks'!K203</f>
        <v>0.30349344978165937</v>
      </c>
      <c r="F203" s="1">
        <f>'[1]Forward Ranks'!L203</f>
        <v>0.12008733624454149</v>
      </c>
      <c r="G203">
        <f>'[1]Forward Ranks'!N203</f>
        <v>0</v>
      </c>
      <c r="H203" s="1">
        <f>'[1]Forward Ranks'!S203</f>
        <v>0.55676855895196509</v>
      </c>
      <c r="I203" s="1">
        <f>'[1]Forward Ranks'!T203</f>
        <v>0.26637554585152839</v>
      </c>
      <c r="J203" s="1">
        <f>'[1]Forward Ranks'!U203</f>
        <v>0.27947598253275108</v>
      </c>
      <c r="K203" s="1">
        <f>'[1]Forward Ranks'!V203</f>
        <v>0.34497816593886466</v>
      </c>
      <c r="L203">
        <f>'[1]Forward Ranks'!X203</f>
        <v>0</v>
      </c>
      <c r="M203" s="1">
        <f>'[1]Forward Ranks'!AC203</f>
        <v>0.75545851528384278</v>
      </c>
      <c r="N203" s="1">
        <f>'[1]Forward Ranks'!AD203</f>
        <v>0.36681222707423583</v>
      </c>
      <c r="O203" s="1">
        <f>'[1]Forward Ranks'!AE203</f>
        <v>0.42358078602620086</v>
      </c>
      <c r="P203" s="1">
        <f>'[1]Forward Ranks'!AF203</f>
        <v>0.67248908296943233</v>
      </c>
      <c r="Q203">
        <f>'[1]Forward Ranks'!AH203</f>
        <v>0</v>
      </c>
      <c r="R203" s="1">
        <f>'[1]Forward Ranks'!AM203</f>
        <v>0.62882096069868998</v>
      </c>
      <c r="S203" s="1">
        <f>'[1]Forward Ranks'!AN203</f>
        <v>0.37772925764192139</v>
      </c>
      <c r="T203" s="1">
        <f>'[1]Forward Ranks'!AO203</f>
        <v>0.50873362445414849</v>
      </c>
      <c r="U203" s="1">
        <f>'[1]Forward Ranks'!AP203</f>
        <v>0.37772925764192139</v>
      </c>
      <c r="V203">
        <f>'[1]Forward Ranks'!AR203</f>
        <v>0</v>
      </c>
      <c r="W203" s="1">
        <f>'[1]Forward Ranks'!AW203</f>
        <v>0.81877729257641918</v>
      </c>
      <c r="X203" s="1">
        <f>'[1]Forward Ranks'!AX203</f>
        <v>0.49344978165938863</v>
      </c>
      <c r="Y203" s="1">
        <f>'[1]Forward Ranks'!AY203</f>
        <v>0.68558951965065507</v>
      </c>
      <c r="Z203" s="1">
        <f>'[1]Forward Ranks'!AZ203</f>
        <v>0.61790393013100442</v>
      </c>
      <c r="AA203">
        <f>'[1]Forward Ranks'!BB203</f>
        <v>0</v>
      </c>
      <c r="AB203" s="1">
        <f>'[1]Forward Ranks'!BG203</f>
        <v>0.37772925764192139</v>
      </c>
      <c r="AC203" s="1">
        <f>'[1]Forward Ranks'!BH203</f>
        <v>0.75545851528384278</v>
      </c>
      <c r="AD203" s="1">
        <f>'[1]Forward Ranks'!BI203</f>
        <v>0.46724890829694321</v>
      </c>
      <c r="AE203" s="1">
        <f>'[1]Forward Ranks'!BJ203</f>
        <v>0.29039301310043669</v>
      </c>
      <c r="AF203">
        <f>'[1]Forward Ranks'!BL203</f>
        <v>0</v>
      </c>
      <c r="AG203" s="1">
        <f>'[1]Forward Ranks'!BQ203</f>
        <v>0.47161572052401746</v>
      </c>
      <c r="AH203" s="1">
        <f>'[1]Forward Ranks'!BR203</f>
        <v>0.15938864628820962</v>
      </c>
      <c r="AI203" s="1">
        <f>'[1]Forward Ranks'!BS203</f>
        <v>0.29912663755458513</v>
      </c>
      <c r="AJ203" s="1">
        <f>'[1]Forward Ranks'!BT203</f>
        <v>0.25982532751091703</v>
      </c>
      <c r="AL203" s="2">
        <f>'[1]Forward Ranks'!BX203</f>
        <v>0.46506550218340609</v>
      </c>
      <c r="AN203" t="str">
        <f>'[1]Forward Ranks'!B203</f>
        <v>DET</v>
      </c>
      <c r="AO203">
        <f>'[1]F on ice'!E203</f>
        <v>67</v>
      </c>
      <c r="AP203" s="2">
        <f>'[1]Impact Score Math'!E203</f>
        <v>0.4909819639278557</v>
      </c>
      <c r="AQ203">
        <f>'[1]Impact Score Math'!G203</f>
        <v>255</v>
      </c>
      <c r="AT203" s="1">
        <f>'[1]Forward Ranks'!CJ203</f>
        <v>0.67903930131004364</v>
      </c>
      <c r="AU203" s="1">
        <f>'[1]Forward Ranks'!CK203</f>
        <v>0.14847161572052403</v>
      </c>
    </row>
    <row r="204" spans="1:47" x14ac:dyDescent="0.3">
      <c r="A204" t="str">
        <f>'[1]Forward Ranks'!A204</f>
        <v>Jonathan Drouin</v>
      </c>
      <c r="B204">
        <f>'[1]Forward Ranks'!D204</f>
        <v>0</v>
      </c>
      <c r="C204" s="1">
        <f>'[1]Forward Ranks'!I204</f>
        <v>0.34061135371179041</v>
      </c>
      <c r="D204" s="1">
        <f>'[1]Forward Ranks'!J204</f>
        <v>0.34716157205240172</v>
      </c>
      <c r="E204" s="1">
        <f>'[1]Forward Ranks'!K204</f>
        <v>0.2205240174672489</v>
      </c>
      <c r="F204" s="1">
        <f>'[1]Forward Ranks'!L204</f>
        <v>0.35807860262008734</v>
      </c>
      <c r="G204">
        <f>'[1]Forward Ranks'!N204</f>
        <v>0</v>
      </c>
      <c r="H204" s="1">
        <f>'[1]Forward Ranks'!S204</f>
        <v>3.0567685589519649E-2</v>
      </c>
      <c r="I204" s="1">
        <f>'[1]Forward Ranks'!T204</f>
        <v>0.86026200873362446</v>
      </c>
      <c r="J204" s="1">
        <f>'[1]Forward Ranks'!U204</f>
        <v>0.76419213973799127</v>
      </c>
      <c r="K204" s="1">
        <f>'[1]Forward Ranks'!V204</f>
        <v>0.4606986899563319</v>
      </c>
      <c r="L204">
        <f>'[1]Forward Ranks'!X204</f>
        <v>0</v>
      </c>
      <c r="M204" s="1">
        <f>'[1]Forward Ranks'!AC204</f>
        <v>0.24454148471615719</v>
      </c>
      <c r="N204" s="1">
        <f>'[1]Forward Ranks'!AD204</f>
        <v>4.3668122270742356E-2</v>
      </c>
      <c r="O204" s="1">
        <f>'[1]Forward Ranks'!AE204</f>
        <v>0.27292576419213976</v>
      </c>
      <c r="P204" s="1">
        <f>'[1]Forward Ranks'!AF204</f>
        <v>7.8602620087336247E-2</v>
      </c>
      <c r="Q204">
        <f>'[1]Forward Ranks'!AH204</f>
        <v>0</v>
      </c>
      <c r="R204" s="1">
        <f>'[1]Forward Ranks'!AM204</f>
        <v>0.71179039301310043</v>
      </c>
      <c r="S204" s="1">
        <f>'[1]Forward Ranks'!AN204</f>
        <v>0.66157205240174677</v>
      </c>
      <c r="T204" s="1">
        <f>'[1]Forward Ranks'!AO204</f>
        <v>0.25327510917030566</v>
      </c>
      <c r="U204" s="1">
        <f>'[1]Forward Ranks'!AP204</f>
        <v>0.67248908296943233</v>
      </c>
      <c r="V204">
        <f>'[1]Forward Ranks'!AR204</f>
        <v>0</v>
      </c>
      <c r="W204" s="1">
        <f>'[1]Forward Ranks'!AW204</f>
        <v>0.37336244541484714</v>
      </c>
      <c r="X204" s="1">
        <f>'[1]Forward Ranks'!AX204</f>
        <v>0.10698689956331878</v>
      </c>
      <c r="Y204" s="1">
        <f>'[1]Forward Ranks'!AY204</f>
        <v>0.61353711790393017</v>
      </c>
      <c r="Z204" s="1">
        <f>'[1]Forward Ranks'!AZ204</f>
        <v>0.14192139737991266</v>
      </c>
      <c r="AA204">
        <f>'[1]Forward Ranks'!BB204</f>
        <v>0</v>
      </c>
      <c r="AB204" s="1">
        <f>'[1]Forward Ranks'!BG204</f>
        <v>0.46943231441048033</v>
      </c>
      <c r="AC204" s="1">
        <f>'[1]Forward Ranks'!BH204</f>
        <v>0.70742358078602618</v>
      </c>
      <c r="AD204" s="1">
        <f>'[1]Forward Ranks'!BI204</f>
        <v>0.23580786026200873</v>
      </c>
      <c r="AE204" s="1">
        <f>'[1]Forward Ranks'!BJ204</f>
        <v>0.23799126637554585</v>
      </c>
      <c r="AF204">
        <f>'[1]Forward Ranks'!BL204</f>
        <v>0</v>
      </c>
      <c r="AG204" s="1">
        <f>'[1]Forward Ranks'!BQ204</f>
        <v>0.25327510917030566</v>
      </c>
      <c r="AH204" s="1">
        <f>'[1]Forward Ranks'!BR204</f>
        <v>0.12008733624454149</v>
      </c>
      <c r="AI204" s="1">
        <f>'[1]Forward Ranks'!BS204</f>
        <v>0.16375545851528384</v>
      </c>
      <c r="AJ204" s="1">
        <f>'[1]Forward Ranks'!BT204</f>
        <v>0.17248908296943233</v>
      </c>
      <c r="AL204" s="2">
        <f>'[1]Forward Ranks'!BX204</f>
        <v>0.2816593886462882</v>
      </c>
      <c r="AN204" t="str">
        <f>'[1]Forward Ranks'!B204</f>
        <v>MTL</v>
      </c>
      <c r="AO204">
        <f>'[1]F on ice'!E204</f>
        <v>58</v>
      </c>
      <c r="AP204" s="2">
        <f>'[1]Impact Score Math'!E204</f>
        <v>0.39478957915831664</v>
      </c>
      <c r="AQ204">
        <f>'[1]Impact Score Math'!G204</f>
        <v>303</v>
      </c>
      <c r="AT204" s="1">
        <f>'[1]Forward Ranks'!CJ204</f>
        <v>0.53493449781659386</v>
      </c>
      <c r="AU204" s="1">
        <f>'[1]Forward Ranks'!CK204</f>
        <v>0.3296943231441048</v>
      </c>
    </row>
    <row r="205" spans="1:47" x14ac:dyDescent="0.3">
      <c r="A205" t="str">
        <f>'[1]Forward Ranks'!A205</f>
        <v>Jonathan Huberdeau</v>
      </c>
      <c r="B205">
        <f>'[1]Forward Ranks'!D205</f>
        <v>0</v>
      </c>
      <c r="C205" s="1">
        <f>'[1]Forward Ranks'!I205</f>
        <v>0.85807860262008728</v>
      </c>
      <c r="D205" s="1">
        <f>'[1]Forward Ranks'!J205</f>
        <v>0.50218340611353707</v>
      </c>
      <c r="E205" s="1">
        <f>'[1]Forward Ranks'!K205</f>
        <v>0.71615720524017468</v>
      </c>
      <c r="F205" s="1">
        <f>'[1]Forward Ranks'!L205</f>
        <v>0.76855895196506552</v>
      </c>
      <c r="G205">
        <f>'[1]Forward Ranks'!N205</f>
        <v>0</v>
      </c>
      <c r="H205" s="1">
        <f>'[1]Forward Ranks'!S205</f>
        <v>0.36681222707423583</v>
      </c>
      <c r="I205" s="1">
        <f>'[1]Forward Ranks'!T205</f>
        <v>0.91484716157205237</v>
      </c>
      <c r="J205" s="1">
        <f>'[1]Forward Ranks'!U205</f>
        <v>0.89519650655021832</v>
      </c>
      <c r="K205" s="1">
        <f>'[1]Forward Ranks'!V205</f>
        <v>0.80786026200873362</v>
      </c>
      <c r="L205">
        <f>'[1]Forward Ranks'!X205</f>
        <v>0</v>
      </c>
      <c r="M205" s="1">
        <f>'[1]Forward Ranks'!AC205</f>
        <v>0.91484716157205237</v>
      </c>
      <c r="N205" s="1">
        <f>'[1]Forward Ranks'!AD205</f>
        <v>0.87117903930131002</v>
      </c>
      <c r="O205" s="1">
        <f>'[1]Forward Ranks'!AE205</f>
        <v>0.65938864628820959</v>
      </c>
      <c r="P205" s="1">
        <f>'[1]Forward Ranks'!AF205</f>
        <v>0.79912663755458513</v>
      </c>
      <c r="Q205">
        <f>'[1]Forward Ranks'!AH205</f>
        <v>0</v>
      </c>
      <c r="R205" s="1">
        <f>'[1]Forward Ranks'!AM205</f>
        <v>0.38209606986899564</v>
      </c>
      <c r="S205" s="1">
        <f>'[1]Forward Ranks'!AN205</f>
        <v>0.3296943231441048</v>
      </c>
      <c r="T205" s="1">
        <f>'[1]Forward Ranks'!AO205</f>
        <v>0.58078602620087338</v>
      </c>
      <c r="U205" s="1">
        <f>'[1]Forward Ranks'!AP205</f>
        <v>0.388646288209607</v>
      </c>
      <c r="V205">
        <f>'[1]Forward Ranks'!AR205</f>
        <v>0</v>
      </c>
      <c r="W205" s="1">
        <f>'[1]Forward Ranks'!AW205</f>
        <v>0.52183406113537123</v>
      </c>
      <c r="X205" s="1">
        <f>'[1]Forward Ranks'!AX205</f>
        <v>0.71179039301310043</v>
      </c>
      <c r="Y205" s="1">
        <f>'[1]Forward Ranks'!AY205</f>
        <v>0.77074235807860259</v>
      </c>
      <c r="Z205" s="1">
        <f>'[1]Forward Ranks'!AZ205</f>
        <v>0.57205240174672489</v>
      </c>
      <c r="AA205">
        <f>'[1]Forward Ranks'!BB205</f>
        <v>0</v>
      </c>
      <c r="AB205" s="1">
        <f>'[1]Forward Ranks'!BG205</f>
        <v>0.67903930131004364</v>
      </c>
      <c r="AC205" s="1">
        <f>'[1]Forward Ranks'!BH205</f>
        <v>0.76855895196506552</v>
      </c>
      <c r="AD205" s="1">
        <f>'[1]Forward Ranks'!BI205</f>
        <v>0.58078602620087338</v>
      </c>
      <c r="AE205" s="1">
        <f>'[1]Forward Ranks'!BJ205</f>
        <v>0.46288209606986902</v>
      </c>
      <c r="AF205">
        <f>'[1]Forward Ranks'!BL205</f>
        <v>0</v>
      </c>
      <c r="AG205" s="1">
        <f>'[1]Forward Ranks'!BQ205</f>
        <v>0.94104803493449785</v>
      </c>
      <c r="AH205" s="1">
        <f>'[1]Forward Ranks'!BR205</f>
        <v>0.73144104803493448</v>
      </c>
      <c r="AI205" s="1">
        <f>'[1]Forward Ranks'!BS205</f>
        <v>0.78165938864628826</v>
      </c>
      <c r="AJ205" s="1">
        <f>'[1]Forward Ranks'!BT205</f>
        <v>0.84716157205240172</v>
      </c>
      <c r="AL205" s="2">
        <f>'[1]Forward Ranks'!BX205</f>
        <v>0.82969432314410485</v>
      </c>
      <c r="AN205" t="str">
        <f>'[1]Forward Ranks'!B205</f>
        <v>CGY</v>
      </c>
      <c r="AO205">
        <f>'[1]F on ice'!E205</f>
        <v>79</v>
      </c>
      <c r="AP205" s="2">
        <f>'[1]Impact Score Math'!E205</f>
        <v>0.84569138276553102</v>
      </c>
      <c r="AQ205">
        <f>'[1]Impact Score Math'!G205</f>
        <v>78</v>
      </c>
      <c r="AT205" s="1">
        <f>'[1]Forward Ranks'!CJ205</f>
        <v>0.47379912663755458</v>
      </c>
      <c r="AU205" s="1">
        <f>'[1]Forward Ranks'!CK205</f>
        <v>0.73580786026200873</v>
      </c>
    </row>
    <row r="206" spans="1:47" x14ac:dyDescent="0.3">
      <c r="A206" t="str">
        <f>'[1]Forward Ranks'!A206</f>
        <v>Jonathan Marchessault</v>
      </c>
      <c r="B206">
        <f>'[1]Forward Ranks'!D206</f>
        <v>0</v>
      </c>
      <c r="C206" s="1">
        <f>'[1]Forward Ranks'!I206</f>
        <v>0.74235807860262004</v>
      </c>
      <c r="D206" s="1">
        <f>'[1]Forward Ranks'!J206</f>
        <v>0.50655021834061131</v>
      </c>
      <c r="E206" s="1">
        <f>'[1]Forward Ranks'!K206</f>
        <v>0.63100436681222705</v>
      </c>
      <c r="F206" s="1">
        <f>'[1]Forward Ranks'!L206</f>
        <v>0.65283842794759828</v>
      </c>
      <c r="G206">
        <f>'[1]Forward Ranks'!N206</f>
        <v>0</v>
      </c>
      <c r="H206" s="1">
        <f>'[1]Forward Ranks'!S206</f>
        <v>0.77074235807860259</v>
      </c>
      <c r="I206" s="1">
        <f>'[1]Forward Ranks'!T206</f>
        <v>0.59606986899563319</v>
      </c>
      <c r="J206" s="1">
        <f>'[1]Forward Ranks'!U206</f>
        <v>0.60043668122270744</v>
      </c>
      <c r="K206" s="1">
        <f>'[1]Forward Ranks'!V206</f>
        <v>0.69650655021834063</v>
      </c>
      <c r="L206">
        <f>'[1]Forward Ranks'!X206</f>
        <v>0</v>
      </c>
      <c r="M206" s="1">
        <f>'[1]Forward Ranks'!AC206</f>
        <v>0.45851528384279477</v>
      </c>
      <c r="N206" s="1">
        <f>'[1]Forward Ranks'!AD206</f>
        <v>0.81004366812227069</v>
      </c>
      <c r="O206" s="1">
        <f>'[1]Forward Ranks'!AE206</f>
        <v>0.45851528384279477</v>
      </c>
      <c r="P206" s="1">
        <f>'[1]Forward Ranks'!AF206</f>
        <v>0.5873362445414847</v>
      </c>
      <c r="Q206">
        <f>'[1]Forward Ranks'!AH206</f>
        <v>0</v>
      </c>
      <c r="R206" s="1">
        <f>'[1]Forward Ranks'!AM206</f>
        <v>0.89956331877729256</v>
      </c>
      <c r="S206" s="1">
        <f>'[1]Forward Ranks'!AN206</f>
        <v>0.48253275109170307</v>
      </c>
      <c r="T206" s="1">
        <f>'[1]Forward Ranks'!AO206</f>
        <v>0.59170305676855894</v>
      </c>
      <c r="U206" s="1">
        <f>'[1]Forward Ranks'!AP206</f>
        <v>0.72707423580786024</v>
      </c>
      <c r="V206">
        <f>'[1]Forward Ranks'!AR206</f>
        <v>0</v>
      </c>
      <c r="W206" s="1">
        <f>'[1]Forward Ranks'!AW206</f>
        <v>0.55240174672489084</v>
      </c>
      <c r="X206" s="1">
        <f>'[1]Forward Ranks'!AX206</f>
        <v>0.62445414847161573</v>
      </c>
      <c r="Y206" s="1">
        <f>'[1]Forward Ranks'!AY206</f>
        <v>0.18995633187772926</v>
      </c>
      <c r="Z206" s="1">
        <f>'[1]Forward Ranks'!AZ206</f>
        <v>0.46288209606986902</v>
      </c>
      <c r="AA206">
        <f>'[1]Forward Ranks'!BB206</f>
        <v>0</v>
      </c>
      <c r="AB206" s="1">
        <f>'[1]Forward Ranks'!BG206</f>
        <v>0.85371179039301315</v>
      </c>
      <c r="AC206" s="1">
        <f>'[1]Forward Ranks'!BH206</f>
        <v>0.47161572052401746</v>
      </c>
      <c r="AD206" s="1">
        <f>'[1]Forward Ranks'!BI206</f>
        <v>0.44541484716157204</v>
      </c>
      <c r="AE206" s="1">
        <f>'[1]Forward Ranks'!BJ206</f>
        <v>0.44323144104803491</v>
      </c>
      <c r="AF206">
        <f>'[1]Forward Ranks'!BL206</f>
        <v>0</v>
      </c>
      <c r="AG206" s="1">
        <f>'[1]Forward Ranks'!BQ206</f>
        <v>0.64847161572052403</v>
      </c>
      <c r="AH206" s="1">
        <f>'[1]Forward Ranks'!BR206</f>
        <v>0.67685589519650657</v>
      </c>
      <c r="AI206" s="1">
        <f>'[1]Forward Ranks'!BS206</f>
        <v>0.58078602620087338</v>
      </c>
      <c r="AJ206" s="1">
        <f>'[1]Forward Ranks'!BT206</f>
        <v>0.6746724890829694</v>
      </c>
      <c r="AL206" s="2">
        <f>'[1]Forward Ranks'!BX206</f>
        <v>0.79039301310043664</v>
      </c>
      <c r="AN206" t="str">
        <f>'[1]Forward Ranks'!B206</f>
        <v>VGK</v>
      </c>
      <c r="AO206">
        <f>'[1]F on ice'!E206</f>
        <v>76</v>
      </c>
      <c r="AP206" s="2">
        <f>'[1]Impact Score Math'!E206</f>
        <v>0.87575150300601201</v>
      </c>
      <c r="AQ206">
        <f>'[1]Impact Score Math'!G206</f>
        <v>63</v>
      </c>
      <c r="AT206" s="1">
        <f>'[1]Forward Ranks'!CJ206</f>
        <v>0.78165938864628826</v>
      </c>
      <c r="AU206" s="1">
        <f>'[1]Forward Ranks'!CK206</f>
        <v>8.5152838427947602E-2</v>
      </c>
    </row>
    <row r="207" spans="1:47" x14ac:dyDescent="0.3">
      <c r="A207" t="str">
        <f>'[1]Forward Ranks'!A207</f>
        <v>Jonathan Toews</v>
      </c>
      <c r="B207">
        <f>'[1]Forward Ranks'!D207</f>
        <v>0</v>
      </c>
      <c r="C207" s="1">
        <f>'[1]Forward Ranks'!I207</f>
        <v>5.6768558951965066E-2</v>
      </c>
      <c r="D207" s="1">
        <f>'[1]Forward Ranks'!J207</f>
        <v>5.458515283842795E-2</v>
      </c>
      <c r="E207" s="1">
        <f>'[1]Forward Ranks'!K207</f>
        <v>0.14628820960698691</v>
      </c>
      <c r="F207" s="1">
        <f>'[1]Forward Ranks'!L207</f>
        <v>8.5152838427947602E-2</v>
      </c>
      <c r="G207">
        <f>'[1]Forward Ranks'!N207</f>
        <v>0</v>
      </c>
      <c r="H207" s="1">
        <f>'[1]Forward Ranks'!S207</f>
        <v>0.10480349344978165</v>
      </c>
      <c r="I207" s="1">
        <f>'[1]Forward Ranks'!T207</f>
        <v>0.43449781659388648</v>
      </c>
      <c r="J207" s="1">
        <f>'[1]Forward Ranks'!U207</f>
        <v>0.46943231441048033</v>
      </c>
      <c r="K207" s="1">
        <f>'[1]Forward Ranks'!V207</f>
        <v>0.20524017467248909</v>
      </c>
      <c r="L207">
        <f>'[1]Forward Ranks'!X207</f>
        <v>0</v>
      </c>
      <c r="M207" s="1">
        <f>'[1]Forward Ranks'!AC207</f>
        <v>0.11572052401746726</v>
      </c>
      <c r="N207" s="1">
        <f>'[1]Forward Ranks'!AD207</f>
        <v>3.0567685589519649E-2</v>
      </c>
      <c r="O207" s="1">
        <f>'[1]Forward Ranks'!AE207</f>
        <v>2.8384279475982533E-2</v>
      </c>
      <c r="P207" s="1">
        <f>'[1]Forward Ranks'!AF207</f>
        <v>3.7117903930131008E-2</v>
      </c>
      <c r="Q207">
        <f>'[1]Forward Ranks'!AH207</f>
        <v>0</v>
      </c>
      <c r="R207" s="1">
        <f>'[1]Forward Ranks'!AM207</f>
        <v>0.47816593886462883</v>
      </c>
      <c r="S207" s="1">
        <f>'[1]Forward Ranks'!AN207</f>
        <v>0.45414847161572053</v>
      </c>
      <c r="T207" s="1">
        <f>'[1]Forward Ranks'!AO207</f>
        <v>0.41921397379912662</v>
      </c>
      <c r="U207" s="1">
        <f>'[1]Forward Ranks'!AP207</f>
        <v>0.5</v>
      </c>
      <c r="V207">
        <f>'[1]Forward Ranks'!AR207</f>
        <v>0</v>
      </c>
      <c r="W207" s="1">
        <f>'[1]Forward Ranks'!AW207</f>
        <v>0.30349344978165937</v>
      </c>
      <c r="X207" s="1">
        <f>'[1]Forward Ranks'!AX207</f>
        <v>1.5283842794759825E-2</v>
      </c>
      <c r="Y207" s="1">
        <f>'[1]Forward Ranks'!AY207</f>
        <v>0.10480349344978165</v>
      </c>
      <c r="Z207" s="1">
        <f>'[1]Forward Ranks'!AZ207</f>
        <v>4.5851528384279479E-2</v>
      </c>
      <c r="AA207">
        <f>'[1]Forward Ranks'!BB207</f>
        <v>0</v>
      </c>
      <c r="AB207" s="1">
        <f>'[1]Forward Ranks'!BG207</f>
        <v>0.65720524017467252</v>
      </c>
      <c r="AC207" s="1">
        <f>'[1]Forward Ranks'!BH207</f>
        <v>0.38427947598253276</v>
      </c>
      <c r="AD207" s="1">
        <f>'[1]Forward Ranks'!BI207</f>
        <v>0.27729257641921395</v>
      </c>
      <c r="AE207" s="1">
        <f>'[1]Forward Ranks'!BJ207</f>
        <v>5.458515283842795E-2</v>
      </c>
      <c r="AF207">
        <f>'[1]Forward Ranks'!BL207</f>
        <v>0</v>
      </c>
      <c r="AG207" s="1">
        <f>'[1]Forward Ranks'!BQ207</f>
        <v>5.2401746724890827E-2</v>
      </c>
      <c r="AH207" s="1">
        <f>'[1]Forward Ranks'!BR207</f>
        <v>2.4017467248908297E-2</v>
      </c>
      <c r="AI207" s="1">
        <f>'[1]Forward Ranks'!BS207</f>
        <v>4.3668122270742356E-2</v>
      </c>
      <c r="AJ207" s="1">
        <f>'[1]Forward Ranks'!BT207</f>
        <v>2.6200873362445413E-2</v>
      </c>
      <c r="AL207" s="2">
        <f>'[1]Forward Ranks'!BX207</f>
        <v>3.4934497816593885E-2</v>
      </c>
      <c r="AN207" t="str">
        <f>'[1]Forward Ranks'!B207</f>
        <v>CHI</v>
      </c>
      <c r="AO207">
        <f>'[1]F on ice'!E207</f>
        <v>53</v>
      </c>
      <c r="AP207" s="2">
        <f>'[1]Impact Score Math'!E207</f>
        <v>0.14428857715430862</v>
      </c>
      <c r="AQ207">
        <f>'[1]Impact Score Math'!G207</f>
        <v>428</v>
      </c>
      <c r="AT207" s="1">
        <f>'[1]Forward Ranks'!CJ207</f>
        <v>0.14410480349344978</v>
      </c>
      <c r="AU207" s="1">
        <f>'[1]Forward Ranks'!CK207</f>
        <v>0.57205240174672489</v>
      </c>
    </row>
    <row r="208" spans="1:47" x14ac:dyDescent="0.3">
      <c r="A208" t="str">
        <f>'[1]Forward Ranks'!A208</f>
        <v>Jordan Eberle</v>
      </c>
      <c r="B208">
        <f>'[1]Forward Ranks'!D208</f>
        <v>0</v>
      </c>
      <c r="C208" s="1">
        <f>'[1]Forward Ranks'!I208</f>
        <v>0.67685589519650657</v>
      </c>
      <c r="D208" s="1">
        <f>'[1]Forward Ranks'!J208</f>
        <v>0.41703056768558949</v>
      </c>
      <c r="E208" s="1">
        <f>'[1]Forward Ranks'!K208</f>
        <v>0.94759825327510916</v>
      </c>
      <c r="F208" s="1">
        <f>'[1]Forward Ranks'!L208</f>
        <v>0.6266375545851528</v>
      </c>
      <c r="G208">
        <f>'[1]Forward Ranks'!N208</f>
        <v>0</v>
      </c>
      <c r="H208" s="1">
        <f>'[1]Forward Ranks'!S208</f>
        <v>0.73580786026200873</v>
      </c>
      <c r="I208" s="1">
        <f>'[1]Forward Ranks'!T208</f>
        <v>0.91484716157205237</v>
      </c>
      <c r="J208" s="1">
        <f>'[1]Forward Ranks'!U208</f>
        <v>0.96724890829694321</v>
      </c>
      <c r="K208" s="1">
        <f>'[1]Forward Ranks'!V208</f>
        <v>0.90174672489082974</v>
      </c>
      <c r="L208">
        <f>'[1]Forward Ranks'!X208</f>
        <v>0</v>
      </c>
      <c r="M208" s="1">
        <f>'[1]Forward Ranks'!AC208</f>
        <v>0.64410480349344978</v>
      </c>
      <c r="N208" s="1">
        <f>'[1]Forward Ranks'!AD208</f>
        <v>0.56550218340611358</v>
      </c>
      <c r="O208" s="1">
        <f>'[1]Forward Ranks'!AE208</f>
        <v>0.38209606986899564</v>
      </c>
      <c r="P208" s="1">
        <f>'[1]Forward Ranks'!AF208</f>
        <v>0.68340611353711789</v>
      </c>
      <c r="Q208">
        <f>'[1]Forward Ranks'!AH208</f>
        <v>0</v>
      </c>
      <c r="R208" s="1">
        <f>'[1]Forward Ranks'!AM208</f>
        <v>0.58515283842794763</v>
      </c>
      <c r="S208" s="1">
        <f>'[1]Forward Ranks'!AN208</f>
        <v>0.66375545851528384</v>
      </c>
      <c r="T208" s="1">
        <f>'[1]Forward Ranks'!AO208</f>
        <v>0.79475982532751088</v>
      </c>
      <c r="U208" s="1">
        <f>'[1]Forward Ranks'!AP208</f>
        <v>0.71179039301310043</v>
      </c>
      <c r="V208">
        <f>'[1]Forward Ranks'!AR208</f>
        <v>0</v>
      </c>
      <c r="W208" s="1">
        <f>'[1]Forward Ranks'!AW208</f>
        <v>0.14628820960698691</v>
      </c>
      <c r="X208" s="1">
        <f>'[1]Forward Ranks'!AX208</f>
        <v>0.22707423580786026</v>
      </c>
      <c r="Y208" s="1">
        <f>'[1]Forward Ranks'!AY208</f>
        <v>0.18777292576419213</v>
      </c>
      <c r="Z208" s="1">
        <f>'[1]Forward Ranks'!AZ208</f>
        <v>0.32532751091703055</v>
      </c>
      <c r="AA208">
        <f>'[1]Forward Ranks'!BB208</f>
        <v>0</v>
      </c>
      <c r="AB208" s="1">
        <f>'[1]Forward Ranks'!BG208</f>
        <v>0.79039301310043664</v>
      </c>
      <c r="AC208" s="1">
        <f>'[1]Forward Ranks'!BH208</f>
        <v>0.81659388646288211</v>
      </c>
      <c r="AD208" s="1">
        <f>'[1]Forward Ranks'!BI208</f>
        <v>0.95851528384279472</v>
      </c>
      <c r="AE208" s="1">
        <f>'[1]Forward Ranks'!BJ208</f>
        <v>0.74672489082969429</v>
      </c>
      <c r="AF208">
        <f>'[1]Forward Ranks'!BL208</f>
        <v>0</v>
      </c>
      <c r="AG208" s="1">
        <f>'[1]Forward Ranks'!BQ208</f>
        <v>0.68777292576419213</v>
      </c>
      <c r="AH208" s="1">
        <f>'[1]Forward Ranks'!BR208</f>
        <v>0.44541484716157204</v>
      </c>
      <c r="AI208" s="1">
        <f>'[1]Forward Ranks'!BS208</f>
        <v>0.81441048034934493</v>
      </c>
      <c r="AJ208" s="1">
        <f>'[1]Forward Ranks'!BT208</f>
        <v>0.69650655021834063</v>
      </c>
      <c r="AL208" s="2">
        <f>'[1]Forward Ranks'!BX208</f>
        <v>0.76637554585152834</v>
      </c>
      <c r="AN208" t="str">
        <f>'[1]Forward Ranks'!B208</f>
        <v>SEA</v>
      </c>
      <c r="AO208">
        <f>'[1]F on ice'!E208</f>
        <v>82</v>
      </c>
      <c r="AP208" s="2">
        <f>'[1]Impact Score Math'!E208</f>
        <v>0.82164328657314634</v>
      </c>
      <c r="AQ208">
        <f>'[1]Impact Score Math'!G208</f>
        <v>90</v>
      </c>
      <c r="AT208" s="1">
        <f>'[1]Forward Ranks'!CJ208</f>
        <v>0.43886462882096072</v>
      </c>
      <c r="AU208" s="1">
        <f>'[1]Forward Ranks'!CK208</f>
        <v>0.16812227074235808</v>
      </c>
    </row>
    <row r="209" spans="1:47" x14ac:dyDescent="0.3">
      <c r="A209" t="str">
        <f>'[1]Forward Ranks'!A209</f>
        <v>Jordan Greenway</v>
      </c>
      <c r="B209">
        <f>'[1]Forward Ranks'!D209</f>
        <v>0</v>
      </c>
      <c r="C209" s="1">
        <f>'[1]Forward Ranks'!I209</f>
        <v>0.26855895196506552</v>
      </c>
      <c r="D209" s="1">
        <f>'[1]Forward Ranks'!J209</f>
        <v>0.30131004366812225</v>
      </c>
      <c r="E209" s="1">
        <f>'[1]Forward Ranks'!K209</f>
        <v>0.34934497816593885</v>
      </c>
      <c r="F209" s="1">
        <f>'[1]Forward Ranks'!L209</f>
        <v>0.23362445414847161</v>
      </c>
      <c r="G209">
        <f>'[1]Forward Ranks'!N209</f>
        <v>0</v>
      </c>
      <c r="H209" s="1">
        <f>'[1]Forward Ranks'!S209</f>
        <v>0.15502183406113537</v>
      </c>
      <c r="I209" s="1">
        <f>'[1]Forward Ranks'!T209</f>
        <v>6.3318777292576414E-2</v>
      </c>
      <c r="J209" s="1">
        <f>'[1]Forward Ranks'!U209</f>
        <v>6.768558951965066E-2</v>
      </c>
      <c r="K209" s="1">
        <f>'[1]Forward Ranks'!V209</f>
        <v>4.5851528384279479E-2</v>
      </c>
      <c r="L209">
        <f>'[1]Forward Ranks'!X209</f>
        <v>0</v>
      </c>
      <c r="M209" s="1">
        <f>'[1]Forward Ranks'!AC209</f>
        <v>0.39737991266375544</v>
      </c>
      <c r="N209" s="1">
        <f>'[1]Forward Ranks'!AD209</f>
        <v>0.4759825327510917</v>
      </c>
      <c r="O209" s="1">
        <f>'[1]Forward Ranks'!AE209</f>
        <v>0.45851528384279477</v>
      </c>
      <c r="P209" s="1">
        <f>'[1]Forward Ranks'!AF209</f>
        <v>0.62008733624454149</v>
      </c>
      <c r="Q209">
        <f>'[1]Forward Ranks'!AH209</f>
        <v>0</v>
      </c>
      <c r="R209" s="1">
        <f>'[1]Forward Ranks'!AM209</f>
        <v>0.11572052401746726</v>
      </c>
      <c r="S209" s="1">
        <f>'[1]Forward Ranks'!AN209</f>
        <v>0.31222707423580787</v>
      </c>
      <c r="T209" s="1">
        <f>'[1]Forward Ranks'!AO209</f>
        <v>0.51310043668122274</v>
      </c>
      <c r="U209" s="1">
        <f>'[1]Forward Ranks'!AP209</f>
        <v>0.20087336244541484</v>
      </c>
      <c r="V209">
        <f>'[1]Forward Ranks'!AR209</f>
        <v>0</v>
      </c>
      <c r="W209" s="1">
        <f>'[1]Forward Ranks'!AW209</f>
        <v>0.2576419213973799</v>
      </c>
      <c r="X209" s="1">
        <f>'[1]Forward Ranks'!AX209</f>
        <v>0.32751091703056767</v>
      </c>
      <c r="Y209" s="1">
        <f>'[1]Forward Ranks'!AY209</f>
        <v>0.33406113537117904</v>
      </c>
      <c r="Z209" s="1">
        <f>'[1]Forward Ranks'!AZ209</f>
        <v>0.5873362445414847</v>
      </c>
      <c r="AA209">
        <f>'[1]Forward Ranks'!BB209</f>
        <v>0</v>
      </c>
      <c r="AB209" s="1">
        <f>'[1]Forward Ranks'!BG209</f>
        <v>0.54585152838427953</v>
      </c>
      <c r="AC209" s="1">
        <f>'[1]Forward Ranks'!BH209</f>
        <v>0.29694323144104806</v>
      </c>
      <c r="AD209" s="1">
        <f>'[1]Forward Ranks'!BI209</f>
        <v>0.54803493449781659</v>
      </c>
      <c r="AE209" s="1">
        <f>'[1]Forward Ranks'!BJ209</f>
        <v>0.52183406113537123</v>
      </c>
      <c r="AF209">
        <f>'[1]Forward Ranks'!BL209</f>
        <v>0</v>
      </c>
      <c r="AG209" s="1">
        <f>'[1]Forward Ranks'!BQ209</f>
        <v>0.30131004366812225</v>
      </c>
      <c r="AH209" s="1">
        <f>'[1]Forward Ranks'!BR209</f>
        <v>0.33624454148471616</v>
      </c>
      <c r="AI209" s="1">
        <f>'[1]Forward Ranks'!BS209</f>
        <v>0.37991266375545851</v>
      </c>
      <c r="AJ209" s="1">
        <f>'[1]Forward Ranks'!BT209</f>
        <v>0.34716157205240172</v>
      </c>
      <c r="AL209" s="2">
        <f>'[1]Forward Ranks'!BX209</f>
        <v>0.11790393013100436</v>
      </c>
      <c r="AN209" t="str">
        <f>'[1]Forward Ranks'!B209</f>
        <v>BUF, MIN</v>
      </c>
      <c r="AO209">
        <f>'[1]F on ice'!E209</f>
        <v>62</v>
      </c>
      <c r="AP209" s="2">
        <f>'[1]Impact Score Math'!E209</f>
        <v>0.22845691382765532</v>
      </c>
      <c r="AQ209">
        <f>'[1]Impact Score Math'!G209</f>
        <v>386</v>
      </c>
      <c r="AT209" s="1">
        <f>'[1]Forward Ranks'!CJ209</f>
        <v>0.33624454148471616</v>
      </c>
      <c r="AU209" s="1">
        <f>'[1]Forward Ranks'!CK209</f>
        <v>0.50655021834061131</v>
      </c>
    </row>
    <row r="210" spans="1:47" x14ac:dyDescent="0.3">
      <c r="A210" t="str">
        <f>'[1]Forward Ranks'!A210</f>
        <v>Jordan Kyrou</v>
      </c>
      <c r="B210">
        <f>'[1]Forward Ranks'!D210</f>
        <v>0</v>
      </c>
      <c r="C210" s="1">
        <f>'[1]Forward Ranks'!I210</f>
        <v>0.37554585152838427</v>
      </c>
      <c r="D210" s="1">
        <f>'[1]Forward Ranks'!J210</f>
        <v>0.16812227074235808</v>
      </c>
      <c r="E210" s="1">
        <f>'[1]Forward Ranks'!K210</f>
        <v>0.75764192139737996</v>
      </c>
      <c r="F210" s="1">
        <f>'[1]Forward Ranks'!L210</f>
        <v>0.27510917030567683</v>
      </c>
      <c r="G210">
        <f>'[1]Forward Ranks'!N210</f>
        <v>0</v>
      </c>
      <c r="H210" s="1">
        <f>'[1]Forward Ranks'!S210</f>
        <v>0.91048034934497812</v>
      </c>
      <c r="I210" s="1">
        <f>'[1]Forward Ranks'!T210</f>
        <v>0.6266375545851528</v>
      </c>
      <c r="J210" s="1">
        <f>'[1]Forward Ranks'!U210</f>
        <v>0.61790393013100442</v>
      </c>
      <c r="K210" s="1">
        <f>'[1]Forward Ranks'!V210</f>
        <v>0.85807860262008728</v>
      </c>
      <c r="L210">
        <f>'[1]Forward Ranks'!X210</f>
        <v>0</v>
      </c>
      <c r="M210" s="1">
        <f>'[1]Forward Ranks'!AC210</f>
        <v>0.18340611353711792</v>
      </c>
      <c r="N210" s="1">
        <f>'[1]Forward Ranks'!AD210</f>
        <v>0.12008733624454149</v>
      </c>
      <c r="O210" s="1">
        <f>'[1]Forward Ranks'!AE210</f>
        <v>1.3100436681222707E-2</v>
      </c>
      <c r="P210" s="1">
        <f>'[1]Forward Ranks'!AF210</f>
        <v>9.606986899563319E-2</v>
      </c>
      <c r="Q210">
        <f>'[1]Forward Ranks'!AH210</f>
        <v>0</v>
      </c>
      <c r="R210" s="1">
        <f>'[1]Forward Ranks'!AM210</f>
        <v>0.70087336244541487</v>
      </c>
      <c r="S210" s="1">
        <f>'[1]Forward Ranks'!AN210</f>
        <v>0.41921397379912662</v>
      </c>
      <c r="T210" s="1">
        <f>'[1]Forward Ranks'!AO210</f>
        <v>0.73362445414847166</v>
      </c>
      <c r="U210" s="1">
        <f>'[1]Forward Ranks'!AP210</f>
        <v>0.5240174672489083</v>
      </c>
      <c r="V210">
        <f>'[1]Forward Ranks'!AR210</f>
        <v>0</v>
      </c>
      <c r="W210" s="1">
        <f>'[1]Forward Ranks'!AW210</f>
        <v>0.28820960698689957</v>
      </c>
      <c r="X210" s="1">
        <f>'[1]Forward Ranks'!AX210</f>
        <v>8.5152838427947602E-2</v>
      </c>
      <c r="Y210" s="1">
        <f>'[1]Forward Ranks'!AY210</f>
        <v>2.1834061135371178E-3</v>
      </c>
      <c r="Z210" s="1">
        <f>'[1]Forward Ranks'!AZ210</f>
        <v>0.11572052401746726</v>
      </c>
      <c r="AA210">
        <f>'[1]Forward Ranks'!BB210</f>
        <v>0</v>
      </c>
      <c r="AB210" s="1">
        <f>'[1]Forward Ranks'!BG210</f>
        <v>0.8973799126637555</v>
      </c>
      <c r="AC210" s="1">
        <f>'[1]Forward Ranks'!BH210</f>
        <v>0.59606986899563319</v>
      </c>
      <c r="AD210" s="1">
        <f>'[1]Forward Ranks'!BI210</f>
        <v>0.8493449781659389</v>
      </c>
      <c r="AE210" s="1">
        <f>'[1]Forward Ranks'!BJ210</f>
        <v>0.23799126637554585</v>
      </c>
      <c r="AF210">
        <f>'[1]Forward Ranks'!BL210</f>
        <v>0</v>
      </c>
      <c r="AG210" s="1">
        <f>'[1]Forward Ranks'!BQ210</f>
        <v>0.25982532751091703</v>
      </c>
      <c r="AH210" s="1">
        <f>'[1]Forward Ranks'!BR210</f>
        <v>0.10262008733624454</v>
      </c>
      <c r="AI210" s="1">
        <f>'[1]Forward Ranks'!BS210</f>
        <v>0.24454148471615719</v>
      </c>
      <c r="AJ210" s="1">
        <f>'[1]Forward Ranks'!BT210</f>
        <v>0.12882096069868995</v>
      </c>
      <c r="AL210" s="2">
        <f>'[1]Forward Ranks'!BX210</f>
        <v>0.34716157205240172</v>
      </c>
      <c r="AN210" t="str">
        <f>'[1]Forward Ranks'!B210</f>
        <v>STL</v>
      </c>
      <c r="AO210">
        <f>'[1]F on ice'!E210</f>
        <v>79</v>
      </c>
      <c r="AP210" s="2">
        <f>'[1]Impact Score Math'!E210</f>
        <v>0.52505010020040077</v>
      </c>
      <c r="AQ210">
        <f>'[1]Impact Score Math'!G210</f>
        <v>238</v>
      </c>
      <c r="AT210" s="1">
        <f>'[1]Forward Ranks'!CJ210</f>
        <v>0.80786026200873362</v>
      </c>
      <c r="AU210" s="1">
        <f>'[1]Forward Ranks'!CK210</f>
        <v>0.24017467248908297</v>
      </c>
    </row>
    <row r="211" spans="1:47" x14ac:dyDescent="0.3">
      <c r="A211" t="str">
        <f>'[1]Forward Ranks'!A211</f>
        <v>Jordan Martinook</v>
      </c>
      <c r="B211">
        <f>'[1]Forward Ranks'!D211</f>
        <v>0</v>
      </c>
      <c r="C211" s="1">
        <f>'[1]Forward Ranks'!I211</f>
        <v>0.91921397379912662</v>
      </c>
      <c r="D211" s="1">
        <f>'[1]Forward Ranks'!J211</f>
        <v>0.91921397379912662</v>
      </c>
      <c r="E211" s="1">
        <f>'[1]Forward Ranks'!K211</f>
        <v>0.66812227074235808</v>
      </c>
      <c r="F211" s="1">
        <f>'[1]Forward Ranks'!L211</f>
        <v>0.87554585152838427</v>
      </c>
      <c r="G211">
        <f>'[1]Forward Ranks'!N211</f>
        <v>0</v>
      </c>
      <c r="H211" s="1">
        <f>'[1]Forward Ranks'!S211</f>
        <v>0.4126637554585153</v>
      </c>
      <c r="I211" s="1">
        <f>'[1]Forward Ranks'!T211</f>
        <v>0.65938864628820959</v>
      </c>
      <c r="J211" s="1">
        <f>'[1]Forward Ranks'!U211</f>
        <v>0.76419213973799127</v>
      </c>
      <c r="K211" s="1">
        <f>'[1]Forward Ranks'!V211</f>
        <v>0.57641921397379914</v>
      </c>
      <c r="L211">
        <f>'[1]Forward Ranks'!X211</f>
        <v>0</v>
      </c>
      <c r="M211" s="1">
        <f>'[1]Forward Ranks'!AC211</f>
        <v>0.98689956331877726</v>
      </c>
      <c r="N211" s="1">
        <f>'[1]Forward Ranks'!AD211</f>
        <v>0.90611353711790388</v>
      </c>
      <c r="O211" s="1">
        <f>'[1]Forward Ranks'!AE211</f>
        <v>0.56768558951965065</v>
      </c>
      <c r="P211" s="1">
        <f>'[1]Forward Ranks'!AF211</f>
        <v>0.9606986899563319</v>
      </c>
      <c r="Q211">
        <f>'[1]Forward Ranks'!AH211</f>
        <v>0</v>
      </c>
      <c r="R211" s="1">
        <f>'[1]Forward Ranks'!AM211</f>
        <v>0.43886462882096072</v>
      </c>
      <c r="S211" s="1">
        <f>'[1]Forward Ranks'!AN211</f>
        <v>0.72707423580786024</v>
      </c>
      <c r="T211" s="1">
        <f>'[1]Forward Ranks'!AO211</f>
        <v>0.63973799126637554</v>
      </c>
      <c r="U211" s="1">
        <f>'[1]Forward Ranks'!AP211</f>
        <v>0.51528384279475981</v>
      </c>
      <c r="V211">
        <f>'[1]Forward Ranks'!AR211</f>
        <v>0</v>
      </c>
      <c r="W211" s="1">
        <f>'[1]Forward Ranks'!AW211</f>
        <v>0.68340611353711789</v>
      </c>
      <c r="X211" s="1">
        <f>'[1]Forward Ranks'!AX211</f>
        <v>0.62445414847161573</v>
      </c>
      <c r="Y211" s="1">
        <f>'[1]Forward Ranks'!AY211</f>
        <v>0.18995633187772926</v>
      </c>
      <c r="Z211" s="1">
        <f>'[1]Forward Ranks'!AZ211</f>
        <v>0.4366812227074236</v>
      </c>
      <c r="AA211">
        <f>'[1]Forward Ranks'!BB211</f>
        <v>0</v>
      </c>
      <c r="AB211" s="1">
        <f>'[1]Forward Ranks'!BG211</f>
        <v>0.72270742358078599</v>
      </c>
      <c r="AC211" s="1">
        <f>'[1]Forward Ranks'!BH211</f>
        <v>0.55676855895196509</v>
      </c>
      <c r="AD211" s="1">
        <f>'[1]Forward Ranks'!BI211</f>
        <v>0.55021834061135366</v>
      </c>
      <c r="AE211" s="1">
        <f>'[1]Forward Ranks'!BJ211</f>
        <v>0.29039301310043669</v>
      </c>
      <c r="AF211">
        <f>'[1]Forward Ranks'!BL211</f>
        <v>0</v>
      </c>
      <c r="AG211" s="1">
        <f>'[1]Forward Ranks'!BQ211</f>
        <v>0.98689956331877726</v>
      </c>
      <c r="AH211" s="1">
        <f>'[1]Forward Ranks'!BR211</f>
        <v>0.97379912663755464</v>
      </c>
      <c r="AI211" s="1">
        <f>'[1]Forward Ranks'!BS211</f>
        <v>0.65938864628820959</v>
      </c>
      <c r="AJ211" s="1">
        <f>'[1]Forward Ranks'!BT211</f>
        <v>0.96943231441048039</v>
      </c>
      <c r="AL211" s="2">
        <f>'[1]Forward Ranks'!BX211</f>
        <v>0.89956331877729256</v>
      </c>
      <c r="AN211" t="str">
        <f>'[1]Forward Ranks'!B211</f>
        <v>CAR</v>
      </c>
      <c r="AO211">
        <f>'[1]F on ice'!E211</f>
        <v>82</v>
      </c>
      <c r="AP211" s="2">
        <f>'[1]Impact Score Math'!E211</f>
        <v>0.905811623246493</v>
      </c>
      <c r="AQ211">
        <f>'[1]Impact Score Math'!G211</f>
        <v>48</v>
      </c>
      <c r="AT211" s="1">
        <f>'[1]Forward Ranks'!CJ211</f>
        <v>0.11135371179039301</v>
      </c>
      <c r="AU211" s="1">
        <f>'[1]Forward Ranks'!CK211</f>
        <v>0.61790393013100442</v>
      </c>
    </row>
    <row r="212" spans="1:47" x14ac:dyDescent="0.3">
      <c r="A212" t="str">
        <f>'[1]Forward Ranks'!A212</f>
        <v>Jordan Staal</v>
      </c>
      <c r="B212">
        <f>'[1]Forward Ranks'!D212</f>
        <v>0</v>
      </c>
      <c r="C212" s="1">
        <f>'[1]Forward Ranks'!I212</f>
        <v>0.84497816593886466</v>
      </c>
      <c r="D212" s="1">
        <f>'[1]Forward Ranks'!J212</f>
        <v>0.83187772925764192</v>
      </c>
      <c r="E212" s="1">
        <f>'[1]Forward Ranks'!K212</f>
        <v>0.54148471615720528</v>
      </c>
      <c r="F212" s="1">
        <f>'[1]Forward Ranks'!L212</f>
        <v>0.75545851528384278</v>
      </c>
      <c r="G212">
        <f>'[1]Forward Ranks'!N212</f>
        <v>0</v>
      </c>
      <c r="H212" s="1">
        <f>'[1]Forward Ranks'!S212</f>
        <v>0.72707423580786024</v>
      </c>
      <c r="I212" s="1">
        <f>'[1]Forward Ranks'!T212</f>
        <v>0.49563318777292575</v>
      </c>
      <c r="J212" s="1">
        <f>'[1]Forward Ranks'!U212</f>
        <v>0.21615720524017468</v>
      </c>
      <c r="K212" s="1">
        <f>'[1]Forward Ranks'!V212</f>
        <v>0.611353711790393</v>
      </c>
      <c r="L212">
        <f>'[1]Forward Ranks'!X212</f>
        <v>0</v>
      </c>
      <c r="M212" s="1">
        <f>'[1]Forward Ranks'!AC212</f>
        <v>0.99344978165938869</v>
      </c>
      <c r="N212" s="1">
        <f>'[1]Forward Ranks'!AD212</f>
        <v>0.93449781659388642</v>
      </c>
      <c r="O212" s="1">
        <f>'[1]Forward Ranks'!AE212</f>
        <v>0.76419213973799127</v>
      </c>
      <c r="P212" s="1">
        <f>'[1]Forward Ranks'!AF212</f>
        <v>0.97816593886462877</v>
      </c>
      <c r="Q212">
        <f>'[1]Forward Ranks'!AH212</f>
        <v>0</v>
      </c>
      <c r="R212" s="1">
        <f>'[1]Forward Ranks'!AM212</f>
        <v>0.15283842794759825</v>
      </c>
      <c r="S212" s="1">
        <f>'[1]Forward Ranks'!AN212</f>
        <v>0.41921397379912662</v>
      </c>
      <c r="T212" s="1">
        <f>'[1]Forward Ranks'!AO212</f>
        <v>0.50218340611353707</v>
      </c>
      <c r="U212" s="1">
        <f>'[1]Forward Ranks'!AP212</f>
        <v>0.20305676855895197</v>
      </c>
      <c r="V212">
        <f>'[1]Forward Ranks'!AR212</f>
        <v>0</v>
      </c>
      <c r="W212" s="1">
        <f>'[1]Forward Ranks'!AW212</f>
        <v>0.86899563318777295</v>
      </c>
      <c r="X212" s="1">
        <f>'[1]Forward Ranks'!AX212</f>
        <v>0.68995633187772931</v>
      </c>
      <c r="Y212" s="1">
        <f>'[1]Forward Ranks'!AY212</f>
        <v>0.48908296943231439</v>
      </c>
      <c r="Z212" s="1">
        <f>'[1]Forward Ranks'!AZ212</f>
        <v>0.60917030567685593</v>
      </c>
      <c r="AA212">
        <f>'[1]Forward Ranks'!BB212</f>
        <v>0</v>
      </c>
      <c r="AB212" s="1">
        <f>'[1]Forward Ranks'!BG212</f>
        <v>0.63973799126637554</v>
      </c>
      <c r="AC212" s="1">
        <f>'[1]Forward Ranks'!BH212</f>
        <v>0.50436681222707425</v>
      </c>
      <c r="AD212" s="1">
        <f>'[1]Forward Ranks'!BI212</f>
        <v>0.46506550218340609</v>
      </c>
      <c r="AE212" s="1">
        <f>'[1]Forward Ranks'!BJ212</f>
        <v>0.31877729257641924</v>
      </c>
      <c r="AF212">
        <f>'[1]Forward Ranks'!BL212</f>
        <v>0</v>
      </c>
      <c r="AG212" s="1">
        <f>'[1]Forward Ranks'!BQ212</f>
        <v>0.98253275109170302</v>
      </c>
      <c r="AH212" s="1">
        <f>'[1]Forward Ranks'!BR212</f>
        <v>0.94104803493449785</v>
      </c>
      <c r="AI212" s="1">
        <f>'[1]Forward Ranks'!BS212</f>
        <v>0.73144104803493448</v>
      </c>
      <c r="AJ212" s="1">
        <f>'[1]Forward Ranks'!BT212</f>
        <v>0.94978165938864634</v>
      </c>
      <c r="AL212" s="2">
        <f>'[1]Forward Ranks'!BX212</f>
        <v>0.87991266375545851</v>
      </c>
      <c r="AN212" t="str">
        <f>'[1]Forward Ranks'!B212</f>
        <v>CAR</v>
      </c>
      <c r="AO212">
        <f>'[1]F on ice'!E212</f>
        <v>81</v>
      </c>
      <c r="AP212" s="2">
        <f>'[1]Impact Score Math'!E212</f>
        <v>0.86773547094188375</v>
      </c>
      <c r="AQ212">
        <f>'[1]Impact Score Math'!G212</f>
        <v>67</v>
      </c>
      <c r="AT212" s="1">
        <f>'[1]Forward Ranks'!CJ212</f>
        <v>0.53493449781659386</v>
      </c>
      <c r="AU212" s="1">
        <f>'[1]Forward Ranks'!CK212</f>
        <v>0.18777292576419213</v>
      </c>
    </row>
    <row r="213" spans="1:47" x14ac:dyDescent="0.3">
      <c r="A213" t="str">
        <f>'[1]Forward Ranks'!A213</f>
        <v>Josh Anderson</v>
      </c>
      <c r="B213">
        <f>'[1]Forward Ranks'!D213</f>
        <v>0</v>
      </c>
      <c r="C213" s="1">
        <f>'[1]Forward Ranks'!I213</f>
        <v>0.28820960698689957</v>
      </c>
      <c r="D213" s="1">
        <f>'[1]Forward Ranks'!J213</f>
        <v>0.61790393013100442</v>
      </c>
      <c r="E213" s="1">
        <f>'[1]Forward Ranks'!K213</f>
        <v>0.79694323144104806</v>
      </c>
      <c r="F213" s="1">
        <f>'[1]Forward Ranks'!L213</f>
        <v>0.61353711790393017</v>
      </c>
      <c r="G213">
        <f>'[1]Forward Ranks'!N213</f>
        <v>0</v>
      </c>
      <c r="H213" s="1">
        <f>'[1]Forward Ranks'!S213</f>
        <v>0.80786026200873362</v>
      </c>
      <c r="I213" s="1">
        <f>'[1]Forward Ranks'!T213</f>
        <v>0.21615720524017468</v>
      </c>
      <c r="J213" s="1">
        <f>'[1]Forward Ranks'!U213</f>
        <v>0.38646288209606988</v>
      </c>
      <c r="K213" s="1">
        <f>'[1]Forward Ranks'!V213</f>
        <v>0.51310043668122274</v>
      </c>
      <c r="L213">
        <f>'[1]Forward Ranks'!X213</f>
        <v>0</v>
      </c>
      <c r="M213" s="1">
        <f>'[1]Forward Ranks'!AC213</f>
        <v>6.768558951965066E-2</v>
      </c>
      <c r="N213" s="1">
        <f>'[1]Forward Ranks'!AD213</f>
        <v>2.8384279475982533E-2</v>
      </c>
      <c r="O213" s="1">
        <f>'[1]Forward Ranks'!AE213</f>
        <v>0.12445414847161572</v>
      </c>
      <c r="P213" s="1">
        <f>'[1]Forward Ranks'!AF213</f>
        <v>1.7467248908296942E-2</v>
      </c>
      <c r="Q213">
        <f>'[1]Forward Ranks'!AH213</f>
        <v>0</v>
      </c>
      <c r="R213" s="1">
        <f>'[1]Forward Ranks'!AM213</f>
        <v>0.67903930131004364</v>
      </c>
      <c r="S213" s="1">
        <f>'[1]Forward Ranks'!AN213</f>
        <v>0.91921397379912662</v>
      </c>
      <c r="T213" s="1">
        <f>'[1]Forward Ranks'!AO213</f>
        <v>0.85807860262008728</v>
      </c>
      <c r="U213" s="1">
        <f>'[1]Forward Ranks'!AP213</f>
        <v>0.90611353711790388</v>
      </c>
      <c r="V213">
        <f>'[1]Forward Ranks'!AR213</f>
        <v>0</v>
      </c>
      <c r="W213" s="1">
        <f>'[1]Forward Ranks'!AW213</f>
        <v>4.148471615720524E-2</v>
      </c>
      <c r="X213" s="1">
        <f>'[1]Forward Ranks'!AX213</f>
        <v>5.2401746724890827E-2</v>
      </c>
      <c r="Y213" s="1">
        <f>'[1]Forward Ranks'!AY213</f>
        <v>0.20742358078602621</v>
      </c>
      <c r="Z213" s="1">
        <f>'[1]Forward Ranks'!AZ213</f>
        <v>1.7467248908296942E-2</v>
      </c>
      <c r="AA213">
        <f>'[1]Forward Ranks'!BB213</f>
        <v>0</v>
      </c>
      <c r="AB213" s="1">
        <f>'[1]Forward Ranks'!BG213</f>
        <v>0.73799126637554591</v>
      </c>
      <c r="AC213" s="1">
        <f>'[1]Forward Ranks'!BH213</f>
        <v>0.42139737991266374</v>
      </c>
      <c r="AD213" s="1">
        <f>'[1]Forward Ranks'!BI213</f>
        <v>0.92139737991266379</v>
      </c>
      <c r="AE213" s="1">
        <f>'[1]Forward Ranks'!BJ213</f>
        <v>0.78820960698689957</v>
      </c>
      <c r="AF213">
        <f>'[1]Forward Ranks'!BL213</f>
        <v>0</v>
      </c>
      <c r="AG213" s="1">
        <f>'[1]Forward Ranks'!BQ213</f>
        <v>0.11135371179039301</v>
      </c>
      <c r="AH213" s="1">
        <f>'[1]Forward Ranks'!BR213</f>
        <v>0.21615720524017468</v>
      </c>
      <c r="AI213" s="1">
        <f>'[1]Forward Ranks'!BS213</f>
        <v>0.42576419213973798</v>
      </c>
      <c r="AJ213" s="1">
        <f>'[1]Forward Ranks'!BT213</f>
        <v>0.15720524017467249</v>
      </c>
      <c r="AL213" s="2">
        <f>'[1]Forward Ranks'!BX213</f>
        <v>0.25109170305676853</v>
      </c>
      <c r="AN213" t="str">
        <f>'[1]Forward Ranks'!B213</f>
        <v>MTL</v>
      </c>
      <c r="AO213">
        <f>'[1]F on ice'!E213</f>
        <v>69</v>
      </c>
      <c r="AP213" s="2">
        <f>'[1]Impact Score Math'!E213</f>
        <v>0.41282565130260523</v>
      </c>
      <c r="AQ213">
        <f>'[1]Impact Score Math'!G213</f>
        <v>294</v>
      </c>
      <c r="AT213" s="1">
        <f>'[1]Forward Ranks'!CJ213</f>
        <v>0.1331877729257642</v>
      </c>
      <c r="AU213" s="1">
        <f>'[1]Forward Ranks'!CK213</f>
        <v>0.5873362445414847</v>
      </c>
    </row>
    <row r="214" spans="1:47" x14ac:dyDescent="0.3">
      <c r="A214" t="str">
        <f>'[1]Forward Ranks'!A214</f>
        <v>Josh Archibald</v>
      </c>
      <c r="B214">
        <f>'[1]Forward Ranks'!D214</f>
        <v>0</v>
      </c>
      <c r="C214" s="1">
        <f>'[1]Forward Ranks'!I214</f>
        <v>0.63537117903930129</v>
      </c>
      <c r="D214" s="1">
        <f>'[1]Forward Ranks'!J214</f>
        <v>0.65720524017467252</v>
      </c>
      <c r="E214" s="1">
        <f>'[1]Forward Ranks'!K214</f>
        <v>0.4759825327510917</v>
      </c>
      <c r="F214" s="1">
        <f>'[1]Forward Ranks'!L214</f>
        <v>0.58296943231441045</v>
      </c>
      <c r="G214">
        <f>'[1]Forward Ranks'!N214</f>
        <v>0</v>
      </c>
      <c r="H214" s="1">
        <f>'[1]Forward Ranks'!S214</f>
        <v>0.37991266375545851</v>
      </c>
      <c r="I214" s="1">
        <f>'[1]Forward Ranks'!T214</f>
        <v>0.27074235807860264</v>
      </c>
      <c r="J214" s="1">
        <f>'[1]Forward Ranks'!U214</f>
        <v>0.12445414847161572</v>
      </c>
      <c r="K214" s="1">
        <f>'[1]Forward Ranks'!V214</f>
        <v>0.26637554585152839</v>
      </c>
      <c r="L214">
        <f>'[1]Forward Ranks'!X214</f>
        <v>0</v>
      </c>
      <c r="M214" s="1">
        <f>'[1]Forward Ranks'!AC214</f>
        <v>0.82969432314410485</v>
      </c>
      <c r="N214" s="1">
        <f>'[1]Forward Ranks'!AD214</f>
        <v>0.99344978165938869</v>
      </c>
      <c r="O214" s="1">
        <f>'[1]Forward Ranks'!AE214</f>
        <v>0.87554585152838427</v>
      </c>
      <c r="P214" s="1">
        <f>'[1]Forward Ranks'!AF214</f>
        <v>0.98471615720524019</v>
      </c>
      <c r="Q214">
        <f>'[1]Forward Ranks'!AH214</f>
        <v>0</v>
      </c>
      <c r="R214" s="1">
        <f>'[1]Forward Ranks'!AM214</f>
        <v>0.14410480349344978</v>
      </c>
      <c r="S214" s="1">
        <f>'[1]Forward Ranks'!AN214</f>
        <v>0.15065502183406113</v>
      </c>
      <c r="T214" s="1">
        <f>'[1]Forward Ranks'!AO214</f>
        <v>0.39519650655021832</v>
      </c>
      <c r="U214" s="1">
        <f>'[1]Forward Ranks'!AP214</f>
        <v>9.8253275109170299E-2</v>
      </c>
      <c r="V214">
        <f>'[1]Forward Ranks'!AR214</f>
        <v>0</v>
      </c>
      <c r="W214" s="1">
        <f>'[1]Forward Ranks'!AW214</f>
        <v>0.91703056768558955</v>
      </c>
      <c r="X214" s="1">
        <f>'[1]Forward Ranks'!AX214</f>
        <v>0.99126637554585151</v>
      </c>
      <c r="Y214" s="1">
        <f>'[1]Forward Ranks'!AY214</f>
        <v>0.90829694323144106</v>
      </c>
      <c r="Z214" s="1">
        <f>'[1]Forward Ranks'!AZ214</f>
        <v>0.98908296943231444</v>
      </c>
      <c r="AA214">
        <f>'[1]Forward Ranks'!BB214</f>
        <v>0</v>
      </c>
      <c r="AB214" s="1">
        <f>'[1]Forward Ranks'!BG214</f>
        <v>1.0917030567685589E-2</v>
      </c>
      <c r="AC214" s="1">
        <f>'[1]Forward Ranks'!BH214</f>
        <v>6.1135371179039298E-2</v>
      </c>
      <c r="AD214" s="1">
        <f>'[1]Forward Ranks'!BI214</f>
        <v>0.46288209606986902</v>
      </c>
      <c r="AE214" s="1">
        <f>'[1]Forward Ranks'!BJ214</f>
        <v>0.74672489082969429</v>
      </c>
      <c r="AF214">
        <f>'[1]Forward Ranks'!BL214</f>
        <v>0</v>
      </c>
      <c r="AG214" s="1">
        <f>'[1]Forward Ranks'!BQ214</f>
        <v>0.77292576419213976</v>
      </c>
      <c r="AH214" s="1">
        <f>'[1]Forward Ranks'!BR214</f>
        <v>0.94978165938864634</v>
      </c>
      <c r="AI214" s="1">
        <f>'[1]Forward Ranks'!BS214</f>
        <v>0.80349344978165937</v>
      </c>
      <c r="AJ214" s="1">
        <f>'[1]Forward Ranks'!BT214</f>
        <v>0.92139737991266379</v>
      </c>
      <c r="AL214" s="2">
        <f>'[1]Forward Ranks'!BX214</f>
        <v>0.70524017467248912</v>
      </c>
      <c r="AN214" t="str">
        <f>'[1]Forward Ranks'!B214</f>
        <v>PIT</v>
      </c>
      <c r="AO214">
        <f>'[1]F on ice'!E214</f>
        <v>62</v>
      </c>
      <c r="AP214" s="2">
        <f>'[1]Impact Score Math'!E214</f>
        <v>0.44288577154308617</v>
      </c>
      <c r="AQ214">
        <f>'[1]Impact Score Math'!G214</f>
        <v>279</v>
      </c>
      <c r="AT214" s="1">
        <f>'[1]Forward Ranks'!CJ214</f>
        <v>7.2052401746724892E-2</v>
      </c>
      <c r="AU214" s="1">
        <f>'[1]Forward Ranks'!CK214</f>
        <v>0.97816593886462877</v>
      </c>
    </row>
    <row r="215" spans="1:47" x14ac:dyDescent="0.3">
      <c r="A215" t="str">
        <f>'[1]Forward Ranks'!A215</f>
        <v>Josh Bailey</v>
      </c>
      <c r="B215">
        <f>'[1]Forward Ranks'!D215</f>
        <v>0</v>
      </c>
      <c r="C215" s="1">
        <f>'[1]Forward Ranks'!I215</f>
        <v>0.50436681222707425</v>
      </c>
      <c r="D215" s="1">
        <f>'[1]Forward Ranks'!J215</f>
        <v>0.42794759825327511</v>
      </c>
      <c r="E215" s="1">
        <f>'[1]Forward Ranks'!K215</f>
        <v>0.61353711790393017</v>
      </c>
      <c r="F215" s="1">
        <f>'[1]Forward Ranks'!L215</f>
        <v>0.4126637554585153</v>
      </c>
      <c r="G215">
        <f>'[1]Forward Ranks'!N215</f>
        <v>0</v>
      </c>
      <c r="H215" s="1">
        <f>'[1]Forward Ranks'!S215</f>
        <v>0.42358078602620086</v>
      </c>
      <c r="I215" s="1">
        <f>'[1]Forward Ranks'!T215</f>
        <v>0.5873362445414847</v>
      </c>
      <c r="J215" s="1">
        <f>'[1]Forward Ranks'!U215</f>
        <v>0.58078602620087338</v>
      </c>
      <c r="K215" s="1">
        <f>'[1]Forward Ranks'!V215</f>
        <v>0.51310043668122274</v>
      </c>
      <c r="L215">
        <f>'[1]Forward Ranks'!X215</f>
        <v>0</v>
      </c>
      <c r="M215" s="1">
        <f>'[1]Forward Ranks'!AC215</f>
        <v>0.12882096069868995</v>
      </c>
      <c r="N215" s="1">
        <f>'[1]Forward Ranks'!AD215</f>
        <v>5.0218340611353711E-2</v>
      </c>
      <c r="O215" s="1">
        <f>'[1]Forward Ranks'!AE215</f>
        <v>0.67903930131004364</v>
      </c>
      <c r="P215" s="1">
        <f>'[1]Forward Ranks'!AF215</f>
        <v>7.8602620087336247E-2</v>
      </c>
      <c r="Q215">
        <f>'[1]Forward Ranks'!AH215</f>
        <v>0</v>
      </c>
      <c r="R215" s="1">
        <f>'[1]Forward Ranks'!AM215</f>
        <v>0.48471615720524019</v>
      </c>
      <c r="S215" s="1">
        <f>'[1]Forward Ranks'!AN215</f>
        <v>0.14628820960698691</v>
      </c>
      <c r="T215" s="1">
        <f>'[1]Forward Ranks'!AO215</f>
        <v>0.64847161572052403</v>
      </c>
      <c r="U215" s="1">
        <f>'[1]Forward Ranks'!AP215</f>
        <v>0.33624454148471616</v>
      </c>
      <c r="V215">
        <f>'[1]Forward Ranks'!AR215</f>
        <v>0</v>
      </c>
      <c r="W215" s="1">
        <f>'[1]Forward Ranks'!AW215</f>
        <v>0.11135371179039301</v>
      </c>
      <c r="X215" s="1">
        <f>'[1]Forward Ranks'!AX215</f>
        <v>5.0218340611353711E-2</v>
      </c>
      <c r="Y215" s="1">
        <f>'[1]Forward Ranks'!AY215</f>
        <v>0.34716157205240172</v>
      </c>
      <c r="Z215" s="1">
        <f>'[1]Forward Ranks'!AZ215</f>
        <v>3.9301310043668124E-2</v>
      </c>
      <c r="AA215">
        <f>'[1]Forward Ranks'!BB215</f>
        <v>0</v>
      </c>
      <c r="AB215" s="1">
        <f>'[1]Forward Ranks'!BG215</f>
        <v>0.4759825327510917</v>
      </c>
      <c r="AC215" s="1">
        <f>'[1]Forward Ranks'!BH215</f>
        <v>0.86026200873362446</v>
      </c>
      <c r="AD215" s="1">
        <f>'[1]Forward Ranks'!BI215</f>
        <v>0.65502183406113534</v>
      </c>
      <c r="AE215" s="1">
        <f>'[1]Forward Ranks'!BJ215</f>
        <v>0.78820960698689957</v>
      </c>
      <c r="AF215">
        <f>'[1]Forward Ranks'!BL215</f>
        <v>0</v>
      </c>
      <c r="AG215" s="1">
        <f>'[1]Forward Ranks'!BQ215</f>
        <v>0.27074235807860264</v>
      </c>
      <c r="AH215" s="1">
        <f>'[1]Forward Ranks'!BR215</f>
        <v>0.17903930131004367</v>
      </c>
      <c r="AI215" s="1">
        <f>'[1]Forward Ranks'!BS215</f>
        <v>0.70524017467248912</v>
      </c>
      <c r="AJ215" s="1">
        <f>'[1]Forward Ranks'!BT215</f>
        <v>0.18777292576419213</v>
      </c>
      <c r="AL215" s="2">
        <f>'[1]Forward Ranks'!BX215</f>
        <v>0.17467248908296942</v>
      </c>
      <c r="AN215" t="str">
        <f>'[1]Forward Ranks'!B215</f>
        <v>NYI</v>
      </c>
      <c r="AO215">
        <f>'[1]F on ice'!E215</f>
        <v>64</v>
      </c>
      <c r="AP215" s="2">
        <f>'[1]Impact Score Math'!E215</f>
        <v>0.27855711422845691</v>
      </c>
      <c r="AQ215">
        <f>'[1]Impact Score Math'!G215</f>
        <v>361</v>
      </c>
      <c r="AT215" s="1">
        <f>'[1]Forward Ranks'!CJ215</f>
        <v>0.98253275109170302</v>
      </c>
      <c r="AU215" s="1">
        <f>'[1]Forward Ranks'!CK215</f>
        <v>1.9650655021834062E-2</v>
      </c>
    </row>
    <row r="216" spans="1:47" x14ac:dyDescent="0.3">
      <c r="A216" t="str">
        <f>'[1]Forward Ranks'!A216</f>
        <v>Josh Leivo</v>
      </c>
      <c r="B216">
        <f>'[1]Forward Ranks'!D216</f>
        <v>0</v>
      </c>
      <c r="C216" s="1">
        <f>'[1]Forward Ranks'!I216</f>
        <v>0.34279475982532753</v>
      </c>
      <c r="D216" s="1">
        <f>'[1]Forward Ranks'!J216</f>
        <v>0.60917030567685593</v>
      </c>
      <c r="E216" s="1">
        <f>'[1]Forward Ranks'!K216</f>
        <v>0.69868995633187769</v>
      </c>
      <c r="F216" s="1">
        <f>'[1]Forward Ranks'!L216</f>
        <v>0.53493449781659386</v>
      </c>
      <c r="G216">
        <f>'[1]Forward Ranks'!N216</f>
        <v>0</v>
      </c>
      <c r="H216" s="1">
        <f>'[1]Forward Ranks'!S216</f>
        <v>0.18340611353711792</v>
      </c>
      <c r="I216" s="1">
        <f>'[1]Forward Ranks'!T216</f>
        <v>0.78602620087336239</v>
      </c>
      <c r="J216" s="1">
        <f>'[1]Forward Ranks'!U216</f>
        <v>0.90611353711790388</v>
      </c>
      <c r="K216" s="1">
        <f>'[1]Forward Ranks'!V216</f>
        <v>0.55240174672489084</v>
      </c>
      <c r="L216">
        <f>'[1]Forward Ranks'!X216</f>
        <v>0</v>
      </c>
      <c r="M216" s="1">
        <f>'[1]Forward Ranks'!AC216</f>
        <v>0.86681222707423577</v>
      </c>
      <c r="N216" s="1">
        <f>'[1]Forward Ranks'!AD216</f>
        <v>0.72707423580786024</v>
      </c>
      <c r="O216" s="1">
        <f>'[1]Forward Ranks'!AE216</f>
        <v>0.35371179039301309</v>
      </c>
      <c r="P216" s="1">
        <f>'[1]Forward Ranks'!AF216</f>
        <v>0.77947598253275108</v>
      </c>
      <c r="Q216">
        <f>'[1]Forward Ranks'!AH216</f>
        <v>0</v>
      </c>
      <c r="R216" s="1">
        <f>'[1]Forward Ranks'!AM216</f>
        <v>0.75109170305676853</v>
      </c>
      <c r="S216" s="1">
        <f>'[1]Forward Ranks'!AN216</f>
        <v>0.89082969432314407</v>
      </c>
      <c r="T216" s="1">
        <f>'[1]Forward Ranks'!AO216</f>
        <v>0.58515283842794763</v>
      </c>
      <c r="U216" s="1">
        <f>'[1]Forward Ranks'!AP216</f>
        <v>0.83187772925764192</v>
      </c>
      <c r="V216">
        <f>'[1]Forward Ranks'!AR216</f>
        <v>0</v>
      </c>
      <c r="W216" s="1">
        <f>'[1]Forward Ranks'!AW216</f>
        <v>0.99563318777292575</v>
      </c>
      <c r="X216" s="1">
        <f>'[1]Forward Ranks'!AX216</f>
        <v>0.98253275109170302</v>
      </c>
      <c r="Y216" s="1">
        <f>'[1]Forward Ranks'!AY216</f>
        <v>0.4366812227074236</v>
      </c>
      <c r="Z216" s="1">
        <f>'[1]Forward Ranks'!AZ216</f>
        <v>0.99563318777292575</v>
      </c>
      <c r="AA216">
        <f>'[1]Forward Ranks'!BB216</f>
        <v>0</v>
      </c>
      <c r="AB216" s="1">
        <f>'[1]Forward Ranks'!BG216</f>
        <v>0.30349344978165937</v>
      </c>
      <c r="AC216" s="1">
        <f>'[1]Forward Ranks'!BH216</f>
        <v>0.18777292576419213</v>
      </c>
      <c r="AD216" s="1">
        <f>'[1]Forward Ranks'!BI216</f>
        <v>0.79912663755458513</v>
      </c>
      <c r="AE216" s="1">
        <f>'[1]Forward Ranks'!BJ216</f>
        <v>0.52183406113537123</v>
      </c>
      <c r="AF216">
        <f>'[1]Forward Ranks'!BL216</f>
        <v>0</v>
      </c>
      <c r="AG216" s="1">
        <f>'[1]Forward Ranks'!BQ216</f>
        <v>0.59825327510917026</v>
      </c>
      <c r="AH216" s="1">
        <f>'[1]Forward Ranks'!BR216</f>
        <v>0.68995633187772931</v>
      </c>
      <c r="AI216" s="1">
        <f>'[1]Forward Ranks'!BS216</f>
        <v>0.54803493449781659</v>
      </c>
      <c r="AJ216" s="1">
        <f>'[1]Forward Ranks'!BT216</f>
        <v>0.71615720524017468</v>
      </c>
      <c r="AL216" s="2">
        <f>'[1]Forward Ranks'!BX216</f>
        <v>0.81659388646288211</v>
      </c>
      <c r="AN216" t="str">
        <f>'[1]Forward Ranks'!B216</f>
        <v>STL</v>
      </c>
      <c r="AO216">
        <f>'[1]F on ice'!E216</f>
        <v>51</v>
      </c>
      <c r="AP216" s="2">
        <f>'[1]Impact Score Math'!E216</f>
        <v>0.70541082164328661</v>
      </c>
      <c r="AQ216">
        <f>'[1]Impact Score Math'!G216</f>
        <v>148</v>
      </c>
      <c r="AT216" s="1">
        <f>'[1]Forward Ranks'!CJ216</f>
        <v>0.48689956331877732</v>
      </c>
      <c r="AU216" s="1">
        <f>'[1]Forward Ranks'!CK216</f>
        <v>0.5</v>
      </c>
    </row>
    <row r="217" spans="1:47" x14ac:dyDescent="0.3">
      <c r="A217" t="str">
        <f>'[1]Forward Ranks'!A217</f>
        <v>Jujhar Khaira</v>
      </c>
      <c r="B217">
        <f>'[1]Forward Ranks'!D217</f>
        <v>0</v>
      </c>
      <c r="C217" s="1">
        <f>'[1]Forward Ranks'!I217</f>
        <v>0.10480349344978165</v>
      </c>
      <c r="D217" s="1">
        <f>'[1]Forward Ranks'!J217</f>
        <v>0.1222707423580786</v>
      </c>
      <c r="E217" s="1">
        <f>'[1]Forward Ranks'!K217</f>
        <v>0.10480349344978165</v>
      </c>
      <c r="F217" s="1">
        <f>'[1]Forward Ranks'!L217</f>
        <v>8.5152838427947602E-2</v>
      </c>
      <c r="G217">
        <f>'[1]Forward Ranks'!N217</f>
        <v>0</v>
      </c>
      <c r="H217" s="1">
        <f>'[1]Forward Ranks'!S217</f>
        <v>0.18340611353711792</v>
      </c>
      <c r="I217" s="1">
        <f>'[1]Forward Ranks'!T217</f>
        <v>0.13100436681222707</v>
      </c>
      <c r="J217" s="1">
        <f>'[1]Forward Ranks'!U217</f>
        <v>9.606986899563319E-2</v>
      </c>
      <c r="K217" s="1">
        <f>'[1]Forward Ranks'!V217</f>
        <v>7.6419213973799124E-2</v>
      </c>
      <c r="L217">
        <f>'[1]Forward Ranks'!X217</f>
        <v>0</v>
      </c>
      <c r="M217" s="1">
        <f>'[1]Forward Ranks'!AC217</f>
        <v>0.8493449781659389</v>
      </c>
      <c r="N217" s="1">
        <f>'[1]Forward Ranks'!AD217</f>
        <v>0.95414847161572047</v>
      </c>
      <c r="O217" s="1">
        <f>'[1]Forward Ranks'!AE217</f>
        <v>0.21397379912663755</v>
      </c>
      <c r="P217" s="1">
        <f>'[1]Forward Ranks'!AF217</f>
        <v>0.88427947598253276</v>
      </c>
      <c r="Q217">
        <f>'[1]Forward Ranks'!AH217</f>
        <v>0</v>
      </c>
      <c r="R217" s="1">
        <f>'[1]Forward Ranks'!AM217</f>
        <v>0.47379912663755458</v>
      </c>
      <c r="S217" s="1">
        <f>'[1]Forward Ranks'!AN217</f>
        <v>0.51965065502183405</v>
      </c>
      <c r="T217" s="1">
        <f>'[1]Forward Ranks'!AO217</f>
        <v>0.4759825327510917</v>
      </c>
      <c r="U217" s="1">
        <f>'[1]Forward Ranks'!AP217</f>
        <v>0.41048034934497818</v>
      </c>
      <c r="V217">
        <f>'[1]Forward Ranks'!AR217</f>
        <v>0</v>
      </c>
      <c r="W217" s="1">
        <f>'[1]Forward Ranks'!AW217</f>
        <v>0.98908296943231444</v>
      </c>
      <c r="X217" s="1">
        <f>'[1]Forward Ranks'!AX217</f>
        <v>0.9759825327510917</v>
      </c>
      <c r="Y217" s="1">
        <f>'[1]Forward Ranks'!AY217</f>
        <v>0.6026200873362445</v>
      </c>
      <c r="Z217" s="1">
        <f>'[1]Forward Ranks'!AZ217</f>
        <v>0.96288209606986896</v>
      </c>
      <c r="AA217">
        <f>'[1]Forward Ranks'!BB217</f>
        <v>0</v>
      </c>
      <c r="AB217" s="1">
        <f>'[1]Forward Ranks'!BG217</f>
        <v>0.32314410480349343</v>
      </c>
      <c r="AC217" s="1">
        <f>'[1]Forward Ranks'!BH217</f>
        <v>9.1703056768558958E-2</v>
      </c>
      <c r="AD217" s="1">
        <f>'[1]Forward Ranks'!BI217</f>
        <v>0.20305676855895197</v>
      </c>
      <c r="AE217" s="1">
        <f>'[1]Forward Ranks'!BJ217</f>
        <v>3.9301310043668124E-2</v>
      </c>
      <c r="AF217">
        <f>'[1]Forward Ranks'!BL217</f>
        <v>0</v>
      </c>
      <c r="AG217" s="1">
        <f>'[1]Forward Ranks'!BQ217</f>
        <v>0.34497816593886466</v>
      </c>
      <c r="AH217" s="1">
        <f>'[1]Forward Ranks'!BR217</f>
        <v>0.45633187772925765</v>
      </c>
      <c r="AI217" s="1">
        <f>'[1]Forward Ranks'!BS217</f>
        <v>6.9868995633187769E-2</v>
      </c>
      <c r="AJ217" s="1">
        <f>'[1]Forward Ranks'!BT217</f>
        <v>0.31659388646288211</v>
      </c>
      <c r="AL217" s="2">
        <f>'[1]Forward Ranks'!BX217</f>
        <v>0.48253275109170307</v>
      </c>
      <c r="AN217" t="str">
        <f>'[1]Forward Ranks'!B217</f>
        <v>CHI</v>
      </c>
      <c r="AO217">
        <f>'[1]F on ice'!E217</f>
        <v>51</v>
      </c>
      <c r="AP217" s="2">
        <f>'[1]Impact Score Math'!E217</f>
        <v>0.48697394789579157</v>
      </c>
      <c r="AQ217">
        <f>'[1]Impact Score Math'!G217</f>
        <v>257</v>
      </c>
      <c r="AT217" s="1">
        <f>'[1]Forward Ranks'!CJ217</f>
        <v>0.33624454148471616</v>
      </c>
      <c r="AU217" s="1">
        <f>'[1]Forward Ranks'!CK217</f>
        <v>0.18777292576419213</v>
      </c>
    </row>
    <row r="218" spans="1:47" x14ac:dyDescent="0.3">
      <c r="A218" t="str">
        <f>'[1]Forward Ranks'!A218</f>
        <v>Julien Gauthier</v>
      </c>
      <c r="B218">
        <f>'[1]Forward Ranks'!D218</f>
        <v>0</v>
      </c>
      <c r="C218" s="1">
        <f>'[1]Forward Ranks'!I218</f>
        <v>0.16812227074235808</v>
      </c>
      <c r="D218" s="1">
        <f>'[1]Forward Ranks'!J218</f>
        <v>0.21615720524017468</v>
      </c>
      <c r="E218" s="1">
        <f>'[1]Forward Ranks'!K218</f>
        <v>0.41048034934497818</v>
      </c>
      <c r="F218" s="1">
        <f>'[1]Forward Ranks'!L218</f>
        <v>0.15283842794759825</v>
      </c>
      <c r="G218">
        <f>'[1]Forward Ranks'!N218</f>
        <v>0</v>
      </c>
      <c r="H218" s="1">
        <f>'[1]Forward Ranks'!S218</f>
        <v>0.86244541484716153</v>
      </c>
      <c r="I218" s="1">
        <f>'[1]Forward Ranks'!T218</f>
        <v>0.18777292576419213</v>
      </c>
      <c r="J218" s="1">
        <f>'[1]Forward Ranks'!U218</f>
        <v>0.25545851528384278</v>
      </c>
      <c r="K218" s="1">
        <f>'[1]Forward Ranks'!V218</f>
        <v>0.58951965065502188</v>
      </c>
      <c r="L218">
        <f>'[1]Forward Ranks'!X218</f>
        <v>0</v>
      </c>
      <c r="M218" s="1">
        <f>'[1]Forward Ranks'!AC218</f>
        <v>0.35807860262008734</v>
      </c>
      <c r="N218" s="1">
        <f>'[1]Forward Ranks'!AD218</f>
        <v>0.31877729257641924</v>
      </c>
      <c r="O218" s="1">
        <f>'[1]Forward Ranks'!AE218</f>
        <v>0.18340611353711792</v>
      </c>
      <c r="P218" s="1">
        <f>'[1]Forward Ranks'!AF218</f>
        <v>0.24017467248908297</v>
      </c>
      <c r="Q218">
        <f>'[1]Forward Ranks'!AH218</f>
        <v>0</v>
      </c>
      <c r="R218" s="1">
        <f>'[1]Forward Ranks'!AM218</f>
        <v>0.1091703056768559</v>
      </c>
      <c r="S218" s="1">
        <f>'[1]Forward Ranks'!AN218</f>
        <v>0.31877729257641924</v>
      </c>
      <c r="T218" s="1">
        <f>'[1]Forward Ranks'!AO218</f>
        <v>0.36244541484716158</v>
      </c>
      <c r="U218" s="1">
        <f>'[1]Forward Ranks'!AP218</f>
        <v>0.2205240174672489</v>
      </c>
      <c r="V218">
        <f>'[1]Forward Ranks'!AR218</f>
        <v>0</v>
      </c>
      <c r="W218" s="1">
        <f>'[1]Forward Ranks'!AW218</f>
        <v>0.18122270742358079</v>
      </c>
      <c r="X218" s="1">
        <f>'[1]Forward Ranks'!AX218</f>
        <v>0.44541484716157204</v>
      </c>
      <c r="Y218" s="1">
        <f>'[1]Forward Ranks'!AY218</f>
        <v>5.8951965065502182E-2</v>
      </c>
      <c r="Z218" s="1">
        <f>'[1]Forward Ranks'!AZ218</f>
        <v>0.25545851528384278</v>
      </c>
      <c r="AA218">
        <f>'[1]Forward Ranks'!BB218</f>
        <v>0</v>
      </c>
      <c r="AB218" s="1">
        <f>'[1]Forward Ranks'!BG218</f>
        <v>1.9650655021834062E-2</v>
      </c>
      <c r="AC218" s="1">
        <f>'[1]Forward Ranks'!BH218</f>
        <v>0.61572052401746724</v>
      </c>
      <c r="AD218" s="1">
        <f>'[1]Forward Ranks'!BI218</f>
        <v>0.70742358078602618</v>
      </c>
      <c r="AE218" s="1">
        <f>'[1]Forward Ranks'!BJ218</f>
        <v>0.34061135371179041</v>
      </c>
      <c r="AF218">
        <f>'[1]Forward Ranks'!BL218</f>
        <v>0</v>
      </c>
      <c r="AG218" s="1">
        <f>'[1]Forward Ranks'!BQ218</f>
        <v>0.1965065502183406</v>
      </c>
      <c r="AH218" s="1">
        <f>'[1]Forward Ranks'!BR218</f>
        <v>0.20524017467248909</v>
      </c>
      <c r="AI218" s="1">
        <f>'[1]Forward Ranks'!BS218</f>
        <v>0.22925764192139739</v>
      </c>
      <c r="AJ218" s="1">
        <f>'[1]Forward Ranks'!BT218</f>
        <v>0.15938864628820962</v>
      </c>
      <c r="AL218" s="2">
        <f>'[1]Forward Ranks'!BX218</f>
        <v>0.13537117903930132</v>
      </c>
      <c r="AN218" t="str">
        <f>'[1]Forward Ranks'!B218</f>
        <v>NYR, OTT</v>
      </c>
      <c r="AO218">
        <f>'[1]F on ice'!E218</f>
        <v>57</v>
      </c>
      <c r="AP218" s="2">
        <f>'[1]Impact Score Math'!E218</f>
        <v>0.14629258517034069</v>
      </c>
      <c r="AQ218">
        <f>'[1]Impact Score Math'!G218</f>
        <v>427</v>
      </c>
      <c r="AT218" s="1">
        <f>'[1]Forward Ranks'!CJ218</f>
        <v>0.85152838427947597</v>
      </c>
      <c r="AU218" s="1">
        <f>'[1]Forward Ranks'!CK218</f>
        <v>0.91484716157205237</v>
      </c>
    </row>
    <row r="219" spans="1:47" x14ac:dyDescent="0.3">
      <c r="A219" t="str">
        <f>'[1]Forward Ranks'!A219</f>
        <v>Juraj Slafkovsky</v>
      </c>
      <c r="B219">
        <f>'[1]Forward Ranks'!D219</f>
        <v>0</v>
      </c>
      <c r="C219" s="1">
        <f>'[1]Forward Ranks'!I219</f>
        <v>0.16157205240174671</v>
      </c>
      <c r="D219" s="1">
        <f>'[1]Forward Ranks'!J219</f>
        <v>5.0218340611353711E-2</v>
      </c>
      <c r="E219" s="1">
        <f>'[1]Forward Ranks'!K219</f>
        <v>4.3668122270742356E-2</v>
      </c>
      <c r="F219" s="1">
        <f>'[1]Forward Ranks'!L219</f>
        <v>5.458515283842795E-2</v>
      </c>
      <c r="G219">
        <f>'[1]Forward Ranks'!N219</f>
        <v>0</v>
      </c>
      <c r="H219" s="1">
        <f>'[1]Forward Ranks'!S219</f>
        <v>0.1965065502183406</v>
      </c>
      <c r="I219" s="1">
        <f>'[1]Forward Ranks'!T219</f>
        <v>0.27074235807860264</v>
      </c>
      <c r="J219" s="1">
        <f>'[1]Forward Ranks'!U219</f>
        <v>6.1135371179039298E-2</v>
      </c>
      <c r="K219" s="1">
        <f>'[1]Forward Ranks'!V219</f>
        <v>0.15938864628820962</v>
      </c>
      <c r="L219">
        <f>'[1]Forward Ranks'!X219</f>
        <v>0</v>
      </c>
      <c r="M219" s="1">
        <f>'[1]Forward Ranks'!AC219</f>
        <v>0.34061135371179041</v>
      </c>
      <c r="N219" s="1">
        <f>'[1]Forward Ranks'!AD219</f>
        <v>8.5152838427947602E-2</v>
      </c>
      <c r="O219" s="1">
        <f>'[1]Forward Ranks'!AE219</f>
        <v>0.38209606986899564</v>
      </c>
      <c r="P219" s="1">
        <f>'[1]Forward Ranks'!AF219</f>
        <v>0.15283842794759825</v>
      </c>
      <c r="Q219">
        <f>'[1]Forward Ranks'!AH219</f>
        <v>0</v>
      </c>
      <c r="R219" s="1">
        <f>'[1]Forward Ranks'!AM219</f>
        <v>0.42576419213973798</v>
      </c>
      <c r="S219" s="1">
        <f>'[1]Forward Ranks'!AN219</f>
        <v>0.19868995633187772</v>
      </c>
      <c r="T219" s="1">
        <f>'[1]Forward Ranks'!AO219</f>
        <v>0.13755458515283842</v>
      </c>
      <c r="U219" s="1">
        <f>'[1]Forward Ranks'!AP219</f>
        <v>0.16157205240174671</v>
      </c>
      <c r="V219">
        <f>'[1]Forward Ranks'!AR219</f>
        <v>0</v>
      </c>
      <c r="W219" s="1">
        <f>'[1]Forward Ranks'!AW219</f>
        <v>0.46506550218340609</v>
      </c>
      <c r="X219" s="1">
        <f>'[1]Forward Ranks'!AX219</f>
        <v>0.16375545851528384</v>
      </c>
      <c r="Y219" s="1">
        <f>'[1]Forward Ranks'!AY219</f>
        <v>0.68558951965065507</v>
      </c>
      <c r="Z219" s="1">
        <f>'[1]Forward Ranks'!AZ219</f>
        <v>0.55240174672489084</v>
      </c>
      <c r="AA219">
        <f>'[1]Forward Ranks'!BB219</f>
        <v>0</v>
      </c>
      <c r="AB219" s="1">
        <f>'[1]Forward Ranks'!BG219</f>
        <v>0.25545851528384278</v>
      </c>
      <c r="AC219" s="1">
        <f>'[1]Forward Ranks'!BH219</f>
        <v>0.55676855895196509</v>
      </c>
      <c r="AD219" s="1">
        <f>'[1]Forward Ranks'!BI219</f>
        <v>5.0218340611353711E-2</v>
      </c>
      <c r="AE219" s="1">
        <f>'[1]Forward Ranks'!BJ219</f>
        <v>7.8602620087336247E-2</v>
      </c>
      <c r="AF219">
        <f>'[1]Forward Ranks'!BL219</f>
        <v>0</v>
      </c>
      <c r="AG219" s="1">
        <f>'[1]Forward Ranks'!BQ219</f>
        <v>0.18995633187772926</v>
      </c>
      <c r="AH219" s="1">
        <f>'[1]Forward Ranks'!BR219</f>
        <v>3.9301310043668124E-2</v>
      </c>
      <c r="AI219" s="1">
        <f>'[1]Forward Ranks'!BS219</f>
        <v>6.3318777292576414E-2</v>
      </c>
      <c r="AJ219" s="1">
        <f>'[1]Forward Ranks'!BT219</f>
        <v>5.0218340611353711E-2</v>
      </c>
      <c r="AL219" s="2">
        <f>'[1]Forward Ranks'!BX219</f>
        <v>7.8602620087336247E-2</v>
      </c>
      <c r="AN219" t="str">
        <f>'[1]Forward Ranks'!B219</f>
        <v>MTL</v>
      </c>
      <c r="AO219">
        <f>'[1]F on ice'!E219</f>
        <v>39</v>
      </c>
      <c r="AP219" s="2">
        <f>'[1]Impact Score Math'!E219</f>
        <v>0.15430861723446893</v>
      </c>
      <c r="AQ219">
        <f>'[1]Impact Score Math'!G219</f>
        <v>423</v>
      </c>
      <c r="AT219" s="1">
        <f>'[1]Forward Ranks'!CJ219</f>
        <v>0.17685589519650655</v>
      </c>
      <c r="AU219" s="1">
        <f>'[1]Forward Ranks'!CK219</f>
        <v>0.35589519650655022</v>
      </c>
    </row>
    <row r="220" spans="1:47" x14ac:dyDescent="0.3">
      <c r="A220" t="str">
        <f>'[1]Forward Ranks'!A220</f>
        <v>Juuso Parssinen</v>
      </c>
      <c r="B220">
        <f>'[1]Forward Ranks'!D220</f>
        <v>0</v>
      </c>
      <c r="C220" s="1">
        <f>'[1]Forward Ranks'!I220</f>
        <v>0.33842794759825329</v>
      </c>
      <c r="D220" s="1">
        <f>'[1]Forward Ranks'!J220</f>
        <v>0.79912663755458513</v>
      </c>
      <c r="E220" s="1">
        <f>'[1]Forward Ranks'!K220</f>
        <v>0.50655021834061131</v>
      </c>
      <c r="F220" s="1">
        <f>'[1]Forward Ranks'!L220</f>
        <v>0.79475982532751088</v>
      </c>
      <c r="G220">
        <f>'[1]Forward Ranks'!N220</f>
        <v>0</v>
      </c>
      <c r="H220" s="1">
        <f>'[1]Forward Ranks'!S220</f>
        <v>8.9519650655021835E-2</v>
      </c>
      <c r="I220" s="1">
        <f>'[1]Forward Ranks'!T220</f>
        <v>0.83624454148471616</v>
      </c>
      <c r="J220" s="1">
        <f>'[1]Forward Ranks'!U220</f>
        <v>0.65938864628820959</v>
      </c>
      <c r="K220" s="1">
        <f>'[1]Forward Ranks'!V220</f>
        <v>0.54366812227074235</v>
      </c>
      <c r="L220">
        <f>'[1]Forward Ranks'!X220</f>
        <v>0</v>
      </c>
      <c r="M220" s="1">
        <f>'[1]Forward Ranks'!AC220</f>
        <v>0.36244541484716158</v>
      </c>
      <c r="N220" s="1">
        <f>'[1]Forward Ranks'!AD220</f>
        <v>0.30131004366812225</v>
      </c>
      <c r="O220" s="1">
        <f>'[1]Forward Ranks'!AE220</f>
        <v>0.56113537117903933</v>
      </c>
      <c r="P220" s="1">
        <f>'[1]Forward Ranks'!AF220</f>
        <v>0.29694323144104806</v>
      </c>
      <c r="Q220">
        <f>'[1]Forward Ranks'!AH220</f>
        <v>0</v>
      </c>
      <c r="R220" s="1">
        <f>'[1]Forward Ranks'!AM220</f>
        <v>0.22707423580786026</v>
      </c>
      <c r="S220" s="1">
        <f>'[1]Forward Ranks'!AN220</f>
        <v>0.71615720524017468</v>
      </c>
      <c r="T220" s="1">
        <f>'[1]Forward Ranks'!AO220</f>
        <v>0.58078602620087338</v>
      </c>
      <c r="U220" s="1">
        <f>'[1]Forward Ranks'!AP220</f>
        <v>0.68558951965065507</v>
      </c>
      <c r="V220">
        <f>'[1]Forward Ranks'!AR220</f>
        <v>0</v>
      </c>
      <c r="W220" s="1">
        <f>'[1]Forward Ranks'!AW220</f>
        <v>0.80349344978165937</v>
      </c>
      <c r="X220" s="1">
        <f>'[1]Forward Ranks'!AX220</f>
        <v>0.4366812227074236</v>
      </c>
      <c r="Y220" s="1">
        <f>'[1]Forward Ranks'!AY220</f>
        <v>0.32751091703056767</v>
      </c>
      <c r="Z220" s="1">
        <f>'[1]Forward Ranks'!AZ220</f>
        <v>0.65502183406113534</v>
      </c>
      <c r="AA220">
        <f>'[1]Forward Ranks'!BB220</f>
        <v>0</v>
      </c>
      <c r="AB220" s="1">
        <f>'[1]Forward Ranks'!BG220</f>
        <v>0.45851528384279477</v>
      </c>
      <c r="AC220" s="1">
        <f>'[1]Forward Ranks'!BH220</f>
        <v>0.40611353711790393</v>
      </c>
      <c r="AD220" s="1">
        <f>'[1]Forward Ranks'!BI220</f>
        <v>0.70524017467248912</v>
      </c>
      <c r="AE220" s="1">
        <f>'[1]Forward Ranks'!BJ220</f>
        <v>0.74672489082969429</v>
      </c>
      <c r="AF220">
        <f>'[1]Forward Ranks'!BL220</f>
        <v>0</v>
      </c>
      <c r="AG220" s="1">
        <f>'[1]Forward Ranks'!BQ220</f>
        <v>0.32751091703056767</v>
      </c>
      <c r="AH220" s="1">
        <f>'[1]Forward Ranks'!BR220</f>
        <v>0.65502183406113534</v>
      </c>
      <c r="AI220" s="1">
        <f>'[1]Forward Ranks'!BS220</f>
        <v>0.55676855895196509</v>
      </c>
      <c r="AJ220" s="1">
        <f>'[1]Forward Ranks'!BT220</f>
        <v>0.62445414847161573</v>
      </c>
      <c r="AL220" s="2">
        <f>'[1]Forward Ranks'!BX220</f>
        <v>0.46943231441048033</v>
      </c>
      <c r="AN220" t="str">
        <f>'[1]Forward Ranks'!B220</f>
        <v>NSH</v>
      </c>
      <c r="AO220">
        <f>'[1]F on ice'!E220</f>
        <v>45</v>
      </c>
      <c r="AP220" s="2">
        <f>'[1]Impact Score Math'!E220</f>
        <v>0.51503006012024044</v>
      </c>
      <c r="AQ220">
        <f>'[1]Impact Score Math'!G220</f>
        <v>243</v>
      </c>
      <c r="AT220" s="1">
        <f>'[1]Forward Ranks'!CJ220</f>
        <v>0.55021834061135366</v>
      </c>
      <c r="AU220" s="1">
        <f>'[1]Forward Ranks'!CK220</f>
        <v>0.60043668122270744</v>
      </c>
    </row>
    <row r="221" spans="1:47" x14ac:dyDescent="0.3">
      <c r="A221" t="str">
        <f>'[1]Forward Ranks'!A221</f>
        <v>Kaapo Kakko</v>
      </c>
      <c r="B221">
        <f>'[1]Forward Ranks'!D221</f>
        <v>0</v>
      </c>
      <c r="C221" s="1">
        <f>'[1]Forward Ranks'!I221</f>
        <v>0.62227074235807855</v>
      </c>
      <c r="D221" s="1">
        <f>'[1]Forward Ranks'!J221</f>
        <v>0.51528384279475981</v>
      </c>
      <c r="E221" s="1">
        <f>'[1]Forward Ranks'!K221</f>
        <v>0.66157205240174677</v>
      </c>
      <c r="F221" s="1">
        <f>'[1]Forward Ranks'!L221</f>
        <v>0.58296943231441045</v>
      </c>
      <c r="G221">
        <f>'[1]Forward Ranks'!N221</f>
        <v>0</v>
      </c>
      <c r="H221" s="1">
        <f>'[1]Forward Ranks'!S221</f>
        <v>0.69213973799126638</v>
      </c>
      <c r="I221" s="1">
        <f>'[1]Forward Ranks'!T221</f>
        <v>0.49563318777292575</v>
      </c>
      <c r="J221" s="1">
        <f>'[1]Forward Ranks'!U221</f>
        <v>0.55458515283842791</v>
      </c>
      <c r="K221" s="1">
        <f>'[1]Forward Ranks'!V221</f>
        <v>0.58296943231441045</v>
      </c>
      <c r="L221">
        <f>'[1]Forward Ranks'!X221</f>
        <v>0</v>
      </c>
      <c r="M221" s="1">
        <f>'[1]Forward Ranks'!AC221</f>
        <v>0.72489082969432317</v>
      </c>
      <c r="N221" s="1">
        <f>'[1]Forward Ranks'!AD221</f>
        <v>0.51746724890829698</v>
      </c>
      <c r="O221" s="1">
        <f>'[1]Forward Ranks'!AE221</f>
        <v>0.65938864628820959</v>
      </c>
      <c r="P221" s="1">
        <f>'[1]Forward Ranks'!AF221</f>
        <v>0.5873362445414847</v>
      </c>
      <c r="Q221">
        <f>'[1]Forward Ranks'!AH221</f>
        <v>0</v>
      </c>
      <c r="R221" s="1">
        <f>'[1]Forward Ranks'!AM221</f>
        <v>0.75327510917030571</v>
      </c>
      <c r="S221" s="1">
        <f>'[1]Forward Ranks'!AN221</f>
        <v>0.54148471615720528</v>
      </c>
      <c r="T221" s="1">
        <f>'[1]Forward Ranks'!AO221</f>
        <v>0.61353711790393017</v>
      </c>
      <c r="U221" s="1">
        <f>'[1]Forward Ranks'!AP221</f>
        <v>0.67248908296943233</v>
      </c>
      <c r="V221">
        <f>'[1]Forward Ranks'!AR221</f>
        <v>0</v>
      </c>
      <c r="W221" s="1">
        <f>'[1]Forward Ranks'!AW221</f>
        <v>0.59388646288209612</v>
      </c>
      <c r="X221" s="1">
        <f>'[1]Forward Ranks'!AX221</f>
        <v>0.69868995633187769</v>
      </c>
      <c r="Y221" s="1">
        <f>'[1]Forward Ranks'!AY221</f>
        <v>0.51310043668122274</v>
      </c>
      <c r="Z221" s="1">
        <f>'[1]Forward Ranks'!AZ221</f>
        <v>0.65502183406113534</v>
      </c>
      <c r="AA221">
        <f>'[1]Forward Ranks'!BB221</f>
        <v>0</v>
      </c>
      <c r="AB221" s="1">
        <f>'[1]Forward Ranks'!BG221</f>
        <v>0.80131004366812231</v>
      </c>
      <c r="AC221" s="1">
        <f>'[1]Forward Ranks'!BH221</f>
        <v>0.49563318777292575</v>
      </c>
      <c r="AD221" s="1">
        <f>'[1]Forward Ranks'!BI221</f>
        <v>0.60917030567685593</v>
      </c>
      <c r="AE221" s="1">
        <f>'[1]Forward Ranks'!BJ221</f>
        <v>0.66593886462882101</v>
      </c>
      <c r="AF221">
        <f>'[1]Forward Ranks'!BL221</f>
        <v>0</v>
      </c>
      <c r="AG221" s="1">
        <f>'[1]Forward Ranks'!BQ221</f>
        <v>0.69213973799126638</v>
      </c>
      <c r="AH221" s="1">
        <f>'[1]Forward Ranks'!BR221</f>
        <v>0.48471615720524019</v>
      </c>
      <c r="AI221" s="1">
        <f>'[1]Forward Ranks'!BS221</f>
        <v>0.75327510917030571</v>
      </c>
      <c r="AJ221" s="1">
        <f>'[1]Forward Ranks'!BT221</f>
        <v>0.611353711790393</v>
      </c>
      <c r="AL221" s="2">
        <f>'[1]Forward Ranks'!BX221</f>
        <v>0.77292576419213976</v>
      </c>
      <c r="AN221" t="str">
        <f>'[1]Forward Ranks'!B221</f>
        <v>NYR</v>
      </c>
      <c r="AO221">
        <f>'[1]F on ice'!E221</f>
        <v>82</v>
      </c>
      <c r="AP221" s="2">
        <f>'[1]Impact Score Math'!E221</f>
        <v>0.83767535070140275</v>
      </c>
      <c r="AQ221">
        <f>'[1]Impact Score Math'!G221</f>
        <v>82</v>
      </c>
      <c r="AT221" s="1">
        <f>'[1]Forward Ranks'!CJ221</f>
        <v>0.93013100436681218</v>
      </c>
      <c r="AU221" s="1">
        <f>'[1]Forward Ranks'!CK221</f>
        <v>0.34497816593886466</v>
      </c>
    </row>
    <row r="222" spans="1:47" x14ac:dyDescent="0.3">
      <c r="A222" t="str">
        <f>'[1]Forward Ranks'!A222</f>
        <v>Kailer Yamamoto</v>
      </c>
      <c r="B222">
        <f>'[1]Forward Ranks'!D222</f>
        <v>0</v>
      </c>
      <c r="C222" s="1">
        <f>'[1]Forward Ranks'!I222</f>
        <v>0.70087336244541487</v>
      </c>
      <c r="D222" s="1">
        <f>'[1]Forward Ranks'!J222</f>
        <v>0.76419213973799127</v>
      </c>
      <c r="E222" s="1">
        <f>'[1]Forward Ranks'!K222</f>
        <v>0.72489082969432317</v>
      </c>
      <c r="F222" s="1">
        <f>'[1]Forward Ranks'!L222</f>
        <v>0.79039301310043664</v>
      </c>
      <c r="G222">
        <f>'[1]Forward Ranks'!N222</f>
        <v>0</v>
      </c>
      <c r="H222" s="1">
        <f>'[1]Forward Ranks'!S222</f>
        <v>0.50218340611353707</v>
      </c>
      <c r="I222" s="1">
        <f>'[1]Forward Ranks'!T222</f>
        <v>0.44978165938864628</v>
      </c>
      <c r="J222" s="1">
        <f>'[1]Forward Ranks'!U222</f>
        <v>0.25545851528384278</v>
      </c>
      <c r="K222" s="1">
        <f>'[1]Forward Ranks'!V222</f>
        <v>0.44978165938864628</v>
      </c>
      <c r="L222">
        <f>'[1]Forward Ranks'!X222</f>
        <v>0</v>
      </c>
      <c r="M222" s="1">
        <f>'[1]Forward Ranks'!AC222</f>
        <v>0.65283842794759828</v>
      </c>
      <c r="N222" s="1">
        <f>'[1]Forward Ranks'!AD222</f>
        <v>0.74890829694323147</v>
      </c>
      <c r="O222" s="1">
        <f>'[1]Forward Ranks'!AE222</f>
        <v>0.72489082969432317</v>
      </c>
      <c r="P222" s="1">
        <f>'[1]Forward Ranks'!AF222</f>
        <v>0.45414847161572053</v>
      </c>
      <c r="Q222">
        <f>'[1]Forward Ranks'!AH222</f>
        <v>0</v>
      </c>
      <c r="R222" s="1">
        <f>'[1]Forward Ranks'!AM222</f>
        <v>0.54366812227074235</v>
      </c>
      <c r="S222" s="1">
        <f>'[1]Forward Ranks'!AN222</f>
        <v>0.34934497816593885</v>
      </c>
      <c r="T222" s="1">
        <f>'[1]Forward Ranks'!AO222</f>
        <v>0.51965065502183405</v>
      </c>
      <c r="U222" s="1">
        <f>'[1]Forward Ranks'!AP222</f>
        <v>0.48471615720524019</v>
      </c>
      <c r="V222">
        <f>'[1]Forward Ranks'!AR222</f>
        <v>0</v>
      </c>
      <c r="W222" s="1">
        <f>'[1]Forward Ranks'!AW222</f>
        <v>0.56768558951965065</v>
      </c>
      <c r="X222" s="1">
        <f>'[1]Forward Ranks'!AX222</f>
        <v>0.41484716157205243</v>
      </c>
      <c r="Y222" s="1">
        <f>'[1]Forward Ranks'!AY222</f>
        <v>0.75545851528384278</v>
      </c>
      <c r="Z222" s="1">
        <f>'[1]Forward Ranks'!AZ222</f>
        <v>0.30786026200873362</v>
      </c>
      <c r="AA222">
        <f>'[1]Forward Ranks'!BB222</f>
        <v>0</v>
      </c>
      <c r="AB222" s="1">
        <f>'[1]Forward Ranks'!BG222</f>
        <v>0.89956331877729256</v>
      </c>
      <c r="AC222" s="1">
        <f>'[1]Forward Ranks'!BH222</f>
        <v>0.52183406113537123</v>
      </c>
      <c r="AD222" s="1">
        <f>'[1]Forward Ranks'!BI222</f>
        <v>0.52838427947598254</v>
      </c>
      <c r="AE222" s="1">
        <f>'[1]Forward Ranks'!BJ222</f>
        <v>0.73580786026200873</v>
      </c>
      <c r="AF222">
        <f>'[1]Forward Ranks'!BL222</f>
        <v>0</v>
      </c>
      <c r="AG222" s="1">
        <f>'[1]Forward Ranks'!BQ222</f>
        <v>0.71615720524017468</v>
      </c>
      <c r="AH222" s="1">
        <f>'[1]Forward Ranks'!BR222</f>
        <v>0.81222707423580787</v>
      </c>
      <c r="AI222" s="1">
        <f>'[1]Forward Ranks'!BS222</f>
        <v>0.82096069868995636</v>
      </c>
      <c r="AJ222" s="1">
        <f>'[1]Forward Ranks'!BT222</f>
        <v>0.71179039301310043</v>
      </c>
      <c r="AL222" s="2">
        <f>'[1]Forward Ranks'!BX222</f>
        <v>0.61790393013100442</v>
      </c>
      <c r="AN222" t="str">
        <f>'[1]Forward Ranks'!B222</f>
        <v>EDM</v>
      </c>
      <c r="AO222">
        <f>'[1]F on ice'!E222</f>
        <v>58</v>
      </c>
      <c r="AP222" s="2">
        <f>'[1]Impact Score Math'!E222</f>
        <v>0.74949899799599196</v>
      </c>
      <c r="AQ222">
        <f>'[1]Impact Score Math'!G222</f>
        <v>126</v>
      </c>
      <c r="AT222" s="1">
        <f>'[1]Forward Ranks'!CJ222</f>
        <v>0.50218340611353707</v>
      </c>
      <c r="AU222" s="1">
        <f>'[1]Forward Ranks'!CK222</f>
        <v>0.5633187772925764</v>
      </c>
    </row>
    <row r="223" spans="1:47" x14ac:dyDescent="0.3">
      <c r="A223" t="str">
        <f>'[1]Forward Ranks'!A223</f>
        <v>Karson Kuhlman</v>
      </c>
      <c r="B223">
        <f>'[1]Forward Ranks'!D223</f>
        <v>0</v>
      </c>
      <c r="C223" s="1">
        <f>'[1]Forward Ranks'!I223</f>
        <v>0.37554585152838427</v>
      </c>
      <c r="D223" s="1">
        <f>'[1]Forward Ranks'!J223</f>
        <v>0.50436681222707425</v>
      </c>
      <c r="E223" s="1">
        <f>'[1]Forward Ranks'!K223</f>
        <v>0.10698689956331878</v>
      </c>
      <c r="F223" s="1">
        <f>'[1]Forward Ranks'!L223</f>
        <v>0.63318777292576423</v>
      </c>
      <c r="G223">
        <f>'[1]Forward Ranks'!N223</f>
        <v>0</v>
      </c>
      <c r="H223" s="1">
        <f>'[1]Forward Ranks'!S223</f>
        <v>4.8034934497816595E-2</v>
      </c>
      <c r="I223" s="1">
        <f>'[1]Forward Ranks'!T223</f>
        <v>9.8253275109170299E-2</v>
      </c>
      <c r="J223" s="1">
        <f>'[1]Forward Ranks'!U223</f>
        <v>4.3668122270742356E-2</v>
      </c>
      <c r="K223" s="1">
        <f>'[1]Forward Ranks'!V223</f>
        <v>3.9301310043668124E-2</v>
      </c>
      <c r="L223">
        <f>'[1]Forward Ranks'!X223</f>
        <v>0</v>
      </c>
      <c r="M223" s="1">
        <f>'[1]Forward Ranks'!AC223</f>
        <v>0.75545851528384278</v>
      </c>
      <c r="N223" s="1">
        <f>'[1]Forward Ranks'!AD223</f>
        <v>0.59170305676855894</v>
      </c>
      <c r="O223" s="1">
        <f>'[1]Forward Ranks'!AE223</f>
        <v>0.48471615720524019</v>
      </c>
      <c r="P223" s="1">
        <f>'[1]Forward Ranks'!AF223</f>
        <v>0.54585152838427953</v>
      </c>
      <c r="Q223">
        <f>'[1]Forward Ranks'!AH223</f>
        <v>0</v>
      </c>
      <c r="R223" s="1">
        <f>'[1]Forward Ranks'!AM223</f>
        <v>0.34497816593886466</v>
      </c>
      <c r="S223" s="1">
        <f>'[1]Forward Ranks'!AN223</f>
        <v>0.45633187772925765</v>
      </c>
      <c r="T223" s="1">
        <f>'[1]Forward Ranks'!AO223</f>
        <v>4.5851528384279479E-2</v>
      </c>
      <c r="U223" s="1">
        <f>'[1]Forward Ranks'!AP223</f>
        <v>0.5240174672489083</v>
      </c>
      <c r="V223">
        <f>'[1]Forward Ranks'!AR223</f>
        <v>0</v>
      </c>
      <c r="W223" s="1">
        <f>'[1]Forward Ranks'!AW223</f>
        <v>0.6266375545851528</v>
      </c>
      <c r="X223" s="1">
        <f>'[1]Forward Ranks'!AX223</f>
        <v>0.45633187772925765</v>
      </c>
      <c r="Y223" s="1">
        <f>'[1]Forward Ranks'!AY223</f>
        <v>0.388646288209607</v>
      </c>
      <c r="Z223" s="1">
        <f>'[1]Forward Ranks'!AZ223</f>
        <v>0.59825327510917026</v>
      </c>
      <c r="AA223">
        <f>'[1]Forward Ranks'!BB223</f>
        <v>0</v>
      </c>
      <c r="AB223" s="1">
        <f>'[1]Forward Ranks'!BG223</f>
        <v>0.21397379912663755</v>
      </c>
      <c r="AC223" s="1">
        <f>'[1]Forward Ranks'!BH223</f>
        <v>0.55240174672489084</v>
      </c>
      <c r="AD223" s="1">
        <f>'[1]Forward Ranks'!BI223</f>
        <v>0.1331877729257642</v>
      </c>
      <c r="AE223" s="1">
        <f>'[1]Forward Ranks'!BJ223</f>
        <v>0.12663755458515283</v>
      </c>
      <c r="AF223">
        <f>'[1]Forward Ranks'!BL223</f>
        <v>0</v>
      </c>
      <c r="AG223" s="1">
        <f>'[1]Forward Ranks'!BQ223</f>
        <v>0.57205240174672489</v>
      </c>
      <c r="AH223" s="1">
        <f>'[1]Forward Ranks'!BR223</f>
        <v>0.52838427947598254</v>
      </c>
      <c r="AI223" s="1">
        <f>'[1]Forward Ranks'!BS223</f>
        <v>0.14410480349344978</v>
      </c>
      <c r="AJ223" s="1">
        <f>'[1]Forward Ranks'!BT223</f>
        <v>0.62882096069868998</v>
      </c>
      <c r="AL223" s="2">
        <f>'[1]Forward Ranks'!BX223</f>
        <v>0.38646288209606988</v>
      </c>
      <c r="AN223" t="str">
        <f>'[1]Forward Ranks'!B223</f>
        <v>SEA, WPG</v>
      </c>
      <c r="AO223">
        <f>'[1]F on ice'!E223</f>
        <v>47</v>
      </c>
      <c r="AP223" s="2">
        <f>'[1]Impact Score Math'!E223</f>
        <v>0.39679358717434871</v>
      </c>
      <c r="AQ223">
        <f>'[1]Impact Score Math'!G223</f>
        <v>302</v>
      </c>
      <c r="AT223" s="1">
        <f>'[1]Forward Ranks'!CJ223</f>
        <v>0.75327510917030571</v>
      </c>
      <c r="AU223" s="1">
        <f>'[1]Forward Ranks'!CK223</f>
        <v>0.37336244541484714</v>
      </c>
    </row>
    <row r="224" spans="1:47" x14ac:dyDescent="0.3">
      <c r="A224" t="str">
        <f>'[1]Forward Ranks'!A224</f>
        <v>Kasperi Kapanen</v>
      </c>
      <c r="B224">
        <f>'[1]Forward Ranks'!D224</f>
        <v>0</v>
      </c>
      <c r="C224" s="1">
        <f>'[1]Forward Ranks'!I224</f>
        <v>0.45196506550218341</v>
      </c>
      <c r="D224" s="1">
        <f>'[1]Forward Ranks'!J224</f>
        <v>0.16157205240174671</v>
      </c>
      <c r="E224" s="1">
        <f>'[1]Forward Ranks'!K224</f>
        <v>0.49344978165938863</v>
      </c>
      <c r="F224" s="1">
        <f>'[1]Forward Ranks'!L224</f>
        <v>0.3056768558951965</v>
      </c>
      <c r="G224">
        <f>'[1]Forward Ranks'!N224</f>
        <v>0</v>
      </c>
      <c r="H224" s="1">
        <f>'[1]Forward Ranks'!S224</f>
        <v>0.46724890829694321</v>
      </c>
      <c r="I224" s="1">
        <f>'[1]Forward Ranks'!T224</f>
        <v>0.82096069868995636</v>
      </c>
      <c r="J224" s="1">
        <f>'[1]Forward Ranks'!U224</f>
        <v>0.91921397379912662</v>
      </c>
      <c r="K224" s="1">
        <f>'[1]Forward Ranks'!V224</f>
        <v>0.70742358078602618</v>
      </c>
      <c r="L224">
        <f>'[1]Forward Ranks'!X224</f>
        <v>0</v>
      </c>
      <c r="M224" s="1">
        <f>'[1]Forward Ranks'!AC224</f>
        <v>0.15720524017467249</v>
      </c>
      <c r="N224" s="1">
        <f>'[1]Forward Ranks'!AD224</f>
        <v>2.6200873362445413E-2</v>
      </c>
      <c r="O224" s="1">
        <f>'[1]Forward Ranks'!AE224</f>
        <v>0.22270742358078602</v>
      </c>
      <c r="P224" s="1">
        <f>'[1]Forward Ranks'!AF224</f>
        <v>5.0218340611353711E-2</v>
      </c>
      <c r="Q224">
        <f>'[1]Forward Ranks'!AH224</f>
        <v>0</v>
      </c>
      <c r="R224" s="1">
        <f>'[1]Forward Ranks'!AM224</f>
        <v>0.3056768558951965</v>
      </c>
      <c r="S224" s="1">
        <f>'[1]Forward Ranks'!AN224</f>
        <v>8.9519650655021835E-2</v>
      </c>
      <c r="T224" s="1">
        <f>'[1]Forward Ranks'!AO224</f>
        <v>0.44759825327510916</v>
      </c>
      <c r="U224" s="1">
        <f>'[1]Forward Ranks'!AP224</f>
        <v>0.16157205240174671</v>
      </c>
      <c r="V224">
        <f>'[1]Forward Ranks'!AR224</f>
        <v>0</v>
      </c>
      <c r="W224" s="1">
        <f>'[1]Forward Ranks'!AW224</f>
        <v>0.23580786026200873</v>
      </c>
      <c r="X224" s="1">
        <f>'[1]Forward Ranks'!AX224</f>
        <v>1.3100436681222707E-2</v>
      </c>
      <c r="Y224" s="1">
        <f>'[1]Forward Ranks'!AY224</f>
        <v>0.14192139737991266</v>
      </c>
      <c r="Z224" s="1">
        <f>'[1]Forward Ranks'!AZ224</f>
        <v>3.2751091703056769E-2</v>
      </c>
      <c r="AA224">
        <f>'[1]Forward Ranks'!BB224</f>
        <v>0</v>
      </c>
      <c r="AB224" s="1">
        <f>'[1]Forward Ranks'!BG224</f>
        <v>0.30786026200873362</v>
      </c>
      <c r="AC224" s="1">
        <f>'[1]Forward Ranks'!BH224</f>
        <v>0.15938864628820962</v>
      </c>
      <c r="AD224" s="1">
        <f>'[1]Forward Ranks'!BI224</f>
        <v>0.48689956331877732</v>
      </c>
      <c r="AE224" s="1">
        <f>'[1]Forward Ranks'!BJ224</f>
        <v>0.42794759825327511</v>
      </c>
      <c r="AF224">
        <f>'[1]Forward Ranks'!BL224</f>
        <v>0</v>
      </c>
      <c r="AG224" s="1">
        <f>'[1]Forward Ranks'!BQ224</f>
        <v>0.26855895196506552</v>
      </c>
      <c r="AH224" s="1">
        <f>'[1]Forward Ranks'!BR224</f>
        <v>4.8034934497816595E-2</v>
      </c>
      <c r="AI224" s="1">
        <f>'[1]Forward Ranks'!BS224</f>
        <v>0.31004366812227074</v>
      </c>
      <c r="AJ224" s="1">
        <f>'[1]Forward Ranks'!BT224</f>
        <v>0.11135371179039301</v>
      </c>
      <c r="AL224" s="2">
        <f>'[1]Forward Ranks'!BX224</f>
        <v>0.17903930131004367</v>
      </c>
      <c r="AN224" t="str">
        <f>'[1]Forward Ranks'!B224</f>
        <v>PIT, STL</v>
      </c>
      <c r="AO224">
        <f>'[1]F on ice'!E224</f>
        <v>66</v>
      </c>
      <c r="AP224" s="2">
        <f>'[1]Impact Score Math'!E224</f>
        <v>0.25651302605210419</v>
      </c>
      <c r="AQ224">
        <f>'[1]Impact Score Math'!G224</f>
        <v>372</v>
      </c>
      <c r="AT224" s="1">
        <f>'[1]Forward Ranks'!CJ224</f>
        <v>0.56550218340611358</v>
      </c>
      <c r="AU224" s="1">
        <f>'[1]Forward Ranks'!CK224</f>
        <v>0.29039301310043669</v>
      </c>
    </row>
    <row r="225" spans="1:47" x14ac:dyDescent="0.3">
      <c r="A225" t="str">
        <f>'[1]Forward Ranks'!A225</f>
        <v>Keegan Kolesar</v>
      </c>
      <c r="B225">
        <f>'[1]Forward Ranks'!D225</f>
        <v>0</v>
      </c>
      <c r="C225" s="1">
        <f>'[1]Forward Ranks'!I225</f>
        <v>7.2052401746724892E-2</v>
      </c>
      <c r="D225" s="1">
        <f>'[1]Forward Ranks'!J225</f>
        <v>0.69213973799126638</v>
      </c>
      <c r="E225" s="1">
        <f>'[1]Forward Ranks'!K225</f>
        <v>0.33842794759825329</v>
      </c>
      <c r="F225" s="1">
        <f>'[1]Forward Ranks'!L225</f>
        <v>0.29039301310043669</v>
      </c>
      <c r="G225">
        <f>'[1]Forward Ranks'!N225</f>
        <v>0</v>
      </c>
      <c r="H225" s="1">
        <f>'[1]Forward Ranks'!S225</f>
        <v>0.34934497816593885</v>
      </c>
      <c r="I225" s="1">
        <f>'[1]Forward Ranks'!T225</f>
        <v>0.2816593886462882</v>
      </c>
      <c r="J225" s="1">
        <f>'[1]Forward Ranks'!U225</f>
        <v>0.70305676855895194</v>
      </c>
      <c r="K225" s="1">
        <f>'[1]Forward Ranks'!V225</f>
        <v>0.26419213973799127</v>
      </c>
      <c r="L225">
        <f>'[1]Forward Ranks'!X225</f>
        <v>0</v>
      </c>
      <c r="M225" s="1">
        <f>'[1]Forward Ranks'!AC225</f>
        <v>0.66375545851528384</v>
      </c>
      <c r="N225" s="1">
        <f>'[1]Forward Ranks'!AD225</f>
        <v>0.92794759825327511</v>
      </c>
      <c r="O225" s="1">
        <f>'[1]Forward Ranks'!AE225</f>
        <v>0.89519650655021832</v>
      </c>
      <c r="P225" s="1">
        <f>'[1]Forward Ranks'!AF225</f>
        <v>0.83842794759825323</v>
      </c>
      <c r="Q225">
        <f>'[1]Forward Ranks'!AH225</f>
        <v>0</v>
      </c>
      <c r="R225" s="1">
        <f>'[1]Forward Ranks'!AM225</f>
        <v>4.8034934497816595E-2</v>
      </c>
      <c r="S225" s="1">
        <f>'[1]Forward Ranks'!AN225</f>
        <v>0.72925764192139741</v>
      </c>
      <c r="T225" s="1">
        <f>'[1]Forward Ranks'!AO225</f>
        <v>0.28384279475982532</v>
      </c>
      <c r="U225" s="1">
        <f>'[1]Forward Ranks'!AP225</f>
        <v>0.29257641921397382</v>
      </c>
      <c r="V225">
        <f>'[1]Forward Ranks'!AR225</f>
        <v>0</v>
      </c>
      <c r="W225" s="1">
        <f>'[1]Forward Ranks'!AW225</f>
        <v>0.82314410480349343</v>
      </c>
      <c r="X225" s="1">
        <f>'[1]Forward Ranks'!AX225</f>
        <v>0.81877729257641918</v>
      </c>
      <c r="Y225" s="1">
        <f>'[1]Forward Ranks'!AY225</f>
        <v>0.84061135371179041</v>
      </c>
      <c r="Z225" s="1">
        <f>'[1]Forward Ranks'!AZ225</f>
        <v>0.77947598253275108</v>
      </c>
      <c r="AA225">
        <f>'[1]Forward Ranks'!BB225</f>
        <v>0</v>
      </c>
      <c r="AB225" s="1">
        <f>'[1]Forward Ranks'!BG225</f>
        <v>0.33624454148471616</v>
      </c>
      <c r="AC225" s="1">
        <f>'[1]Forward Ranks'!BH225</f>
        <v>4.148471615720524E-2</v>
      </c>
      <c r="AD225" s="1">
        <f>'[1]Forward Ranks'!BI225</f>
        <v>0.61353711790393017</v>
      </c>
      <c r="AE225" s="1">
        <f>'[1]Forward Ranks'!BJ225</f>
        <v>0.83406113537117899</v>
      </c>
      <c r="AF225">
        <f>'[1]Forward Ranks'!BL225</f>
        <v>0</v>
      </c>
      <c r="AG225" s="1">
        <f>'[1]Forward Ranks'!BQ225</f>
        <v>0.2183406113537118</v>
      </c>
      <c r="AH225" s="1">
        <f>'[1]Forward Ranks'!BR225</f>
        <v>0.88209606986899558</v>
      </c>
      <c r="AI225" s="1">
        <f>'[1]Forward Ranks'!BS225</f>
        <v>0.68995633187772931</v>
      </c>
      <c r="AJ225" s="1">
        <f>'[1]Forward Ranks'!BT225</f>
        <v>0.55676855895196509</v>
      </c>
      <c r="AL225" s="2">
        <f>'[1]Forward Ranks'!BX225</f>
        <v>0.30131004366812225</v>
      </c>
      <c r="AN225" t="str">
        <f>'[1]Forward Ranks'!B225</f>
        <v>VGK</v>
      </c>
      <c r="AO225">
        <f>'[1]F on ice'!E225</f>
        <v>74</v>
      </c>
      <c r="AP225" s="2">
        <f>'[1]Impact Score Math'!E225</f>
        <v>0.34869739478957917</v>
      </c>
      <c r="AQ225">
        <f>'[1]Impact Score Math'!G225</f>
        <v>326</v>
      </c>
      <c r="AT225" s="1">
        <f>'[1]Forward Ranks'!CJ225</f>
        <v>0.1222707423580786</v>
      </c>
      <c r="AU225" s="1">
        <f>'[1]Forward Ranks'!CK225</f>
        <v>0.83842794759825323</v>
      </c>
    </row>
    <row r="226" spans="1:47" x14ac:dyDescent="0.3">
      <c r="A226" t="str">
        <f>'[1]Forward Ranks'!A226</f>
        <v>Kent Johnson</v>
      </c>
      <c r="B226">
        <f>'[1]Forward Ranks'!D226</f>
        <v>0</v>
      </c>
      <c r="C226" s="1">
        <f>'[1]Forward Ranks'!I226</f>
        <v>0.12882096069868995</v>
      </c>
      <c r="D226" s="1">
        <f>'[1]Forward Ranks'!J226</f>
        <v>7.6419213973799124E-2</v>
      </c>
      <c r="E226" s="1">
        <f>'[1]Forward Ranks'!K226</f>
        <v>0.45196506550218341</v>
      </c>
      <c r="F226" s="1">
        <f>'[1]Forward Ranks'!L226</f>
        <v>0.11353711790393013</v>
      </c>
      <c r="G226">
        <f>'[1]Forward Ranks'!N226</f>
        <v>0</v>
      </c>
      <c r="H226" s="1">
        <f>'[1]Forward Ranks'!S226</f>
        <v>0.34279475982532753</v>
      </c>
      <c r="I226" s="1">
        <f>'[1]Forward Ranks'!T226</f>
        <v>0.5</v>
      </c>
      <c r="J226" s="1">
        <f>'[1]Forward Ranks'!U226</f>
        <v>0.67903930131004364</v>
      </c>
      <c r="K226" s="1">
        <f>'[1]Forward Ranks'!V226</f>
        <v>0.41484716157205243</v>
      </c>
      <c r="L226">
        <f>'[1]Forward Ranks'!X226</f>
        <v>0</v>
      </c>
      <c r="M226" s="1">
        <f>'[1]Forward Ranks'!AC226</f>
        <v>0.13100436681222707</v>
      </c>
      <c r="N226" s="1">
        <f>'[1]Forward Ranks'!AD226</f>
        <v>0.19213973799126638</v>
      </c>
      <c r="O226" s="1">
        <f>'[1]Forward Ranks'!AE226</f>
        <v>0.23362445414847161</v>
      </c>
      <c r="P226" s="1">
        <f>'[1]Forward Ranks'!AF226</f>
        <v>0.14192139737991266</v>
      </c>
      <c r="Q226">
        <f>'[1]Forward Ranks'!AH226</f>
        <v>0</v>
      </c>
      <c r="R226" s="1">
        <f>'[1]Forward Ranks'!AM226</f>
        <v>0.21615720524017468</v>
      </c>
      <c r="S226" s="1">
        <f>'[1]Forward Ranks'!AN226</f>
        <v>0.21397379912663755</v>
      </c>
      <c r="T226" s="1">
        <f>'[1]Forward Ranks'!AO226</f>
        <v>0.71834061135371174</v>
      </c>
      <c r="U226" s="1">
        <f>'[1]Forward Ranks'!AP226</f>
        <v>0.2205240174672489</v>
      </c>
      <c r="V226">
        <f>'[1]Forward Ranks'!AR226</f>
        <v>0</v>
      </c>
      <c r="W226" s="1">
        <f>'[1]Forward Ranks'!AW226</f>
        <v>0.72925764192139741</v>
      </c>
      <c r="X226" s="1">
        <f>'[1]Forward Ranks'!AX226</f>
        <v>0.4366812227074236</v>
      </c>
      <c r="Y226" s="1">
        <f>'[1]Forward Ranks'!AY226</f>
        <v>0.84061135371179041</v>
      </c>
      <c r="Z226" s="1">
        <f>'[1]Forward Ranks'!AZ226</f>
        <v>0.4366812227074236</v>
      </c>
      <c r="AA226">
        <f>'[1]Forward Ranks'!BB226</f>
        <v>0</v>
      </c>
      <c r="AB226" s="1">
        <f>'[1]Forward Ranks'!BG226</f>
        <v>0.50655021834061131</v>
      </c>
      <c r="AC226" s="1">
        <f>'[1]Forward Ranks'!BH226</f>
        <v>0.94104803493449785</v>
      </c>
      <c r="AD226" s="1">
        <f>'[1]Forward Ranks'!BI226</f>
        <v>0.75545851528384278</v>
      </c>
      <c r="AE226" s="1">
        <f>'[1]Forward Ranks'!BJ226</f>
        <v>0.61790393013100442</v>
      </c>
      <c r="AF226">
        <f>'[1]Forward Ranks'!BL226</f>
        <v>0</v>
      </c>
      <c r="AG226" s="1">
        <f>'[1]Forward Ranks'!BQ226</f>
        <v>9.3886462882096067E-2</v>
      </c>
      <c r="AH226" s="1">
        <f>'[1]Forward Ranks'!BR226</f>
        <v>7.6419213973799124E-2</v>
      </c>
      <c r="AI226" s="1">
        <f>'[1]Forward Ranks'!BS226</f>
        <v>0.27729257641921395</v>
      </c>
      <c r="AJ226" s="1">
        <f>'[1]Forward Ranks'!BT226</f>
        <v>7.6419213973799124E-2</v>
      </c>
      <c r="AL226" s="2">
        <f>'[1]Forward Ranks'!BX226</f>
        <v>0.10262008733624454</v>
      </c>
      <c r="AN226" t="str">
        <f>'[1]Forward Ranks'!B226</f>
        <v>CBJ</v>
      </c>
      <c r="AO226">
        <f>'[1]F on ice'!E226</f>
        <v>79</v>
      </c>
      <c r="AP226" s="2">
        <f>'[1]Impact Score Math'!E226</f>
        <v>0.20240480961923848</v>
      </c>
      <c r="AQ226">
        <f>'[1]Impact Score Math'!G226</f>
        <v>399</v>
      </c>
      <c r="AT226" s="1">
        <f>'[1]Forward Ranks'!CJ226</f>
        <v>0.79475982532751088</v>
      </c>
      <c r="AU226" s="1">
        <f>'[1]Forward Ranks'!CK226</f>
        <v>0.2576419213973799</v>
      </c>
    </row>
    <row r="227" spans="1:47" x14ac:dyDescent="0.3">
      <c r="A227" t="str">
        <f>'[1]Forward Ranks'!A227</f>
        <v>Kevin Fiala</v>
      </c>
      <c r="B227">
        <f>'[1]Forward Ranks'!D227</f>
        <v>0</v>
      </c>
      <c r="C227" s="1">
        <f>'[1]Forward Ranks'!I227</f>
        <v>0.71397379912663761</v>
      </c>
      <c r="D227" s="1">
        <f>'[1]Forward Ranks'!J227</f>
        <v>0.82314410480349343</v>
      </c>
      <c r="E227" s="1">
        <f>'[1]Forward Ranks'!K227</f>
        <v>0.86462882096069871</v>
      </c>
      <c r="F227" s="1">
        <f>'[1]Forward Ranks'!L227</f>
        <v>0.81222707423580787</v>
      </c>
      <c r="G227">
        <f>'[1]Forward Ranks'!N227</f>
        <v>0</v>
      </c>
      <c r="H227" s="1">
        <f>'[1]Forward Ranks'!S227</f>
        <v>0.34934497816593885</v>
      </c>
      <c r="I227" s="1">
        <f>'[1]Forward Ranks'!T227</f>
        <v>0.98908296943231444</v>
      </c>
      <c r="J227" s="1">
        <f>'[1]Forward Ranks'!U227</f>
        <v>0.98471615720524019</v>
      </c>
      <c r="K227" s="1">
        <f>'[1]Forward Ranks'!V227</f>
        <v>0.93449781659388642</v>
      </c>
      <c r="L227">
        <f>'[1]Forward Ranks'!X227</f>
        <v>0</v>
      </c>
      <c r="M227" s="1">
        <f>'[1]Forward Ranks'!AC227</f>
        <v>0.65720524017467252</v>
      </c>
      <c r="N227" s="1">
        <f>'[1]Forward Ranks'!AD227</f>
        <v>0.57205240174672489</v>
      </c>
      <c r="O227" s="1">
        <f>'[1]Forward Ranks'!AE227</f>
        <v>0.22707423580786026</v>
      </c>
      <c r="P227" s="1">
        <f>'[1]Forward Ranks'!AF227</f>
        <v>0.49563318777292575</v>
      </c>
      <c r="Q227">
        <f>'[1]Forward Ranks'!AH227</f>
        <v>0</v>
      </c>
      <c r="R227" s="1">
        <f>'[1]Forward Ranks'!AM227</f>
        <v>0.58296943231441045</v>
      </c>
      <c r="S227" s="1">
        <f>'[1]Forward Ranks'!AN227</f>
        <v>0.83842794759825323</v>
      </c>
      <c r="T227" s="1">
        <f>'[1]Forward Ranks'!AO227</f>
        <v>0.87991266375545851</v>
      </c>
      <c r="U227" s="1">
        <f>'[1]Forward Ranks'!AP227</f>
        <v>0.8253275109170306</v>
      </c>
      <c r="V227">
        <f>'[1]Forward Ranks'!AR227</f>
        <v>0</v>
      </c>
      <c r="W227" s="1">
        <f>'[1]Forward Ranks'!AW227</f>
        <v>0.2205240174672489</v>
      </c>
      <c r="X227" s="1">
        <f>'[1]Forward Ranks'!AX227</f>
        <v>0.26200873362445415</v>
      </c>
      <c r="Y227" s="1">
        <f>'[1]Forward Ranks'!AY227</f>
        <v>0.11353711790393013</v>
      </c>
      <c r="Z227" s="1">
        <f>'[1]Forward Ranks'!AZ227</f>
        <v>0.14192139737991266</v>
      </c>
      <c r="AA227">
        <f>'[1]Forward Ranks'!BB227</f>
        <v>0</v>
      </c>
      <c r="AB227" s="1">
        <f>'[1]Forward Ranks'!BG227</f>
        <v>0.81659388646288211</v>
      </c>
      <c r="AC227" s="1">
        <f>'[1]Forward Ranks'!BH227</f>
        <v>0.66812227074235808</v>
      </c>
      <c r="AD227" s="1">
        <f>'[1]Forward Ranks'!BI227</f>
        <v>0.80349344978165937</v>
      </c>
      <c r="AE227" s="1">
        <f>'[1]Forward Ranks'!BJ227</f>
        <v>0.35807860262008734</v>
      </c>
      <c r="AF227">
        <f>'[1]Forward Ranks'!BL227</f>
        <v>0</v>
      </c>
      <c r="AG227" s="1">
        <f>'[1]Forward Ranks'!BQ227</f>
        <v>0.72925764192139741</v>
      </c>
      <c r="AH227" s="1">
        <f>'[1]Forward Ranks'!BR227</f>
        <v>0.79475982532751088</v>
      </c>
      <c r="AI227" s="1">
        <f>'[1]Forward Ranks'!BS227</f>
        <v>0.59170305676855894</v>
      </c>
      <c r="AJ227" s="1">
        <f>'[1]Forward Ranks'!BT227</f>
        <v>0.75327510917030571</v>
      </c>
      <c r="AL227" s="2">
        <f>'[1]Forward Ranks'!BX227</f>
        <v>0.70960698689956336</v>
      </c>
      <c r="AN227" t="str">
        <f>'[1]Forward Ranks'!B227</f>
        <v>L.A</v>
      </c>
      <c r="AO227">
        <f>'[1]F on ice'!E227</f>
        <v>69</v>
      </c>
      <c r="AP227" s="2">
        <f>'[1]Impact Score Math'!E227</f>
        <v>0.79358717434869741</v>
      </c>
      <c r="AQ227">
        <f>'[1]Impact Score Math'!G227</f>
        <v>104</v>
      </c>
      <c r="AT227" s="1">
        <f>'[1]Forward Ranks'!CJ227</f>
        <v>0.20305676855895197</v>
      </c>
      <c r="AU227" s="1">
        <f>'[1]Forward Ranks'!CK227</f>
        <v>0.72707423580786024</v>
      </c>
    </row>
    <row r="228" spans="1:47" x14ac:dyDescent="0.3">
      <c r="A228" t="str">
        <f>'[1]Forward Ranks'!A228</f>
        <v>Kevin Hayes</v>
      </c>
      <c r="B228">
        <f>'[1]Forward Ranks'!D228</f>
        <v>0</v>
      </c>
      <c r="C228" s="1">
        <f>'[1]Forward Ranks'!I228</f>
        <v>0.76200873362445409</v>
      </c>
      <c r="D228" s="1">
        <f>'[1]Forward Ranks'!J228</f>
        <v>0.59388646288209612</v>
      </c>
      <c r="E228" s="1">
        <f>'[1]Forward Ranks'!K228</f>
        <v>0.42358078602620086</v>
      </c>
      <c r="F228" s="1">
        <f>'[1]Forward Ranks'!L228</f>
        <v>0.66375545851528384</v>
      </c>
      <c r="G228">
        <f>'[1]Forward Ranks'!N228</f>
        <v>0</v>
      </c>
      <c r="H228" s="1">
        <f>'[1]Forward Ranks'!S228</f>
        <v>0.32096069868995636</v>
      </c>
      <c r="I228" s="1">
        <f>'[1]Forward Ranks'!T228</f>
        <v>0.71179039301310043</v>
      </c>
      <c r="J228" s="1">
        <f>'[1]Forward Ranks'!U228</f>
        <v>0.9366812227074236</v>
      </c>
      <c r="K228" s="1">
        <f>'[1]Forward Ranks'!V228</f>
        <v>0.5633187772925764</v>
      </c>
      <c r="L228">
        <f>'[1]Forward Ranks'!X228</f>
        <v>0</v>
      </c>
      <c r="M228" s="1">
        <f>'[1]Forward Ranks'!AC228</f>
        <v>0.27947598253275108</v>
      </c>
      <c r="N228" s="1">
        <f>'[1]Forward Ranks'!AD228</f>
        <v>0.14628820960698691</v>
      </c>
      <c r="O228" s="1">
        <f>'[1]Forward Ranks'!AE228</f>
        <v>0.38209606986899564</v>
      </c>
      <c r="P228" s="1">
        <f>'[1]Forward Ranks'!AF228</f>
        <v>0.24017467248908297</v>
      </c>
      <c r="Q228">
        <f>'[1]Forward Ranks'!AH228</f>
        <v>0</v>
      </c>
      <c r="R228" s="1">
        <f>'[1]Forward Ranks'!AM228</f>
        <v>0.90829694323144106</v>
      </c>
      <c r="S228" s="1">
        <f>'[1]Forward Ranks'!AN228</f>
        <v>0.80131004366812231</v>
      </c>
      <c r="T228" s="1">
        <f>'[1]Forward Ranks'!AO228</f>
        <v>0.60480349344978168</v>
      </c>
      <c r="U228" s="1">
        <f>'[1]Forward Ranks'!AP228</f>
        <v>0.86244541484716153</v>
      </c>
      <c r="V228">
        <f>'[1]Forward Ranks'!AR228</f>
        <v>0</v>
      </c>
      <c r="W228" s="1">
        <f>'[1]Forward Ranks'!AW228</f>
        <v>0.26200873362445415</v>
      </c>
      <c r="X228" s="1">
        <f>'[1]Forward Ranks'!AX228</f>
        <v>6.9868995633187769E-2</v>
      </c>
      <c r="Y228" s="1">
        <f>'[1]Forward Ranks'!AY228</f>
        <v>0.37117903930131002</v>
      </c>
      <c r="Z228" s="1">
        <f>'[1]Forward Ranks'!AZ228</f>
        <v>0.16375545851528384</v>
      </c>
      <c r="AA228">
        <f>'[1]Forward Ranks'!BB228</f>
        <v>0</v>
      </c>
      <c r="AB228" s="1">
        <f>'[1]Forward Ranks'!BG228</f>
        <v>0.88209606986899558</v>
      </c>
      <c r="AC228" s="1">
        <f>'[1]Forward Ranks'!BH228</f>
        <v>0.6746724890829694</v>
      </c>
      <c r="AD228" s="1">
        <f>'[1]Forward Ranks'!BI228</f>
        <v>0.29912663755458513</v>
      </c>
      <c r="AE228" s="1">
        <f>'[1]Forward Ranks'!BJ228</f>
        <v>0.34061135371179041</v>
      </c>
      <c r="AF228">
        <f>'[1]Forward Ranks'!BL228</f>
        <v>0</v>
      </c>
      <c r="AG228" s="1">
        <f>'[1]Forward Ranks'!BQ228</f>
        <v>0.57860262008733621</v>
      </c>
      <c r="AH228" s="1">
        <f>'[1]Forward Ranks'!BR228</f>
        <v>0.37117903930131002</v>
      </c>
      <c r="AI228" s="1">
        <f>'[1]Forward Ranks'!BS228</f>
        <v>0.38427947598253276</v>
      </c>
      <c r="AJ228" s="1">
        <f>'[1]Forward Ranks'!BT228</f>
        <v>0.47161572052401746</v>
      </c>
      <c r="AL228" s="2">
        <f>'[1]Forward Ranks'!BX228</f>
        <v>0.59825327510917026</v>
      </c>
      <c r="AN228" t="str">
        <f>'[1]Forward Ranks'!B228</f>
        <v>PHI</v>
      </c>
      <c r="AO228">
        <f>'[1]F on ice'!E228</f>
        <v>81</v>
      </c>
      <c r="AP228" s="2">
        <f>'[1]Impact Score Math'!E228</f>
        <v>0.72545090180360716</v>
      </c>
      <c r="AQ228">
        <f>'[1]Impact Score Math'!G228</f>
        <v>138</v>
      </c>
      <c r="AT228" s="1">
        <f>'[1]Forward Ranks'!CJ228</f>
        <v>0.75327510917030571</v>
      </c>
      <c r="AU228" s="1">
        <f>'[1]Forward Ranks'!CK228</f>
        <v>0.27729257641921395</v>
      </c>
    </row>
    <row r="229" spans="1:47" x14ac:dyDescent="0.3">
      <c r="A229" t="str">
        <f>'[1]Forward Ranks'!A229</f>
        <v>Kevin Labanc</v>
      </c>
      <c r="B229">
        <f>'[1]Forward Ranks'!D229</f>
        <v>0</v>
      </c>
      <c r="C229" s="1">
        <f>'[1]Forward Ranks'!I229</f>
        <v>0.77729257641921401</v>
      </c>
      <c r="D229" s="1">
        <f>'[1]Forward Ranks'!J229</f>
        <v>0.87991266375545851</v>
      </c>
      <c r="E229" s="1">
        <f>'[1]Forward Ranks'!K229</f>
        <v>0.81441048034934493</v>
      </c>
      <c r="F229" s="1">
        <f>'[1]Forward Ranks'!L229</f>
        <v>0.84716157205240172</v>
      </c>
      <c r="G229">
        <f>'[1]Forward Ranks'!N229</f>
        <v>0</v>
      </c>
      <c r="H229" s="1">
        <f>'[1]Forward Ranks'!S229</f>
        <v>0.73580786026200873</v>
      </c>
      <c r="I229" s="1">
        <f>'[1]Forward Ranks'!T229</f>
        <v>0.61353711790393017</v>
      </c>
      <c r="J229" s="1">
        <f>'[1]Forward Ranks'!U229</f>
        <v>0.79912663755458513</v>
      </c>
      <c r="K229" s="1">
        <f>'[1]Forward Ranks'!V229</f>
        <v>0.69432314410480345</v>
      </c>
      <c r="L229">
        <f>'[1]Forward Ranks'!X229</f>
        <v>0</v>
      </c>
      <c r="M229" s="1">
        <f>'[1]Forward Ranks'!AC229</f>
        <v>0.6506550218340611</v>
      </c>
      <c r="N229" s="1">
        <f>'[1]Forward Ranks'!AD229</f>
        <v>0.75982532751091703</v>
      </c>
      <c r="O229" s="1">
        <f>'[1]Forward Ranks'!AE229</f>
        <v>9.606986899563319E-2</v>
      </c>
      <c r="P229" s="1">
        <f>'[1]Forward Ranks'!AF229</f>
        <v>0.50436681222707425</v>
      </c>
      <c r="Q229">
        <f>'[1]Forward Ranks'!AH229</f>
        <v>0</v>
      </c>
      <c r="R229" s="1">
        <f>'[1]Forward Ranks'!AM229</f>
        <v>0.91484716157205237</v>
      </c>
      <c r="S229" s="1">
        <f>'[1]Forward Ranks'!AN229</f>
        <v>0.79694323144104806</v>
      </c>
      <c r="T229" s="1">
        <f>'[1]Forward Ranks'!AO229</f>
        <v>0.84497816593886466</v>
      </c>
      <c r="U229" s="1">
        <f>'[1]Forward Ranks'!AP229</f>
        <v>0.79257641921397382</v>
      </c>
      <c r="V229">
        <f>'[1]Forward Ranks'!AR229</f>
        <v>0</v>
      </c>
      <c r="W229" s="1">
        <f>'[1]Forward Ranks'!AW229</f>
        <v>0.88209606986899558</v>
      </c>
      <c r="X229" s="1">
        <f>'[1]Forward Ranks'!AX229</f>
        <v>0.89082969432314407</v>
      </c>
      <c r="Y229" s="1">
        <f>'[1]Forward Ranks'!AY229</f>
        <v>0.58515283842794763</v>
      </c>
      <c r="Z229" s="1">
        <f>'[1]Forward Ranks'!AZ229</f>
        <v>0.76200873362445409</v>
      </c>
      <c r="AA229">
        <f>'[1]Forward Ranks'!BB229</f>
        <v>0</v>
      </c>
      <c r="AB229" s="1">
        <f>'[1]Forward Ranks'!BG229</f>
        <v>0.57860262008733621</v>
      </c>
      <c r="AC229" s="1">
        <f>'[1]Forward Ranks'!BH229</f>
        <v>0.40829694323144106</v>
      </c>
      <c r="AD229" s="1">
        <f>'[1]Forward Ranks'!BI229</f>
        <v>0.76637554585152834</v>
      </c>
      <c r="AE229" s="1">
        <f>'[1]Forward Ranks'!BJ229</f>
        <v>0.24672489082969432</v>
      </c>
      <c r="AF229">
        <f>'[1]Forward Ranks'!BL229</f>
        <v>0</v>
      </c>
      <c r="AG229" s="1">
        <f>'[1]Forward Ranks'!BQ229</f>
        <v>0.77947598253275108</v>
      </c>
      <c r="AH229" s="1">
        <f>'[1]Forward Ranks'!BR229</f>
        <v>0.90174672489082974</v>
      </c>
      <c r="AI229" s="1">
        <f>'[1]Forward Ranks'!BS229</f>
        <v>0.42576419213973798</v>
      </c>
      <c r="AJ229" s="1">
        <f>'[1]Forward Ranks'!BT229</f>
        <v>0.78384279475982532</v>
      </c>
      <c r="AL229" s="2">
        <f>'[1]Forward Ranks'!BX229</f>
        <v>0.90829694323144106</v>
      </c>
      <c r="AN229" t="str">
        <f>'[1]Forward Ranks'!B229</f>
        <v>S.J</v>
      </c>
      <c r="AO229">
        <f>'[1]F on ice'!E229</f>
        <v>72</v>
      </c>
      <c r="AP229" s="2">
        <f>'[1]Impact Score Math'!E229</f>
        <v>0.88176352705410821</v>
      </c>
      <c r="AQ229">
        <f>'[1]Impact Score Math'!G229</f>
        <v>60</v>
      </c>
      <c r="AT229" s="1">
        <f>'[1]Forward Ranks'!CJ229</f>
        <v>0.26855895196506552</v>
      </c>
      <c r="AU229" s="1">
        <f>'[1]Forward Ranks'!CK229</f>
        <v>8.5152838427947602E-2</v>
      </c>
    </row>
    <row r="230" spans="1:47" x14ac:dyDescent="0.3">
      <c r="A230" t="str">
        <f>'[1]Forward Ranks'!A230</f>
        <v>Kevin Stenlund</v>
      </c>
      <c r="B230">
        <f>'[1]Forward Ranks'!D230</f>
        <v>0</v>
      </c>
      <c r="C230" s="1">
        <f>'[1]Forward Ranks'!I230</f>
        <v>0.36026200873362446</v>
      </c>
      <c r="D230" s="1">
        <f>'[1]Forward Ranks'!J230</f>
        <v>0.16593886462882096</v>
      </c>
      <c r="E230" s="1">
        <f>'[1]Forward Ranks'!K230</f>
        <v>0.1331877729257642</v>
      </c>
      <c r="F230" s="1">
        <f>'[1]Forward Ranks'!L230</f>
        <v>0.31659388646288211</v>
      </c>
      <c r="G230">
        <f>'[1]Forward Ranks'!N230</f>
        <v>0</v>
      </c>
      <c r="H230" s="1">
        <f>'[1]Forward Ranks'!S230</f>
        <v>0.1222707423580786</v>
      </c>
      <c r="I230" s="1">
        <f>'[1]Forward Ranks'!T230</f>
        <v>5.6768558951965066E-2</v>
      </c>
      <c r="J230" s="1">
        <f>'[1]Forward Ranks'!U230</f>
        <v>4.3668122270742356E-2</v>
      </c>
      <c r="K230" s="1">
        <f>'[1]Forward Ranks'!V230</f>
        <v>4.3668122270742356E-2</v>
      </c>
      <c r="L230">
        <f>'[1]Forward Ranks'!X230</f>
        <v>0</v>
      </c>
      <c r="M230" s="1">
        <f>'[1]Forward Ranks'!AC230</f>
        <v>0.94978165938864634</v>
      </c>
      <c r="N230" s="1">
        <f>'[1]Forward Ranks'!AD230</f>
        <v>0.54366812227074235</v>
      </c>
      <c r="O230" s="1">
        <f>'[1]Forward Ranks'!AE230</f>
        <v>0.97379912663755464</v>
      </c>
      <c r="P230" s="1">
        <f>'[1]Forward Ranks'!AF230</f>
        <v>0.88427947598253276</v>
      </c>
      <c r="Q230">
        <f>'[1]Forward Ranks'!AH230</f>
        <v>0</v>
      </c>
      <c r="R230" s="1">
        <f>'[1]Forward Ranks'!AM230</f>
        <v>0.19213973799126638</v>
      </c>
      <c r="S230" s="1">
        <f>'[1]Forward Ranks'!AN230</f>
        <v>2.8384279475982533E-2</v>
      </c>
      <c r="T230" s="1">
        <f>'[1]Forward Ranks'!AO230</f>
        <v>0.18558951965065501</v>
      </c>
      <c r="U230" s="1">
        <f>'[1]Forward Ranks'!AP230</f>
        <v>0.12008733624454149</v>
      </c>
      <c r="V230">
        <f>'[1]Forward Ranks'!AR230</f>
        <v>0</v>
      </c>
      <c r="W230" s="1">
        <f>'[1]Forward Ranks'!AW230</f>
        <v>0.94759825327510916</v>
      </c>
      <c r="X230" s="1">
        <f>'[1]Forward Ranks'!AX230</f>
        <v>0.29912663755458513</v>
      </c>
      <c r="Y230" s="1">
        <f>'[1]Forward Ranks'!AY230</f>
        <v>0.95196506550218341</v>
      </c>
      <c r="Z230" s="1">
        <f>'[1]Forward Ranks'!AZ230</f>
        <v>0.87991266375545851</v>
      </c>
      <c r="AA230">
        <f>'[1]Forward Ranks'!BB230</f>
        <v>0</v>
      </c>
      <c r="AB230" s="1">
        <f>'[1]Forward Ranks'!BG230</f>
        <v>4.5851528384279479E-2</v>
      </c>
      <c r="AC230" s="1">
        <f>'[1]Forward Ranks'!BH230</f>
        <v>5.458515283842795E-2</v>
      </c>
      <c r="AD230" s="1">
        <f>'[1]Forward Ranks'!BI230</f>
        <v>0.11790393013100436</v>
      </c>
      <c r="AE230" s="1">
        <f>'[1]Forward Ranks'!BJ230</f>
        <v>0.61790393013100442</v>
      </c>
      <c r="AF230">
        <f>'[1]Forward Ranks'!BL230</f>
        <v>0</v>
      </c>
      <c r="AG230" s="1">
        <f>'[1]Forward Ranks'!BQ230</f>
        <v>0.73362445414847166</v>
      </c>
      <c r="AH230" s="1">
        <f>'[1]Forward Ranks'!BR230</f>
        <v>0.23580786026200873</v>
      </c>
      <c r="AI230" s="1">
        <f>'[1]Forward Ranks'!BS230</f>
        <v>0.66593886462882101</v>
      </c>
      <c r="AJ230" s="1">
        <f>'[1]Forward Ranks'!BT230</f>
        <v>0.61353711790393017</v>
      </c>
      <c r="AL230" s="2">
        <f>'[1]Forward Ranks'!BX230</f>
        <v>0.42576419213973798</v>
      </c>
      <c r="AN230" t="str">
        <f>'[1]Forward Ranks'!B230</f>
        <v>WPG</v>
      </c>
      <c r="AO230">
        <f>'[1]F on ice'!E230</f>
        <v>54</v>
      </c>
      <c r="AP230" s="2">
        <f>'[1]Impact Score Math'!E230</f>
        <v>0.32264529058116231</v>
      </c>
      <c r="AQ230">
        <f>'[1]Impact Score Math'!G230</f>
        <v>339</v>
      </c>
      <c r="AT230" s="1">
        <f>'[1]Forward Ranks'!CJ230</f>
        <v>0.38646288209606988</v>
      </c>
      <c r="AU230" s="1">
        <f>'[1]Forward Ranks'!CK230</f>
        <v>0.25545851528384278</v>
      </c>
    </row>
    <row r="231" spans="1:47" x14ac:dyDescent="0.3">
      <c r="A231" t="str">
        <f>'[1]Forward Ranks'!A231</f>
        <v>Kiefer Sherwood</v>
      </c>
      <c r="B231">
        <f>'[1]Forward Ranks'!D231</f>
        <v>0</v>
      </c>
      <c r="C231" s="1">
        <f>'[1]Forward Ranks'!I231</f>
        <v>0.30349344978165937</v>
      </c>
      <c r="D231" s="1">
        <f>'[1]Forward Ranks'!J231</f>
        <v>0.41921397379912662</v>
      </c>
      <c r="E231" s="1">
        <f>'[1]Forward Ranks'!K231</f>
        <v>0.75764192139737996</v>
      </c>
      <c r="F231" s="1">
        <f>'[1]Forward Ranks'!L231</f>
        <v>0.45414847161572053</v>
      </c>
      <c r="G231">
        <f>'[1]Forward Ranks'!N231</f>
        <v>0</v>
      </c>
      <c r="H231" s="1">
        <f>'[1]Forward Ranks'!S231</f>
        <v>0.79475982532751088</v>
      </c>
      <c r="I231" s="1">
        <f>'[1]Forward Ranks'!T231</f>
        <v>0.36026200873362446</v>
      </c>
      <c r="J231" s="1">
        <f>'[1]Forward Ranks'!U231</f>
        <v>0.39519650655021832</v>
      </c>
      <c r="K231" s="1">
        <f>'[1]Forward Ranks'!V231</f>
        <v>0.58951965065502188</v>
      </c>
      <c r="L231">
        <f>'[1]Forward Ranks'!X231</f>
        <v>0</v>
      </c>
      <c r="M231" s="1">
        <f>'[1]Forward Ranks'!AC231</f>
        <v>0.22270742358078602</v>
      </c>
      <c r="N231" s="1">
        <f>'[1]Forward Ranks'!AD231</f>
        <v>0.21179039301310043</v>
      </c>
      <c r="O231" s="1">
        <f>'[1]Forward Ranks'!AE231</f>
        <v>0.71179039301310043</v>
      </c>
      <c r="P231" s="1">
        <f>'[1]Forward Ranks'!AF231</f>
        <v>8.9519650655021835E-2</v>
      </c>
      <c r="Q231">
        <f>'[1]Forward Ranks'!AH231</f>
        <v>0</v>
      </c>
      <c r="R231" s="1">
        <f>'[1]Forward Ranks'!AM231</f>
        <v>0.81877729257641918</v>
      </c>
      <c r="S231" s="1">
        <f>'[1]Forward Ranks'!AN231</f>
        <v>0.8253275109170306</v>
      </c>
      <c r="T231" s="1">
        <f>'[1]Forward Ranks'!AO231</f>
        <v>0.94323144104803491</v>
      </c>
      <c r="U231" s="1">
        <f>'[1]Forward Ranks'!AP231</f>
        <v>0.87117903930131002</v>
      </c>
      <c r="V231">
        <f>'[1]Forward Ranks'!AR231</f>
        <v>0</v>
      </c>
      <c r="W231" s="1">
        <f>'[1]Forward Ranks'!AW231</f>
        <v>0.75764192139737996</v>
      </c>
      <c r="X231" s="1">
        <f>'[1]Forward Ranks'!AX231</f>
        <v>0.40393013100436681</v>
      </c>
      <c r="Y231" s="1">
        <f>'[1]Forward Ranks'!AY231</f>
        <v>0.72052401746724892</v>
      </c>
      <c r="Z231" s="1">
        <f>'[1]Forward Ranks'!AZ231</f>
        <v>0.20305676855895197</v>
      </c>
      <c r="AA231">
        <f>'[1]Forward Ranks'!BB231</f>
        <v>0</v>
      </c>
      <c r="AB231" s="1">
        <f>'[1]Forward Ranks'!BG231</f>
        <v>0.4366812227074236</v>
      </c>
      <c r="AC231" s="1">
        <f>'[1]Forward Ranks'!BH231</f>
        <v>0.85152838427947597</v>
      </c>
      <c r="AD231" s="1">
        <f>'[1]Forward Ranks'!BI231</f>
        <v>0.9126637554585153</v>
      </c>
      <c r="AE231" s="1">
        <f>'[1]Forward Ranks'!BJ231</f>
        <v>0.96506550218340614</v>
      </c>
      <c r="AF231">
        <f>'[1]Forward Ranks'!BL231</f>
        <v>0</v>
      </c>
      <c r="AG231" s="1">
        <f>'[1]Forward Ranks'!BQ231</f>
        <v>0.22707423580786026</v>
      </c>
      <c r="AH231" s="1">
        <f>'[1]Forward Ranks'!BR231</f>
        <v>0.27947598253275108</v>
      </c>
      <c r="AI231" s="1">
        <f>'[1]Forward Ranks'!BS231</f>
        <v>0.83187772925764192</v>
      </c>
      <c r="AJ231" s="1">
        <f>'[1]Forward Ranks'!BT231</f>
        <v>0.21397379912663755</v>
      </c>
      <c r="AL231" s="2">
        <f>'[1]Forward Ranks'!BX231</f>
        <v>0.4759825327510917</v>
      </c>
      <c r="AN231" t="str">
        <f>'[1]Forward Ranks'!B231</f>
        <v>NSH</v>
      </c>
      <c r="AO231">
        <f>'[1]F on ice'!E231</f>
        <v>32</v>
      </c>
      <c r="AP231" s="2">
        <f>'[1]Impact Score Math'!E231</f>
        <v>0.51302605210420837</v>
      </c>
      <c r="AQ231">
        <f>'[1]Impact Score Math'!G231</f>
        <v>244</v>
      </c>
      <c r="AT231" s="1">
        <f>'[1]Forward Ranks'!CJ231</f>
        <v>8.0786026200873357E-2</v>
      </c>
      <c r="AU231" s="1">
        <f>'[1]Forward Ranks'!CK231</f>
        <v>0.65502183406113534</v>
      </c>
    </row>
    <row r="232" spans="1:47" x14ac:dyDescent="0.3">
      <c r="A232" t="str">
        <f>'[1]Forward Ranks'!A232</f>
        <v>Kieffer Bellows</v>
      </c>
      <c r="B232">
        <f>'[1]Forward Ranks'!D232</f>
        <v>0</v>
      </c>
      <c r="C232" s="1">
        <f>'[1]Forward Ranks'!I232</f>
        <v>0.17903930131004367</v>
      </c>
      <c r="D232" s="1">
        <f>'[1]Forward Ranks'!J232</f>
        <v>0.11135371179039301</v>
      </c>
      <c r="E232" s="1">
        <f>'[1]Forward Ranks'!K232</f>
        <v>3.7117903930131008E-2</v>
      </c>
      <c r="F232" s="1">
        <f>'[1]Forward Ranks'!L232</f>
        <v>0.11135371179039301</v>
      </c>
      <c r="G232">
        <f>'[1]Forward Ranks'!N232</f>
        <v>0</v>
      </c>
      <c r="H232" s="1">
        <f>'[1]Forward Ranks'!S232</f>
        <v>0.55676855895196509</v>
      </c>
      <c r="I232" s="1">
        <f>'[1]Forward Ranks'!T232</f>
        <v>2.1834061135371178E-3</v>
      </c>
      <c r="J232" s="1">
        <f>'[1]Forward Ranks'!U232</f>
        <v>2.1834061135371178E-3</v>
      </c>
      <c r="K232" s="1">
        <f>'[1]Forward Ranks'!V232</f>
        <v>3.4934497816593885E-2</v>
      </c>
      <c r="L232">
        <f>'[1]Forward Ranks'!X232</f>
        <v>0</v>
      </c>
      <c r="M232" s="1">
        <f>'[1]Forward Ranks'!AC232</f>
        <v>0.59388646288209612</v>
      </c>
      <c r="N232" s="1">
        <f>'[1]Forward Ranks'!AD232</f>
        <v>0.39082969432314413</v>
      </c>
      <c r="O232" s="1">
        <f>'[1]Forward Ranks'!AE232</f>
        <v>0.1222707423580786</v>
      </c>
      <c r="P232" s="1">
        <f>'[1]Forward Ranks'!AF232</f>
        <v>0.69868995633187769</v>
      </c>
      <c r="Q232">
        <f>'[1]Forward Ranks'!AH232</f>
        <v>0</v>
      </c>
      <c r="R232" s="1">
        <f>'[1]Forward Ranks'!AM232</f>
        <v>0.2816593886462882</v>
      </c>
      <c r="S232" s="1">
        <f>'[1]Forward Ranks'!AN232</f>
        <v>7.2052401746724892E-2</v>
      </c>
      <c r="T232" s="1">
        <f>'[1]Forward Ranks'!AO232</f>
        <v>0.15283842794759825</v>
      </c>
      <c r="U232" s="1">
        <f>'[1]Forward Ranks'!AP232</f>
        <v>0.19213973799126638</v>
      </c>
      <c r="V232">
        <f>'[1]Forward Ranks'!AR232</f>
        <v>0</v>
      </c>
      <c r="W232" s="1">
        <f>'[1]Forward Ranks'!AW232</f>
        <v>0.78165938864628826</v>
      </c>
      <c r="X232" s="1">
        <f>'[1]Forward Ranks'!AX232</f>
        <v>0.76200873362445409</v>
      </c>
      <c r="Y232" s="1">
        <f>'[1]Forward Ranks'!AY232</f>
        <v>0.1091703056768559</v>
      </c>
      <c r="Z232" s="1">
        <f>'[1]Forward Ranks'!AZ232</f>
        <v>0.93231441048034935</v>
      </c>
      <c r="AA232">
        <f>'[1]Forward Ranks'!BB232</f>
        <v>0</v>
      </c>
      <c r="AB232" s="1">
        <f>'[1]Forward Ranks'!BG232</f>
        <v>6.5502183406113537E-2</v>
      </c>
      <c r="AC232" s="1">
        <f>'[1]Forward Ranks'!BH232</f>
        <v>0.72707423580786024</v>
      </c>
      <c r="AD232" s="1">
        <f>'[1]Forward Ranks'!BI232</f>
        <v>3.7117903930131008E-2</v>
      </c>
      <c r="AE232" s="1">
        <f>'[1]Forward Ranks'!BJ232</f>
        <v>4.3668122270742356E-3</v>
      </c>
      <c r="AF232">
        <f>'[1]Forward Ranks'!BL232</f>
        <v>0</v>
      </c>
      <c r="AG232" s="1">
        <f>'[1]Forward Ranks'!BQ232</f>
        <v>0.31004366812227074</v>
      </c>
      <c r="AH232" s="1">
        <f>'[1]Forward Ranks'!BR232</f>
        <v>0.1703056768558952</v>
      </c>
      <c r="AI232" s="1">
        <f>'[1]Forward Ranks'!BS232</f>
        <v>2.6200873362445413E-2</v>
      </c>
      <c r="AJ232" s="1">
        <f>'[1]Forward Ranks'!BT232</f>
        <v>0.26419213973799127</v>
      </c>
      <c r="AL232" s="2">
        <f>'[1]Forward Ranks'!BX232</f>
        <v>0.29694323144104806</v>
      </c>
      <c r="AN232" t="str">
        <f>'[1]Forward Ranks'!B232</f>
        <v>NYI, PHI</v>
      </c>
      <c r="AO232">
        <f>'[1]F on ice'!E232</f>
        <v>28</v>
      </c>
      <c r="AP232" s="2">
        <f>'[1]Impact Score Math'!E232</f>
        <v>0.26653306613226452</v>
      </c>
      <c r="AQ232">
        <f>'[1]Impact Score Math'!G232</f>
        <v>367</v>
      </c>
      <c r="AT232" s="1">
        <f>'[1]Forward Ranks'!CJ232</f>
        <v>0.52838427947598254</v>
      </c>
      <c r="AU232" s="1">
        <f>'[1]Forward Ranks'!CK232</f>
        <v>0.69868995633187769</v>
      </c>
    </row>
    <row r="233" spans="1:47" x14ac:dyDescent="0.3">
      <c r="A233" t="str">
        <f>'[1]Forward Ranks'!A233</f>
        <v>Kirby Dach</v>
      </c>
      <c r="B233">
        <f>'[1]Forward Ranks'!D233</f>
        <v>0</v>
      </c>
      <c r="C233" s="1">
        <f>'[1]Forward Ranks'!I233</f>
        <v>0.47379912663755458</v>
      </c>
      <c r="D233" s="1">
        <f>'[1]Forward Ranks'!J233</f>
        <v>0.37772925764192139</v>
      </c>
      <c r="E233" s="1">
        <f>'[1]Forward Ranks'!K233</f>
        <v>0.64628820960698685</v>
      </c>
      <c r="F233" s="1">
        <f>'[1]Forward Ranks'!L233</f>
        <v>0.49344978165938863</v>
      </c>
      <c r="G233">
        <f>'[1]Forward Ranks'!N233</f>
        <v>0</v>
      </c>
      <c r="H233" s="1">
        <f>'[1]Forward Ranks'!S233</f>
        <v>0.388646288209607</v>
      </c>
      <c r="I233" s="1">
        <f>'[1]Forward Ranks'!T233</f>
        <v>0.31877729257641924</v>
      </c>
      <c r="J233" s="1">
        <f>'[1]Forward Ranks'!U233</f>
        <v>0.36244541484716158</v>
      </c>
      <c r="K233" s="1">
        <f>'[1]Forward Ranks'!V233</f>
        <v>0.29694323144104806</v>
      </c>
      <c r="L233">
        <f>'[1]Forward Ranks'!X233</f>
        <v>0</v>
      </c>
      <c r="M233" s="1">
        <f>'[1]Forward Ranks'!AC233</f>
        <v>0.67903930131004364</v>
      </c>
      <c r="N233" s="1">
        <f>'[1]Forward Ranks'!AD233</f>
        <v>0.46724890829694321</v>
      </c>
      <c r="O233" s="1">
        <f>'[1]Forward Ranks'!AE233</f>
        <v>0.5393013100436681</v>
      </c>
      <c r="P233" s="1">
        <f>'[1]Forward Ranks'!AF233</f>
        <v>0.29694323144104806</v>
      </c>
      <c r="Q233">
        <f>'[1]Forward Ranks'!AH233</f>
        <v>0</v>
      </c>
      <c r="R233" s="1">
        <f>'[1]Forward Ranks'!AM233</f>
        <v>0.79475982532751088</v>
      </c>
      <c r="S233" s="1">
        <f>'[1]Forward Ranks'!AN233</f>
        <v>0.65720524017467252</v>
      </c>
      <c r="T233" s="1">
        <f>'[1]Forward Ranks'!AO233</f>
        <v>0.70960698689956336</v>
      </c>
      <c r="U233" s="1">
        <f>'[1]Forward Ranks'!AP233</f>
        <v>0.75982532751091703</v>
      </c>
      <c r="V233">
        <f>'[1]Forward Ranks'!AR233</f>
        <v>0</v>
      </c>
      <c r="W233" s="1">
        <f>'[1]Forward Ranks'!AW233</f>
        <v>0.83406113537117899</v>
      </c>
      <c r="X233" s="1">
        <f>'[1]Forward Ranks'!AX233</f>
        <v>0.86899563318777295</v>
      </c>
      <c r="Y233" s="1">
        <f>'[1]Forward Ranks'!AY233</f>
        <v>0.76200873362445409</v>
      </c>
      <c r="Z233" s="1">
        <f>'[1]Forward Ranks'!AZ233</f>
        <v>0.70960698689956336</v>
      </c>
      <c r="AA233">
        <f>'[1]Forward Ranks'!BB233</f>
        <v>0</v>
      </c>
      <c r="AB233" s="1">
        <f>'[1]Forward Ranks'!BG233</f>
        <v>0.85589519650655022</v>
      </c>
      <c r="AC233" s="1">
        <f>'[1]Forward Ranks'!BH233</f>
        <v>0.68777292576419213</v>
      </c>
      <c r="AD233" s="1">
        <f>'[1]Forward Ranks'!BI233</f>
        <v>0.79257641921397382</v>
      </c>
      <c r="AE233" s="1">
        <f>'[1]Forward Ranks'!BJ233</f>
        <v>0.70960698689956336</v>
      </c>
      <c r="AF233">
        <f>'[1]Forward Ranks'!BL233</f>
        <v>0</v>
      </c>
      <c r="AG233" s="1">
        <f>'[1]Forward Ranks'!BQ233</f>
        <v>0.5633187772925764</v>
      </c>
      <c r="AH233" s="1">
        <f>'[1]Forward Ranks'!BR233</f>
        <v>0.388646288209607</v>
      </c>
      <c r="AI233" s="1">
        <f>'[1]Forward Ranks'!BS233</f>
        <v>0.62227074235807855</v>
      </c>
      <c r="AJ233" s="1">
        <f>'[1]Forward Ranks'!BT233</f>
        <v>0.38646288209606988</v>
      </c>
      <c r="AL233" s="2">
        <f>'[1]Forward Ranks'!BX233</f>
        <v>0.5873362445414847</v>
      </c>
      <c r="AN233" t="str">
        <f>'[1]Forward Ranks'!B233</f>
        <v>MTL</v>
      </c>
      <c r="AO233">
        <f>'[1]F on ice'!E233</f>
        <v>58</v>
      </c>
      <c r="AP233" s="2">
        <f>'[1]Impact Score Math'!E233</f>
        <v>0.71142284569138281</v>
      </c>
      <c r="AQ233">
        <f>'[1]Impact Score Math'!G233</f>
        <v>145</v>
      </c>
      <c r="AT233" s="1">
        <f>'[1]Forward Ranks'!CJ233</f>
        <v>0.18558951965065501</v>
      </c>
      <c r="AU233" s="1">
        <f>'[1]Forward Ranks'!CK233</f>
        <v>0.61790393013100442</v>
      </c>
    </row>
    <row r="234" spans="1:47" x14ac:dyDescent="0.3">
      <c r="A234" t="str">
        <f>'[1]Forward Ranks'!A234</f>
        <v>Kirill Kaprizov</v>
      </c>
      <c r="B234">
        <f>'[1]Forward Ranks'!D234</f>
        <v>0</v>
      </c>
      <c r="C234" s="1">
        <f>'[1]Forward Ranks'!I234</f>
        <v>0.81659388646288211</v>
      </c>
      <c r="D234" s="1">
        <f>'[1]Forward Ranks'!J234</f>
        <v>0.57860262008733621</v>
      </c>
      <c r="E234" s="1">
        <f>'[1]Forward Ranks'!K234</f>
        <v>0.50436681222707425</v>
      </c>
      <c r="F234" s="1">
        <f>'[1]Forward Ranks'!L234</f>
        <v>0.64192139737991272</v>
      </c>
      <c r="G234">
        <f>'[1]Forward Ranks'!N234</f>
        <v>0</v>
      </c>
      <c r="H234" s="1">
        <f>'[1]Forward Ranks'!S234</f>
        <v>0.82751091703056767</v>
      </c>
      <c r="I234" s="1">
        <f>'[1]Forward Ranks'!T234</f>
        <v>0.43449781659388648</v>
      </c>
      <c r="J234" s="1">
        <f>'[1]Forward Ranks'!U234</f>
        <v>0.46943231441048033</v>
      </c>
      <c r="K234" s="1">
        <f>'[1]Forward Ranks'!V234</f>
        <v>0.68122270742358082</v>
      </c>
      <c r="L234">
        <f>'[1]Forward Ranks'!X234</f>
        <v>0</v>
      </c>
      <c r="M234" s="1">
        <f>'[1]Forward Ranks'!AC234</f>
        <v>0.87991266375545851</v>
      </c>
      <c r="N234" s="1">
        <f>'[1]Forward Ranks'!AD234</f>
        <v>0.94541484716157209</v>
      </c>
      <c r="O234" s="1">
        <f>'[1]Forward Ranks'!AE234</f>
        <v>0.75545851528384278</v>
      </c>
      <c r="P234" s="1">
        <f>'[1]Forward Ranks'!AF234</f>
        <v>0.79912663755458513</v>
      </c>
      <c r="Q234">
        <f>'[1]Forward Ranks'!AH234</f>
        <v>0</v>
      </c>
      <c r="R234" s="1">
        <f>'[1]Forward Ranks'!AM234</f>
        <v>0.87554585152838427</v>
      </c>
      <c r="S234" s="1">
        <f>'[1]Forward Ranks'!AN234</f>
        <v>0.80131004366812231</v>
      </c>
      <c r="T234" s="1">
        <f>'[1]Forward Ranks'!AO234</f>
        <v>0.84497816593886466</v>
      </c>
      <c r="U234" s="1">
        <f>'[1]Forward Ranks'!AP234</f>
        <v>0.83187772925764192</v>
      </c>
      <c r="V234">
        <f>'[1]Forward Ranks'!AR234</f>
        <v>0</v>
      </c>
      <c r="W234" s="1">
        <f>'[1]Forward Ranks'!AW234</f>
        <v>0.90829694323144106</v>
      </c>
      <c r="X234" s="1">
        <f>'[1]Forward Ranks'!AX234</f>
        <v>0.78384279475982532</v>
      </c>
      <c r="Y234" s="1">
        <f>'[1]Forward Ranks'!AY234</f>
        <v>0.48034934497816595</v>
      </c>
      <c r="Z234" s="1">
        <f>'[1]Forward Ranks'!AZ234</f>
        <v>0.55240174672489084</v>
      </c>
      <c r="AA234">
        <f>'[1]Forward Ranks'!BB234</f>
        <v>0</v>
      </c>
      <c r="AB234" s="1">
        <f>'[1]Forward Ranks'!BG234</f>
        <v>0.98471615720524019</v>
      </c>
      <c r="AC234" s="1">
        <f>'[1]Forward Ranks'!BH234</f>
        <v>0.99126637554585151</v>
      </c>
      <c r="AD234" s="1">
        <f>'[1]Forward Ranks'!BI234</f>
        <v>0.4366812227074236</v>
      </c>
      <c r="AE234" s="1">
        <f>'[1]Forward Ranks'!BJ234</f>
        <v>0.57860262008733621</v>
      </c>
      <c r="AF234">
        <f>'[1]Forward Ranks'!BL234</f>
        <v>0</v>
      </c>
      <c r="AG234" s="1">
        <f>'[1]Forward Ranks'!BQ234</f>
        <v>0.888646288209607</v>
      </c>
      <c r="AH234" s="1">
        <f>'[1]Forward Ranks'!BR234</f>
        <v>0.84061135371179041</v>
      </c>
      <c r="AI234" s="1">
        <f>'[1]Forward Ranks'!BS234</f>
        <v>0.68777292576419213</v>
      </c>
      <c r="AJ234" s="1">
        <f>'[1]Forward Ranks'!BT234</f>
        <v>0.78165938864628826</v>
      </c>
      <c r="AL234" s="2">
        <f>'[1]Forward Ranks'!BX234</f>
        <v>0.94104803493449785</v>
      </c>
      <c r="AN234" t="str">
        <f>'[1]Forward Ranks'!B234</f>
        <v>MIN</v>
      </c>
      <c r="AO234">
        <f>'[1]F on ice'!E234</f>
        <v>67</v>
      </c>
      <c r="AP234" s="2">
        <f>'[1]Impact Score Math'!E234</f>
        <v>0.98597194388777554</v>
      </c>
      <c r="AQ234">
        <f>'[1]Impact Score Math'!G234</f>
        <v>8</v>
      </c>
      <c r="AT234" s="1">
        <f>'[1]Forward Ranks'!CJ234</f>
        <v>0.48034934497816595</v>
      </c>
      <c r="AU234" s="1">
        <f>'[1]Forward Ranks'!CK234</f>
        <v>0.72707423580786024</v>
      </c>
    </row>
    <row r="235" spans="1:47" x14ac:dyDescent="0.3">
      <c r="A235" t="str">
        <f>'[1]Forward Ranks'!A235</f>
        <v>Kirill Marchenko</v>
      </c>
      <c r="B235">
        <f>'[1]Forward Ranks'!D235</f>
        <v>0</v>
      </c>
      <c r="C235" s="1">
        <f>'[1]Forward Ranks'!I235</f>
        <v>0.28602620087336245</v>
      </c>
      <c r="D235" s="1">
        <f>'[1]Forward Ranks'!J235</f>
        <v>0.36681222707423583</v>
      </c>
      <c r="E235" s="1">
        <f>'[1]Forward Ranks'!K235</f>
        <v>0.2205240174672489</v>
      </c>
      <c r="F235" s="1">
        <f>'[1]Forward Ranks'!L235</f>
        <v>0.37336244541484714</v>
      </c>
      <c r="G235">
        <f>'[1]Forward Ranks'!N235</f>
        <v>0</v>
      </c>
      <c r="H235" s="1">
        <f>'[1]Forward Ranks'!S235</f>
        <v>0.8253275109170306</v>
      </c>
      <c r="I235" s="1">
        <f>'[1]Forward Ranks'!T235</f>
        <v>3.4934497816593885E-2</v>
      </c>
      <c r="J235" s="1">
        <f>'[1]Forward Ranks'!U235</f>
        <v>0.12445414847161572</v>
      </c>
      <c r="K235" s="1">
        <f>'[1]Forward Ranks'!V235</f>
        <v>0.24017467248908297</v>
      </c>
      <c r="L235">
        <f>'[1]Forward Ranks'!X235</f>
        <v>0</v>
      </c>
      <c r="M235" s="1">
        <f>'[1]Forward Ranks'!AC235</f>
        <v>0.17903930131004367</v>
      </c>
      <c r="N235" s="1">
        <f>'[1]Forward Ranks'!AD235</f>
        <v>0.25327510917030566</v>
      </c>
      <c r="O235" s="1">
        <f>'[1]Forward Ranks'!AE235</f>
        <v>0.1943231441048035</v>
      </c>
      <c r="P235" s="1">
        <f>'[1]Forward Ranks'!AF235</f>
        <v>0.20087336244541484</v>
      </c>
      <c r="Q235">
        <f>'[1]Forward Ranks'!AH235</f>
        <v>0</v>
      </c>
      <c r="R235" s="1">
        <f>'[1]Forward Ranks'!AM235</f>
        <v>0.46288209606986902</v>
      </c>
      <c r="S235" s="1">
        <f>'[1]Forward Ranks'!AN235</f>
        <v>0.59170305676855894</v>
      </c>
      <c r="T235" s="1">
        <f>'[1]Forward Ranks'!AO235</f>
        <v>0.53056768558951961</v>
      </c>
      <c r="U235" s="1">
        <f>'[1]Forward Ranks'!AP235</f>
        <v>0.58951965065502188</v>
      </c>
      <c r="V235">
        <f>'[1]Forward Ranks'!AR235</f>
        <v>0</v>
      </c>
      <c r="W235" s="1">
        <f>'[1]Forward Ranks'!AW235</f>
        <v>0.92358078602620086</v>
      </c>
      <c r="X235" s="1">
        <f>'[1]Forward Ranks'!AX235</f>
        <v>0.84279475982532748</v>
      </c>
      <c r="Y235" s="1">
        <f>'[1]Forward Ranks'!AY235</f>
        <v>0.76200873362445409</v>
      </c>
      <c r="Z235" s="1">
        <f>'[1]Forward Ranks'!AZ235</f>
        <v>0.84279475982532748</v>
      </c>
      <c r="AA235">
        <f>'[1]Forward Ranks'!BB235</f>
        <v>0</v>
      </c>
      <c r="AB235" s="1">
        <f>'[1]Forward Ranks'!BG235</f>
        <v>0.65502183406113534</v>
      </c>
      <c r="AC235" s="1">
        <f>'[1]Forward Ranks'!BH235</f>
        <v>0.56768558951965065</v>
      </c>
      <c r="AD235" s="1">
        <f>'[1]Forward Ranks'!BI235</f>
        <v>0.26855895196506552</v>
      </c>
      <c r="AE235" s="1">
        <f>'[1]Forward Ranks'!BJ235</f>
        <v>0.15938864628820962</v>
      </c>
      <c r="AF235">
        <f>'[1]Forward Ranks'!BL235</f>
        <v>0</v>
      </c>
      <c r="AG235" s="1">
        <f>'[1]Forward Ranks'!BQ235</f>
        <v>0.1943231441048035</v>
      </c>
      <c r="AH235" s="1">
        <f>'[1]Forward Ranks'!BR235</f>
        <v>0.27729257641921395</v>
      </c>
      <c r="AI235" s="1">
        <f>'[1]Forward Ranks'!BS235</f>
        <v>0.12882096069868995</v>
      </c>
      <c r="AJ235" s="1">
        <f>'[1]Forward Ranks'!BT235</f>
        <v>0.27729257641921395</v>
      </c>
      <c r="AL235" s="2">
        <f>'[1]Forward Ranks'!BX235</f>
        <v>0.36681222707423583</v>
      </c>
      <c r="AN235" t="str">
        <f>'[1]Forward Ranks'!B235</f>
        <v>CBJ</v>
      </c>
      <c r="AO235">
        <f>'[1]F on ice'!E235</f>
        <v>59</v>
      </c>
      <c r="AP235" s="2">
        <f>'[1]Impact Score Math'!E235</f>
        <v>0.48296593186372744</v>
      </c>
      <c r="AQ235">
        <f>'[1]Impact Score Math'!G235</f>
        <v>259</v>
      </c>
      <c r="AT235" s="1">
        <f>'[1]Forward Ranks'!CJ235</f>
        <v>0.76855895196506552</v>
      </c>
      <c r="AU235" s="1">
        <f>'[1]Forward Ranks'!CK235</f>
        <v>0.54803493449781659</v>
      </c>
    </row>
    <row r="236" spans="1:47" x14ac:dyDescent="0.3">
      <c r="A236" t="str">
        <f>'[1]Forward Ranks'!A236</f>
        <v>Klim Kostin</v>
      </c>
      <c r="B236">
        <f>'[1]Forward Ranks'!D236</f>
        <v>0</v>
      </c>
      <c r="C236" s="1">
        <f>'[1]Forward Ranks'!I236</f>
        <v>0.15502183406113537</v>
      </c>
      <c r="D236" s="1">
        <f>'[1]Forward Ranks'!J236</f>
        <v>0.36026200873362446</v>
      </c>
      <c r="E236" s="1">
        <f>'[1]Forward Ranks'!K236</f>
        <v>0.75327510917030571</v>
      </c>
      <c r="F236" s="1">
        <f>'[1]Forward Ranks'!L236</f>
        <v>0.22270742358078602</v>
      </c>
      <c r="G236">
        <f>'[1]Forward Ranks'!N236</f>
        <v>0</v>
      </c>
      <c r="H236" s="1">
        <f>'[1]Forward Ranks'!S236</f>
        <v>0.90611353711790388</v>
      </c>
      <c r="I236" s="1">
        <f>'[1]Forward Ranks'!T236</f>
        <v>0.42139737991266374</v>
      </c>
      <c r="J236" s="1">
        <f>'[1]Forward Ranks'!U236</f>
        <v>0.61790393013100442</v>
      </c>
      <c r="K236" s="1">
        <f>'[1]Forward Ranks'!V236</f>
        <v>0.75764192139737996</v>
      </c>
      <c r="L236">
        <f>'[1]Forward Ranks'!X236</f>
        <v>0</v>
      </c>
      <c r="M236" s="1">
        <f>'[1]Forward Ranks'!AC236</f>
        <v>0.78384279475982532</v>
      </c>
      <c r="N236" s="1">
        <f>'[1]Forward Ranks'!AD236</f>
        <v>0.80786026200873362</v>
      </c>
      <c r="O236" s="1">
        <f>'[1]Forward Ranks'!AE236</f>
        <v>0.86462882096069871</v>
      </c>
      <c r="P236" s="1">
        <f>'[1]Forward Ranks'!AF236</f>
        <v>0.65502183406113534</v>
      </c>
      <c r="Q236">
        <f>'[1]Forward Ranks'!AH236</f>
        <v>0</v>
      </c>
      <c r="R236" s="1">
        <f>'[1]Forward Ranks'!AM236</f>
        <v>3.7117903930131008E-2</v>
      </c>
      <c r="S236" s="1">
        <f>'[1]Forward Ranks'!AN236</f>
        <v>4.3668122270742356E-2</v>
      </c>
      <c r="T236" s="1">
        <f>'[1]Forward Ranks'!AO236</f>
        <v>0.5393013100436681</v>
      </c>
      <c r="U236" s="1">
        <f>'[1]Forward Ranks'!AP236</f>
        <v>1.7467248908296942E-2</v>
      </c>
      <c r="V236">
        <f>'[1]Forward Ranks'!AR236</f>
        <v>0</v>
      </c>
      <c r="W236" s="1">
        <f>'[1]Forward Ranks'!AW236</f>
        <v>0.54148471615720528</v>
      </c>
      <c r="X236" s="1">
        <f>'[1]Forward Ranks'!AX236</f>
        <v>0.38646288209606988</v>
      </c>
      <c r="Y236" s="1">
        <f>'[1]Forward Ranks'!AY236</f>
        <v>0.76200873362445409</v>
      </c>
      <c r="Z236" s="1">
        <f>'[1]Forward Ranks'!AZ236</f>
        <v>0.41921397379912662</v>
      </c>
      <c r="AA236">
        <f>'[1]Forward Ranks'!BB236</f>
        <v>0</v>
      </c>
      <c r="AB236" s="1">
        <f>'[1]Forward Ranks'!BG236</f>
        <v>0.13755458515283842</v>
      </c>
      <c r="AC236" s="1">
        <f>'[1]Forward Ranks'!BH236</f>
        <v>0.53711790393013104</v>
      </c>
      <c r="AD236" s="1">
        <f>'[1]Forward Ranks'!BI236</f>
        <v>0.91703056768558955</v>
      </c>
      <c r="AE236" s="1">
        <f>'[1]Forward Ranks'!BJ236</f>
        <v>0.9606986899563319</v>
      </c>
      <c r="AF236">
        <f>'[1]Forward Ranks'!BL236</f>
        <v>0</v>
      </c>
      <c r="AG236" s="1">
        <f>'[1]Forward Ranks'!BQ236</f>
        <v>0.37991266375545851</v>
      </c>
      <c r="AH236" s="1">
        <f>'[1]Forward Ranks'!BR236</f>
        <v>0.52620087336244536</v>
      </c>
      <c r="AI236" s="1">
        <f>'[1]Forward Ranks'!BS236</f>
        <v>0.90393013100436681</v>
      </c>
      <c r="AJ236" s="1">
        <f>'[1]Forward Ranks'!BT236</f>
        <v>0.33624454148471616</v>
      </c>
      <c r="AL236" s="2">
        <f>'[1]Forward Ranks'!BX236</f>
        <v>0.32532751091703055</v>
      </c>
      <c r="AN236" t="str">
        <f>'[1]Forward Ranks'!B236</f>
        <v>EDM</v>
      </c>
      <c r="AO236">
        <f>'[1]F on ice'!E236</f>
        <v>57</v>
      </c>
      <c r="AP236" s="2">
        <f>'[1]Impact Score Math'!E236</f>
        <v>0.30460921843687377</v>
      </c>
      <c r="AQ236">
        <f>'[1]Impact Score Math'!G236</f>
        <v>348</v>
      </c>
      <c r="AT236" s="1">
        <f>'[1]Forward Ranks'!CJ236</f>
        <v>2.8384279475982533E-2</v>
      </c>
      <c r="AU236" s="1">
        <f>'[1]Forward Ranks'!CK236</f>
        <v>0.99563318777292575</v>
      </c>
    </row>
    <row r="237" spans="1:47" x14ac:dyDescent="0.3">
      <c r="A237" t="str">
        <f>'[1]Forward Ranks'!A237</f>
        <v>Kyle Connor</v>
      </c>
      <c r="B237">
        <f>'[1]Forward Ranks'!D237</f>
        <v>0</v>
      </c>
      <c r="C237" s="1">
        <f>'[1]Forward Ranks'!I237</f>
        <v>0.73144104803493448</v>
      </c>
      <c r="D237" s="1">
        <f>'[1]Forward Ranks'!J237</f>
        <v>0.78165938864628826</v>
      </c>
      <c r="E237" s="1">
        <f>'[1]Forward Ranks'!K237</f>
        <v>0.70524017467248912</v>
      </c>
      <c r="F237" s="1">
        <f>'[1]Forward Ranks'!L237</f>
        <v>0.74235807860262004</v>
      </c>
      <c r="G237">
        <f>'[1]Forward Ranks'!N237</f>
        <v>0</v>
      </c>
      <c r="H237" s="1">
        <f>'[1]Forward Ranks'!S237</f>
        <v>0.79912663755458513</v>
      </c>
      <c r="I237" s="1">
        <f>'[1]Forward Ranks'!T237</f>
        <v>0.61353711790393017</v>
      </c>
      <c r="J237" s="1">
        <f>'[1]Forward Ranks'!U237</f>
        <v>0.65938864628820959</v>
      </c>
      <c r="K237" s="1">
        <f>'[1]Forward Ranks'!V237</f>
        <v>0.75764192139737996</v>
      </c>
      <c r="L237">
        <f>'[1]Forward Ranks'!X237</f>
        <v>0</v>
      </c>
      <c r="M237" s="1">
        <f>'[1]Forward Ranks'!AC237</f>
        <v>0.44978165938864628</v>
      </c>
      <c r="N237" s="1">
        <f>'[1]Forward Ranks'!AD237</f>
        <v>0.45414847161572053</v>
      </c>
      <c r="O237" s="1">
        <f>'[1]Forward Ranks'!AE237</f>
        <v>0.31004366812227074</v>
      </c>
      <c r="P237" s="1">
        <f>'[1]Forward Ranks'!AF237</f>
        <v>0.25327510917030566</v>
      </c>
      <c r="Q237">
        <f>'[1]Forward Ranks'!AH237</f>
        <v>0</v>
      </c>
      <c r="R237" s="1">
        <f>'[1]Forward Ranks'!AM237</f>
        <v>0.70742358078602618</v>
      </c>
      <c r="S237" s="1">
        <f>'[1]Forward Ranks'!AN237</f>
        <v>0.81004366812227069</v>
      </c>
      <c r="T237" s="1">
        <f>'[1]Forward Ranks'!AO237</f>
        <v>0.81877729257641918</v>
      </c>
      <c r="U237" s="1">
        <f>'[1]Forward Ranks'!AP237</f>
        <v>0.63973799126637554</v>
      </c>
      <c r="V237">
        <f>'[1]Forward Ranks'!AR237</f>
        <v>0</v>
      </c>
      <c r="W237" s="1">
        <f>'[1]Forward Ranks'!AW237</f>
        <v>0.2576419213973799</v>
      </c>
      <c r="X237" s="1">
        <f>'[1]Forward Ranks'!AX237</f>
        <v>0.2576419213973799</v>
      </c>
      <c r="Y237" s="1">
        <f>'[1]Forward Ranks'!AY237</f>
        <v>5.0218340611353711E-2</v>
      </c>
      <c r="Z237" s="1">
        <f>'[1]Forward Ranks'!AZ237</f>
        <v>0.10480349344978165</v>
      </c>
      <c r="AA237">
        <f>'[1]Forward Ranks'!BB237</f>
        <v>0</v>
      </c>
      <c r="AB237" s="1">
        <f>'[1]Forward Ranks'!BG237</f>
        <v>0.96943231441048039</v>
      </c>
      <c r="AC237" s="1">
        <f>'[1]Forward Ranks'!BH237</f>
        <v>0.9126637554585153</v>
      </c>
      <c r="AD237" s="1">
        <f>'[1]Forward Ranks'!BI237</f>
        <v>0.76637554585152834</v>
      </c>
      <c r="AE237" s="1">
        <f>'[1]Forward Ranks'!BJ237</f>
        <v>0.56550218340611358</v>
      </c>
      <c r="AF237">
        <f>'[1]Forward Ranks'!BL237</f>
        <v>0</v>
      </c>
      <c r="AG237" s="1">
        <f>'[1]Forward Ranks'!BQ237</f>
        <v>0.63973799126637554</v>
      </c>
      <c r="AH237" s="1">
        <f>'[1]Forward Ranks'!BR237</f>
        <v>0.72270742358078599</v>
      </c>
      <c r="AI237" s="1">
        <f>'[1]Forward Ranks'!BS237</f>
        <v>0.53275109170305679</v>
      </c>
      <c r="AJ237" s="1">
        <f>'[1]Forward Ranks'!BT237</f>
        <v>0.54803493449781659</v>
      </c>
      <c r="AL237" s="2">
        <f>'[1]Forward Ranks'!BX237</f>
        <v>0.60698689956331875</v>
      </c>
      <c r="AN237" t="str">
        <f>'[1]Forward Ranks'!B237</f>
        <v>WPG</v>
      </c>
      <c r="AO237">
        <f>'[1]F on ice'!E237</f>
        <v>82</v>
      </c>
      <c r="AP237" s="2">
        <f>'[1]Impact Score Math'!E237</f>
        <v>0.80360721442885774</v>
      </c>
      <c r="AQ237">
        <f>'[1]Impact Score Math'!G237</f>
        <v>99</v>
      </c>
      <c r="AT237" s="1">
        <f>'[1]Forward Ranks'!CJ237</f>
        <v>0.80786026200873362</v>
      </c>
      <c r="AU237" s="1">
        <f>'[1]Forward Ranks'!CK237</f>
        <v>7.6419213973799124E-2</v>
      </c>
    </row>
    <row r="238" spans="1:47" x14ac:dyDescent="0.3">
      <c r="A238" t="str">
        <f>'[1]Forward Ranks'!A238</f>
        <v>Kyle Okposo</v>
      </c>
      <c r="B238">
        <f>'[1]Forward Ranks'!D238</f>
        <v>0</v>
      </c>
      <c r="C238" s="1">
        <f>'[1]Forward Ranks'!I238</f>
        <v>0.36462882096069871</v>
      </c>
      <c r="D238" s="1">
        <f>'[1]Forward Ranks'!J238</f>
        <v>0.27947598253275108</v>
      </c>
      <c r="E238" s="1">
        <f>'[1]Forward Ranks'!K238</f>
        <v>0.16157205240174671</v>
      </c>
      <c r="F238" s="1">
        <f>'[1]Forward Ranks'!L238</f>
        <v>0.29694323144104806</v>
      </c>
      <c r="G238">
        <f>'[1]Forward Ranks'!N238</f>
        <v>0</v>
      </c>
      <c r="H238" s="1">
        <f>'[1]Forward Ranks'!S238</f>
        <v>0.15502183406113537</v>
      </c>
      <c r="I238" s="1">
        <f>'[1]Forward Ranks'!T238</f>
        <v>0.40393013100436681</v>
      </c>
      <c r="J238" s="1">
        <f>'[1]Forward Ranks'!U238</f>
        <v>0.36244541484716158</v>
      </c>
      <c r="K238" s="1">
        <f>'[1]Forward Ranks'!V238</f>
        <v>0.21397379912663755</v>
      </c>
      <c r="L238">
        <f>'[1]Forward Ranks'!X238</f>
        <v>0</v>
      </c>
      <c r="M238" s="1">
        <f>'[1]Forward Ranks'!AC238</f>
        <v>0.91048034934497812</v>
      </c>
      <c r="N238" s="1">
        <f>'[1]Forward Ranks'!AD238</f>
        <v>0.70524017467248912</v>
      </c>
      <c r="O238" s="1">
        <f>'[1]Forward Ranks'!AE238</f>
        <v>0.75545851528384278</v>
      </c>
      <c r="P238" s="1">
        <f>'[1]Forward Ranks'!AF238</f>
        <v>0.85371179039301315</v>
      </c>
      <c r="Q238">
        <f>'[1]Forward Ranks'!AH238</f>
        <v>0</v>
      </c>
      <c r="R238" s="1">
        <f>'[1]Forward Ranks'!AM238</f>
        <v>0.15938864628820962</v>
      </c>
      <c r="S238" s="1">
        <f>'[1]Forward Ranks'!AN238</f>
        <v>0.18122270742358079</v>
      </c>
      <c r="T238" s="1">
        <f>'[1]Forward Ranks'!AO238</f>
        <v>2.4017467248908297E-2</v>
      </c>
      <c r="U238" s="1">
        <f>'[1]Forward Ranks'!AP238</f>
        <v>0.12663755458515283</v>
      </c>
      <c r="V238">
        <f>'[1]Forward Ranks'!AR238</f>
        <v>0</v>
      </c>
      <c r="W238" s="1">
        <f>'[1]Forward Ranks'!AW238</f>
        <v>0.98253275109170302</v>
      </c>
      <c r="X238" s="1">
        <f>'[1]Forward Ranks'!AX238</f>
        <v>0.97161572052401746</v>
      </c>
      <c r="Y238" s="1">
        <f>'[1]Forward Ranks'!AY238</f>
        <v>0.97816593886462877</v>
      </c>
      <c r="Z238" s="1">
        <f>'[1]Forward Ranks'!AZ238</f>
        <v>0.98689956331877726</v>
      </c>
      <c r="AA238">
        <f>'[1]Forward Ranks'!BB238</f>
        <v>0</v>
      </c>
      <c r="AB238" s="1">
        <f>'[1]Forward Ranks'!BG238</f>
        <v>0.54148471615720528</v>
      </c>
      <c r="AC238" s="1">
        <f>'[1]Forward Ranks'!BH238</f>
        <v>0.2183406113537118</v>
      </c>
      <c r="AD238" s="1">
        <f>'[1]Forward Ranks'!BI238</f>
        <v>0.10480349344978165</v>
      </c>
      <c r="AE238" s="1">
        <f>'[1]Forward Ranks'!BJ238</f>
        <v>0.24672489082969432</v>
      </c>
      <c r="AF238">
        <f>'[1]Forward Ranks'!BL238</f>
        <v>0</v>
      </c>
      <c r="AG238" s="1">
        <f>'[1]Forward Ranks'!BQ238</f>
        <v>0.67248908296943233</v>
      </c>
      <c r="AH238" s="1">
        <f>'[1]Forward Ranks'!BR238</f>
        <v>0.40829694323144106</v>
      </c>
      <c r="AI238" s="1">
        <f>'[1]Forward Ranks'!BS238</f>
        <v>0.33187772925764192</v>
      </c>
      <c r="AJ238" s="1">
        <f>'[1]Forward Ranks'!BT238</f>
        <v>0.57641921397379914</v>
      </c>
      <c r="AL238" s="2">
        <f>'[1]Forward Ranks'!BX238</f>
        <v>0.57641921397379914</v>
      </c>
      <c r="AN238" t="str">
        <f>'[1]Forward Ranks'!B238</f>
        <v>BUF</v>
      </c>
      <c r="AO238">
        <f>'[1]F on ice'!E238</f>
        <v>75</v>
      </c>
      <c r="AP238" s="2">
        <f>'[1]Impact Score Math'!E238</f>
        <v>0.63126252505010017</v>
      </c>
      <c r="AQ238">
        <f>'[1]Impact Score Math'!G238</f>
        <v>185</v>
      </c>
      <c r="AT238" s="1">
        <f>'[1]Forward Ranks'!CJ238</f>
        <v>0.32096069868995636</v>
      </c>
      <c r="AU238" s="1">
        <f>'[1]Forward Ranks'!CK238</f>
        <v>0.65502183406113534</v>
      </c>
    </row>
    <row r="239" spans="1:47" x14ac:dyDescent="0.3">
      <c r="A239" t="str">
        <f>'[1]Forward Ranks'!A239</f>
        <v>Kyle Palmieri</v>
      </c>
      <c r="B239">
        <f>'[1]Forward Ranks'!D239</f>
        <v>0</v>
      </c>
      <c r="C239" s="1">
        <f>'[1]Forward Ranks'!I239</f>
        <v>0.68558951965065507</v>
      </c>
      <c r="D239" s="1">
        <f>'[1]Forward Ranks'!J239</f>
        <v>0.8733624454148472</v>
      </c>
      <c r="E239" s="1">
        <f>'[1]Forward Ranks'!K239</f>
        <v>0.9366812227074236</v>
      </c>
      <c r="F239" s="1">
        <f>'[1]Forward Ranks'!L239</f>
        <v>0.83624454148471616</v>
      </c>
      <c r="G239">
        <f>'[1]Forward Ranks'!N239</f>
        <v>0</v>
      </c>
      <c r="H239" s="1">
        <f>'[1]Forward Ranks'!S239</f>
        <v>0.82751091703056767</v>
      </c>
      <c r="I239" s="1">
        <f>'[1]Forward Ranks'!T239</f>
        <v>0.66812227074235808</v>
      </c>
      <c r="J239" s="1">
        <f>'[1]Forward Ranks'!U239</f>
        <v>0.86026200873362446</v>
      </c>
      <c r="K239" s="1">
        <f>'[1]Forward Ranks'!V239</f>
        <v>0.83187772925764192</v>
      </c>
      <c r="L239">
        <f>'[1]Forward Ranks'!X239</f>
        <v>0</v>
      </c>
      <c r="M239" s="1">
        <f>'[1]Forward Ranks'!AC239</f>
        <v>0.12663755458515283</v>
      </c>
      <c r="N239" s="1">
        <f>'[1]Forward Ranks'!AD239</f>
        <v>0.22925764192139739</v>
      </c>
      <c r="O239" s="1">
        <f>'[1]Forward Ranks'!AE239</f>
        <v>0.62008733624454149</v>
      </c>
      <c r="P239" s="1">
        <f>'[1]Forward Ranks'!AF239</f>
        <v>0.27510917030567683</v>
      </c>
      <c r="Q239">
        <f>'[1]Forward Ranks'!AH239</f>
        <v>0</v>
      </c>
      <c r="R239" s="1">
        <f>'[1]Forward Ranks'!AM239</f>
        <v>0.58951965065502188</v>
      </c>
      <c r="S239" s="1">
        <f>'[1]Forward Ranks'!AN239</f>
        <v>0.87554585152838427</v>
      </c>
      <c r="T239" s="1">
        <f>'[1]Forward Ranks'!AO239</f>
        <v>0.94104803493449785</v>
      </c>
      <c r="U239" s="1">
        <f>'[1]Forward Ranks'!AP239</f>
        <v>0.79257641921397382</v>
      </c>
      <c r="V239">
        <f>'[1]Forward Ranks'!AR239</f>
        <v>0</v>
      </c>
      <c r="W239" s="1">
        <f>'[1]Forward Ranks'!AW239</f>
        <v>0.10698689956331878</v>
      </c>
      <c r="X239" s="1">
        <f>'[1]Forward Ranks'!AX239</f>
        <v>0.40829694323144106</v>
      </c>
      <c r="Y239" s="1">
        <f>'[1]Forward Ranks'!AY239</f>
        <v>0.48034934497816595</v>
      </c>
      <c r="Z239" s="1">
        <f>'[1]Forward Ranks'!AZ239</f>
        <v>0.49563318777292575</v>
      </c>
      <c r="AA239">
        <f>'[1]Forward Ranks'!BB239</f>
        <v>0</v>
      </c>
      <c r="AB239" s="1">
        <f>'[1]Forward Ranks'!BG239</f>
        <v>0.81441048034934493</v>
      </c>
      <c r="AC239" s="1">
        <f>'[1]Forward Ranks'!BH239</f>
        <v>0.81004366812227069</v>
      </c>
      <c r="AD239" s="1">
        <f>'[1]Forward Ranks'!BI239</f>
        <v>0.95196506550218341</v>
      </c>
      <c r="AE239" s="1">
        <f>'[1]Forward Ranks'!BJ239</f>
        <v>0.96943231441048039</v>
      </c>
      <c r="AF239">
        <f>'[1]Forward Ranks'!BL239</f>
        <v>0</v>
      </c>
      <c r="AG239" s="1">
        <f>'[1]Forward Ranks'!BQ239</f>
        <v>0.39519650655021832</v>
      </c>
      <c r="AH239" s="1">
        <f>'[1]Forward Ranks'!BR239</f>
        <v>0.69868995633187769</v>
      </c>
      <c r="AI239" s="1">
        <f>'[1]Forward Ranks'!BS239</f>
        <v>0.89082969432314407</v>
      </c>
      <c r="AJ239" s="1">
        <f>'[1]Forward Ranks'!BT239</f>
        <v>0.65502183406113534</v>
      </c>
      <c r="AL239" s="2">
        <f>'[1]Forward Ranks'!BX239</f>
        <v>0.61353711790393017</v>
      </c>
      <c r="AN239" t="str">
        <f>'[1]Forward Ranks'!B239</f>
        <v>NYI</v>
      </c>
      <c r="AO239">
        <f>'[1]F on ice'!E239</f>
        <v>55</v>
      </c>
      <c r="AP239" s="2">
        <f>'[1]Impact Score Math'!E239</f>
        <v>0.71342685370741488</v>
      </c>
      <c r="AQ239">
        <f>'[1]Impact Score Math'!G239</f>
        <v>144</v>
      </c>
      <c r="AT239" s="1">
        <f>'[1]Forward Ranks'!CJ239</f>
        <v>0.44978165938864628</v>
      </c>
      <c r="AU239" s="1">
        <f>'[1]Forward Ranks'!CK239</f>
        <v>0.77074235807860259</v>
      </c>
    </row>
    <row r="240" spans="1:47" x14ac:dyDescent="0.3">
      <c r="A240" t="str">
        <f>'[1]Forward Ranks'!A240</f>
        <v>Lane Pederson</v>
      </c>
      <c r="B240">
        <f>'[1]Forward Ranks'!D240</f>
        <v>0</v>
      </c>
      <c r="C240" s="1">
        <f>'[1]Forward Ranks'!I240</f>
        <v>0.42794759825327511</v>
      </c>
      <c r="D240" s="1">
        <f>'[1]Forward Ranks'!J240</f>
        <v>0.76637554585152834</v>
      </c>
      <c r="E240" s="1">
        <f>'[1]Forward Ranks'!K240</f>
        <v>0.77510917030567683</v>
      </c>
      <c r="F240" s="1">
        <f>'[1]Forward Ranks'!L240</f>
        <v>0.77729257641921401</v>
      </c>
      <c r="G240">
        <f>'[1]Forward Ranks'!N240</f>
        <v>0</v>
      </c>
      <c r="H240" s="1">
        <f>'[1]Forward Ranks'!S240</f>
        <v>0.4126637554585153</v>
      </c>
      <c r="I240" s="1">
        <f>'[1]Forward Ranks'!T240</f>
        <v>0.18340611353711792</v>
      </c>
      <c r="J240" s="1">
        <f>'[1]Forward Ranks'!U240</f>
        <v>0.57205240174672489</v>
      </c>
      <c r="K240" s="1">
        <f>'[1]Forward Ranks'!V240</f>
        <v>0.1965065502183406</v>
      </c>
      <c r="L240">
        <f>'[1]Forward Ranks'!X240</f>
        <v>0</v>
      </c>
      <c r="M240" s="1">
        <f>'[1]Forward Ranks'!AC240</f>
        <v>9.606986899563319E-2</v>
      </c>
      <c r="N240" s="1">
        <f>'[1]Forward Ranks'!AD240</f>
        <v>3.2751091703056769E-2</v>
      </c>
      <c r="O240" s="1">
        <f>'[1]Forward Ranks'!AE240</f>
        <v>0.13100436681222707</v>
      </c>
      <c r="P240" s="1">
        <f>'[1]Forward Ranks'!AF240</f>
        <v>0.12663755458515283</v>
      </c>
      <c r="Q240">
        <f>'[1]Forward Ranks'!AH240</f>
        <v>0</v>
      </c>
      <c r="R240" s="1">
        <f>'[1]Forward Ranks'!AM240</f>
        <v>0.57860262008733621</v>
      </c>
      <c r="S240" s="1">
        <f>'[1]Forward Ranks'!AN240</f>
        <v>0.8973799126637555</v>
      </c>
      <c r="T240" s="1">
        <f>'[1]Forward Ranks'!AO240</f>
        <v>0.88427947598253276</v>
      </c>
      <c r="U240" s="1">
        <f>'[1]Forward Ranks'!AP240</f>
        <v>0.8253275109170306</v>
      </c>
      <c r="V240">
        <f>'[1]Forward Ranks'!AR240</f>
        <v>0</v>
      </c>
      <c r="W240" s="1">
        <f>'[1]Forward Ranks'!AW240</f>
        <v>0.31222707423580787</v>
      </c>
      <c r="X240" s="1">
        <f>'[1]Forward Ranks'!AX240</f>
        <v>9.606986899563319E-2</v>
      </c>
      <c r="Y240" s="1">
        <f>'[1]Forward Ranks'!AY240</f>
        <v>0.75982532751091703</v>
      </c>
      <c r="Z240" s="1">
        <f>'[1]Forward Ranks'!AZ240</f>
        <v>0.4366812227074236</v>
      </c>
      <c r="AA240">
        <f>'[1]Forward Ranks'!BB240</f>
        <v>0</v>
      </c>
      <c r="AB240" s="1">
        <f>'[1]Forward Ranks'!BG240</f>
        <v>0.28602620087336245</v>
      </c>
      <c r="AC240" s="1">
        <f>'[1]Forward Ranks'!BH240</f>
        <v>0.51528384279475981</v>
      </c>
      <c r="AD240" s="1">
        <f>'[1]Forward Ranks'!BI240</f>
        <v>0.82096069868995636</v>
      </c>
      <c r="AE240" s="1">
        <f>'[1]Forward Ranks'!BJ240</f>
        <v>0.57860262008733621</v>
      </c>
      <c r="AF240">
        <f>'[1]Forward Ranks'!BL240</f>
        <v>0</v>
      </c>
      <c r="AG240" s="1">
        <f>'[1]Forward Ranks'!BQ240</f>
        <v>0.20524017467248909</v>
      </c>
      <c r="AH240" s="1">
        <f>'[1]Forward Ranks'!BR240</f>
        <v>0.31441048034934499</v>
      </c>
      <c r="AI240" s="1">
        <f>'[1]Forward Ranks'!BS240</f>
        <v>0.42139737991266374</v>
      </c>
      <c r="AJ240" s="1">
        <f>'[1]Forward Ranks'!BT240</f>
        <v>0.43231441048034935</v>
      </c>
      <c r="AL240" s="2">
        <f>'[1]Forward Ranks'!BX240</f>
        <v>0.33624454148471616</v>
      </c>
      <c r="AN240" t="str">
        <f>'[1]Forward Ranks'!B240</f>
        <v>CBJ, VAN</v>
      </c>
      <c r="AO240">
        <f>'[1]F on ice'!E240</f>
        <v>27</v>
      </c>
      <c r="AP240" s="2">
        <f>'[1]Impact Score Math'!E240</f>
        <v>0.37875751503006011</v>
      </c>
      <c r="AQ240">
        <f>'[1]Impact Score Math'!G240</f>
        <v>311</v>
      </c>
      <c r="AT240" s="1">
        <f>'[1]Forward Ranks'!CJ240</f>
        <v>6.768558951965066E-2</v>
      </c>
      <c r="AU240" s="1">
        <f>'[1]Forward Ranks'!CK240</f>
        <v>0.81877729257641918</v>
      </c>
    </row>
    <row r="241" spans="1:47" x14ac:dyDescent="0.3">
      <c r="A241" t="str">
        <f>'[1]Forward Ranks'!A241</f>
        <v>Lars Eller</v>
      </c>
      <c r="B241">
        <f>'[1]Forward Ranks'!D241</f>
        <v>0</v>
      </c>
      <c r="C241" s="1">
        <f>'[1]Forward Ranks'!I241</f>
        <v>0.48253275109170307</v>
      </c>
      <c r="D241" s="1">
        <f>'[1]Forward Ranks'!J241</f>
        <v>0.34716157205240172</v>
      </c>
      <c r="E241" s="1">
        <f>'[1]Forward Ranks'!K241</f>
        <v>0.23580786026200873</v>
      </c>
      <c r="F241" s="1">
        <f>'[1]Forward Ranks'!L241</f>
        <v>0.34061135371179041</v>
      </c>
      <c r="G241">
        <f>'[1]Forward Ranks'!N241</f>
        <v>0</v>
      </c>
      <c r="H241" s="1">
        <f>'[1]Forward Ranks'!S241</f>
        <v>0.23144104803493451</v>
      </c>
      <c r="I241" s="1">
        <f>'[1]Forward Ranks'!T241</f>
        <v>0.15502183406113537</v>
      </c>
      <c r="J241" s="1">
        <f>'[1]Forward Ranks'!U241</f>
        <v>0.29475982532751094</v>
      </c>
      <c r="K241" s="1">
        <f>'[1]Forward Ranks'!V241</f>
        <v>0.11353711790393013</v>
      </c>
      <c r="L241">
        <f>'[1]Forward Ranks'!X241</f>
        <v>0</v>
      </c>
      <c r="M241" s="1">
        <f>'[1]Forward Ranks'!AC241</f>
        <v>0.80349344978165937</v>
      </c>
      <c r="N241" s="1">
        <f>'[1]Forward Ranks'!AD241</f>
        <v>0.89956331877729256</v>
      </c>
      <c r="O241" s="1">
        <f>'[1]Forward Ranks'!AE241</f>
        <v>0.80349344978165937</v>
      </c>
      <c r="P241" s="1">
        <f>'[1]Forward Ranks'!AF241</f>
        <v>0.83842794759825323</v>
      </c>
      <c r="Q241">
        <f>'[1]Forward Ranks'!AH241</f>
        <v>0</v>
      </c>
      <c r="R241" s="1">
        <f>'[1]Forward Ranks'!AM241</f>
        <v>0.29039301310043669</v>
      </c>
      <c r="S241" s="1">
        <f>'[1]Forward Ranks'!AN241</f>
        <v>0.23580786026200873</v>
      </c>
      <c r="T241" s="1">
        <f>'[1]Forward Ranks'!AO241</f>
        <v>0.14847161572052403</v>
      </c>
      <c r="U241" s="1">
        <f>'[1]Forward Ranks'!AP241</f>
        <v>0.21179039301310043</v>
      </c>
      <c r="V241">
        <f>'[1]Forward Ranks'!AR241</f>
        <v>0</v>
      </c>
      <c r="W241" s="1">
        <f>'[1]Forward Ranks'!AW241</f>
        <v>0.77510917030567683</v>
      </c>
      <c r="X241" s="1">
        <f>'[1]Forward Ranks'!AX241</f>
        <v>0.8973799126637555</v>
      </c>
      <c r="Y241" s="1">
        <f>'[1]Forward Ranks'!AY241</f>
        <v>0.87991266375545851</v>
      </c>
      <c r="Z241" s="1">
        <f>'[1]Forward Ranks'!AZ241</f>
        <v>0.81441048034934493</v>
      </c>
      <c r="AA241">
        <f>'[1]Forward Ranks'!BB241</f>
        <v>0</v>
      </c>
      <c r="AB241" s="1">
        <f>'[1]Forward Ranks'!BG241</f>
        <v>0.57641921397379914</v>
      </c>
      <c r="AC241" s="1">
        <f>'[1]Forward Ranks'!BH241</f>
        <v>0.14628820960698691</v>
      </c>
      <c r="AD241" s="1">
        <f>'[1]Forward Ranks'!BI241</f>
        <v>0.16593886462882096</v>
      </c>
      <c r="AE241" s="1">
        <f>'[1]Forward Ranks'!BJ241</f>
        <v>0.388646288209607</v>
      </c>
      <c r="AF241">
        <f>'[1]Forward Ranks'!BL241</f>
        <v>0</v>
      </c>
      <c r="AG241" s="1">
        <f>'[1]Forward Ranks'!BQ241</f>
        <v>0.63318777292576423</v>
      </c>
      <c r="AH241" s="1">
        <f>'[1]Forward Ranks'!BR241</f>
        <v>0.61353711790393017</v>
      </c>
      <c r="AI241" s="1">
        <f>'[1]Forward Ranks'!BS241</f>
        <v>0.47161572052401746</v>
      </c>
      <c r="AJ241" s="1">
        <f>'[1]Forward Ranks'!BT241</f>
        <v>0.59606986899563319</v>
      </c>
      <c r="AL241" s="2">
        <f>'[1]Forward Ranks'!BX241</f>
        <v>0.45851528384279477</v>
      </c>
      <c r="AN241" t="str">
        <f>'[1]Forward Ranks'!B241</f>
        <v>COL, WSH</v>
      </c>
      <c r="AO241">
        <f>'[1]F on ice'!E241</f>
        <v>84</v>
      </c>
      <c r="AP241" s="2">
        <f>'[1]Impact Score Math'!E241</f>
        <v>0.5230460921843687</v>
      </c>
      <c r="AQ241">
        <f>'[1]Impact Score Math'!G241</f>
        <v>239</v>
      </c>
      <c r="AT241" s="1">
        <f>'[1]Forward Ranks'!CJ241</f>
        <v>0.38646288209606988</v>
      </c>
      <c r="AU241" s="1">
        <f>'[1]Forward Ranks'!CK241</f>
        <v>0.26637554585152839</v>
      </c>
    </row>
    <row r="242" spans="1:47" x14ac:dyDescent="0.3">
      <c r="A242" t="str">
        <f>'[1]Forward Ranks'!A242</f>
        <v>Laurent Dauphin</v>
      </c>
      <c r="B242">
        <f>'[1]Forward Ranks'!D242</f>
        <v>0</v>
      </c>
      <c r="C242" s="1">
        <f>'[1]Forward Ranks'!I242</f>
        <v>0.10262008733624454</v>
      </c>
      <c r="D242" s="1">
        <f>'[1]Forward Ranks'!J242</f>
        <v>8.5152838427947602E-2</v>
      </c>
      <c r="E242" s="1">
        <f>'[1]Forward Ranks'!K242</f>
        <v>6.5502183406113534E-3</v>
      </c>
      <c r="F242" s="1">
        <f>'[1]Forward Ranks'!L242</f>
        <v>0.11353711790393013</v>
      </c>
      <c r="G242">
        <f>'[1]Forward Ranks'!N242</f>
        <v>0</v>
      </c>
      <c r="H242" s="1">
        <f>'[1]Forward Ranks'!S242</f>
        <v>6.9868995633187769E-2</v>
      </c>
      <c r="I242" s="1">
        <f>'[1]Forward Ranks'!T242</f>
        <v>2.1834061135371178E-3</v>
      </c>
      <c r="J242" s="1">
        <f>'[1]Forward Ranks'!U242</f>
        <v>2.1834061135371178E-3</v>
      </c>
      <c r="K242" s="1">
        <f>'[1]Forward Ranks'!V242</f>
        <v>8.7336244541484712E-3</v>
      </c>
      <c r="L242">
        <f>'[1]Forward Ranks'!X242</f>
        <v>0</v>
      </c>
      <c r="M242" s="1">
        <f>'[1]Forward Ranks'!AC242</f>
        <v>0.27292576419213976</v>
      </c>
      <c r="N242" s="1">
        <f>'[1]Forward Ranks'!AD242</f>
        <v>0.42139737991266374</v>
      </c>
      <c r="O242" s="1">
        <f>'[1]Forward Ranks'!AE242</f>
        <v>0.85807860262008728</v>
      </c>
      <c r="P242" s="1">
        <f>'[1]Forward Ranks'!AF242</f>
        <v>0.27510917030567683</v>
      </c>
      <c r="Q242">
        <f>'[1]Forward Ranks'!AH242</f>
        <v>0</v>
      </c>
      <c r="R242" s="1">
        <f>'[1]Forward Ranks'!AM242</f>
        <v>0.22489082969432314</v>
      </c>
      <c r="S242" s="1">
        <f>'[1]Forward Ranks'!AN242</f>
        <v>0.2576419213973799</v>
      </c>
      <c r="T242" s="1">
        <f>'[1]Forward Ranks'!AO242</f>
        <v>4.3668122270742356E-3</v>
      </c>
      <c r="U242" s="1">
        <f>'[1]Forward Ranks'!AP242</f>
        <v>0.25327510917030566</v>
      </c>
      <c r="V242">
        <f>'[1]Forward Ranks'!AR242</f>
        <v>0</v>
      </c>
      <c r="W242" s="1">
        <f>'[1]Forward Ranks'!AW242</f>
        <v>0.44541484716157204</v>
      </c>
      <c r="X242" s="1">
        <f>'[1]Forward Ranks'!AX242</f>
        <v>0.62008733624454149</v>
      </c>
      <c r="Y242" s="1">
        <f>'[1]Forward Ranks'!AY242</f>
        <v>0.99344978165938869</v>
      </c>
      <c r="Z242" s="1">
        <f>'[1]Forward Ranks'!AZ242</f>
        <v>0.30131004366812225</v>
      </c>
      <c r="AA242">
        <f>'[1]Forward Ranks'!BB242</f>
        <v>0</v>
      </c>
      <c r="AB242" s="1">
        <f>'[1]Forward Ranks'!BG242</f>
        <v>0.18777292576419213</v>
      </c>
      <c r="AC242" s="1">
        <f>'[1]Forward Ranks'!BH242</f>
        <v>0.41703056768558949</v>
      </c>
      <c r="AD242" s="1">
        <f>'[1]Forward Ranks'!BI242</f>
        <v>6.5502183406113534E-3</v>
      </c>
      <c r="AE242" s="1">
        <f>'[1]Forward Ranks'!BJ242</f>
        <v>0.11790393013100436</v>
      </c>
      <c r="AF242">
        <f>'[1]Forward Ranks'!BL242</f>
        <v>0</v>
      </c>
      <c r="AG242" s="1">
        <f>'[1]Forward Ranks'!BQ242</f>
        <v>0.11353711790393013</v>
      </c>
      <c r="AH242" s="1">
        <f>'[1]Forward Ranks'!BR242</f>
        <v>0.15065502183406113</v>
      </c>
      <c r="AI242" s="1">
        <f>'[1]Forward Ranks'!BS242</f>
        <v>2.6200873362445413E-2</v>
      </c>
      <c r="AJ242" s="1">
        <f>'[1]Forward Ranks'!BT242</f>
        <v>0.13100436681222707</v>
      </c>
      <c r="AL242" s="2">
        <f>'[1]Forward Ranks'!BX242</f>
        <v>2.8384279475982533E-2</v>
      </c>
      <c r="AN242" t="str">
        <f>'[1]Forward Ranks'!B242</f>
        <v>ARI</v>
      </c>
      <c r="AO242">
        <f>'[1]F on ice'!E242</f>
        <v>21</v>
      </c>
      <c r="AP242" s="2">
        <f>'[1]Impact Score Math'!E242</f>
        <v>0.10821643286573146</v>
      </c>
      <c r="AQ242">
        <f>'[1]Impact Score Math'!G242</f>
        <v>446</v>
      </c>
      <c r="AT242" s="1">
        <f>'[1]Forward Ranks'!CJ242</f>
        <v>0.15065502183406113</v>
      </c>
      <c r="AU242" s="1">
        <f>'[1]Forward Ranks'!CK242</f>
        <v>0.21615720524017468</v>
      </c>
    </row>
    <row r="243" spans="1:47" x14ac:dyDescent="0.3">
      <c r="A243" t="str">
        <f>'[1]Forward Ranks'!A243</f>
        <v>Lawson Crouse</v>
      </c>
      <c r="B243">
        <f>'[1]Forward Ranks'!D243</f>
        <v>0</v>
      </c>
      <c r="C243" s="1">
        <f>'[1]Forward Ranks'!I243</f>
        <v>0.26419213973799127</v>
      </c>
      <c r="D243" s="1">
        <f>'[1]Forward Ranks'!J243</f>
        <v>0.3056768558951965</v>
      </c>
      <c r="E243" s="1">
        <f>'[1]Forward Ranks'!K243</f>
        <v>0.72707423580786024</v>
      </c>
      <c r="F243" s="1">
        <f>'[1]Forward Ranks'!L243</f>
        <v>0.3056768558951965</v>
      </c>
      <c r="G243">
        <f>'[1]Forward Ranks'!N243</f>
        <v>0</v>
      </c>
      <c r="H243" s="1">
        <f>'[1]Forward Ranks'!S243</f>
        <v>0.70960698689956336</v>
      </c>
      <c r="I243" s="1">
        <f>'[1]Forward Ranks'!T243</f>
        <v>0.68995633187772931</v>
      </c>
      <c r="J243" s="1">
        <f>'[1]Forward Ranks'!U243</f>
        <v>0.70305676855895194</v>
      </c>
      <c r="K243" s="1">
        <f>'[1]Forward Ranks'!V243</f>
        <v>0.72707423580786024</v>
      </c>
      <c r="L243">
        <f>'[1]Forward Ranks'!X243</f>
        <v>0</v>
      </c>
      <c r="M243" s="1">
        <f>'[1]Forward Ranks'!AC243</f>
        <v>0.23362445414847161</v>
      </c>
      <c r="N243" s="1">
        <f>'[1]Forward Ranks'!AD243</f>
        <v>0.30786026200873362</v>
      </c>
      <c r="O243" s="1">
        <f>'[1]Forward Ranks'!AE243</f>
        <v>0.35371179039301309</v>
      </c>
      <c r="P243" s="1">
        <f>'[1]Forward Ranks'!AF243</f>
        <v>0.41484716157205243</v>
      </c>
      <c r="Q243">
        <f>'[1]Forward Ranks'!AH243</f>
        <v>0</v>
      </c>
      <c r="R243" s="1">
        <f>'[1]Forward Ranks'!AM243</f>
        <v>0.71615720524017468</v>
      </c>
      <c r="S243" s="1">
        <f>'[1]Forward Ranks'!AN243</f>
        <v>0.68777292576419213</v>
      </c>
      <c r="T243" s="1">
        <f>'[1]Forward Ranks'!AO243</f>
        <v>0.83406113537117899</v>
      </c>
      <c r="U243" s="1">
        <f>'[1]Forward Ranks'!AP243</f>
        <v>0.73799126637554591</v>
      </c>
      <c r="V243">
        <f>'[1]Forward Ranks'!AR243</f>
        <v>0</v>
      </c>
      <c r="W243" s="1">
        <f>'[1]Forward Ranks'!AW243</f>
        <v>0.44978165938864628</v>
      </c>
      <c r="X243" s="1">
        <f>'[1]Forward Ranks'!AX243</f>
        <v>0.49563318777292575</v>
      </c>
      <c r="Y243" s="1">
        <f>'[1]Forward Ranks'!AY243</f>
        <v>0.56986899563318782</v>
      </c>
      <c r="Z243" s="1">
        <f>'[1]Forward Ranks'!AZ243</f>
        <v>0.63100436681222705</v>
      </c>
      <c r="AA243">
        <f>'[1]Forward Ranks'!BB243</f>
        <v>0</v>
      </c>
      <c r="AB243" s="1">
        <f>'[1]Forward Ranks'!BG243</f>
        <v>0.68340611353711789</v>
      </c>
      <c r="AC243" s="1">
        <f>'[1]Forward Ranks'!BH243</f>
        <v>0.17685589519650655</v>
      </c>
      <c r="AD243" s="1">
        <f>'[1]Forward Ranks'!BI243</f>
        <v>0.90829694323144106</v>
      </c>
      <c r="AE243" s="1">
        <f>'[1]Forward Ranks'!BJ243</f>
        <v>0.84279475982532748</v>
      </c>
      <c r="AF243">
        <f>'[1]Forward Ranks'!BL243</f>
        <v>0</v>
      </c>
      <c r="AG243" s="1">
        <f>'[1]Forward Ranks'!BQ243</f>
        <v>0.20742358078602621</v>
      </c>
      <c r="AH243" s="1">
        <f>'[1]Forward Ranks'!BR243</f>
        <v>0.26419213973799127</v>
      </c>
      <c r="AI243" s="1">
        <f>'[1]Forward Ranks'!BS243</f>
        <v>0.57860262008733621</v>
      </c>
      <c r="AJ243" s="1">
        <f>'[1]Forward Ranks'!BT243</f>
        <v>0.31222707423580787</v>
      </c>
      <c r="AL243" s="2">
        <f>'[1]Forward Ranks'!BX243</f>
        <v>0.52838427947598254</v>
      </c>
      <c r="AN243" t="str">
        <f>'[1]Forward Ranks'!B243</f>
        <v>ARI</v>
      </c>
      <c r="AO243">
        <f>'[1]F on ice'!E243</f>
        <v>77</v>
      </c>
      <c r="AP243" s="2">
        <f>'[1]Impact Score Math'!E243</f>
        <v>0.6352705410821643</v>
      </c>
      <c r="AQ243">
        <f>'[1]Impact Score Math'!G243</f>
        <v>183</v>
      </c>
      <c r="AT243" s="1">
        <f>'[1]Forward Ranks'!CJ243</f>
        <v>0.51091703056768556</v>
      </c>
      <c r="AU243" s="1">
        <f>'[1]Forward Ranks'!CK243</f>
        <v>0.24890829694323144</v>
      </c>
    </row>
    <row r="244" spans="1:47" x14ac:dyDescent="0.3">
      <c r="A244" t="str">
        <f>'[1]Forward Ranks'!A244</f>
        <v>Leon Draisaitl</v>
      </c>
      <c r="B244">
        <f>'[1]Forward Ranks'!D244</f>
        <v>0</v>
      </c>
      <c r="C244" s="1">
        <f>'[1]Forward Ranks'!I244</f>
        <v>0.82751091703056767</v>
      </c>
      <c r="D244" s="1">
        <f>'[1]Forward Ranks'!J244</f>
        <v>0.79475982532751088</v>
      </c>
      <c r="E244" s="1">
        <f>'[1]Forward Ranks'!K244</f>
        <v>0.92576419213973804</v>
      </c>
      <c r="F244" s="1">
        <f>'[1]Forward Ranks'!L244</f>
        <v>0.86899563318777295</v>
      </c>
      <c r="G244">
        <f>'[1]Forward Ranks'!N244</f>
        <v>0</v>
      </c>
      <c r="H244" s="1">
        <f>'[1]Forward Ranks'!S244</f>
        <v>0.67685589519650657</v>
      </c>
      <c r="I244" s="1">
        <f>'[1]Forward Ranks'!T244</f>
        <v>0.94541484716157209</v>
      </c>
      <c r="J244" s="1">
        <f>'[1]Forward Ranks'!U244</f>
        <v>0.99563318777292575</v>
      </c>
      <c r="K244" s="1">
        <f>'[1]Forward Ranks'!V244</f>
        <v>0.91048034934497812</v>
      </c>
      <c r="L244">
        <f>'[1]Forward Ranks'!X244</f>
        <v>0</v>
      </c>
      <c r="M244" s="1">
        <f>'[1]Forward Ranks'!AC244</f>
        <v>0.35152838427947597</v>
      </c>
      <c r="N244" s="1">
        <f>'[1]Forward Ranks'!AD244</f>
        <v>0.43231441048034935</v>
      </c>
      <c r="O244" s="1">
        <f>'[1]Forward Ranks'!AE244</f>
        <v>0.1091703056768559</v>
      </c>
      <c r="P244" s="1">
        <f>'[1]Forward Ranks'!AF244</f>
        <v>0.23580786026200873</v>
      </c>
      <c r="Q244">
        <f>'[1]Forward Ranks'!AH244</f>
        <v>0</v>
      </c>
      <c r="R244" s="1">
        <f>'[1]Forward Ranks'!AM244</f>
        <v>0.81004366812227069</v>
      </c>
      <c r="S244" s="1">
        <f>'[1]Forward Ranks'!AN244</f>
        <v>0.56550218340611358</v>
      </c>
      <c r="T244" s="1">
        <f>'[1]Forward Ranks'!AO244</f>
        <v>0.888646288209607</v>
      </c>
      <c r="U244" s="1">
        <f>'[1]Forward Ranks'!AP244</f>
        <v>0.76419213973799127</v>
      </c>
      <c r="V244">
        <f>'[1]Forward Ranks'!AR244</f>
        <v>0</v>
      </c>
      <c r="W244" s="1">
        <f>'[1]Forward Ranks'!AW244</f>
        <v>9.606986899563319E-2</v>
      </c>
      <c r="X244" s="1">
        <f>'[1]Forward Ranks'!AX244</f>
        <v>9.1703056768558958E-2</v>
      </c>
      <c r="Y244" s="1">
        <f>'[1]Forward Ranks'!AY244</f>
        <v>1.7467248908296942E-2</v>
      </c>
      <c r="Z244" s="1">
        <f>'[1]Forward Ranks'!AZ244</f>
        <v>8.0786026200873357E-2</v>
      </c>
      <c r="AA244">
        <f>'[1]Forward Ranks'!BB244</f>
        <v>0</v>
      </c>
      <c r="AB244" s="1">
        <f>'[1]Forward Ranks'!BG244</f>
        <v>0.99344978165938869</v>
      </c>
      <c r="AC244" s="1">
        <f>'[1]Forward Ranks'!BH244</f>
        <v>0.66593886462882101</v>
      </c>
      <c r="AD244" s="1">
        <f>'[1]Forward Ranks'!BI244</f>
        <v>0.83842794759825323</v>
      </c>
      <c r="AE244" s="1">
        <f>'[1]Forward Ranks'!BJ244</f>
        <v>0.42794759825327511</v>
      </c>
      <c r="AF244">
        <f>'[1]Forward Ranks'!BL244</f>
        <v>0</v>
      </c>
      <c r="AG244" s="1">
        <f>'[1]Forward Ranks'!BQ244</f>
        <v>0.6506550218340611</v>
      </c>
      <c r="AH244" s="1">
        <f>'[1]Forward Ranks'!BR244</f>
        <v>0.72270742358078599</v>
      </c>
      <c r="AI244" s="1">
        <f>'[1]Forward Ranks'!BS244</f>
        <v>0.56550218340611358</v>
      </c>
      <c r="AJ244" s="1">
        <f>'[1]Forward Ranks'!BT244</f>
        <v>0.71615720524017468</v>
      </c>
      <c r="AL244" s="2">
        <f>'[1]Forward Ranks'!BX244</f>
        <v>0.6746724890829694</v>
      </c>
      <c r="AN244" t="str">
        <f>'[1]Forward Ranks'!B244</f>
        <v>EDM</v>
      </c>
      <c r="AO244">
        <f>'[1]F on ice'!E244</f>
        <v>80</v>
      </c>
      <c r="AP244" s="2">
        <f>'[1]Impact Score Math'!E244</f>
        <v>0.88777555110220441</v>
      </c>
      <c r="AQ244">
        <f>'[1]Impact Score Math'!G244</f>
        <v>57</v>
      </c>
      <c r="AT244" s="1">
        <f>'[1]Forward Ranks'!CJ244</f>
        <v>0.80786026200873362</v>
      </c>
      <c r="AU244" s="1">
        <f>'[1]Forward Ranks'!CK244</f>
        <v>0.5633187772925764</v>
      </c>
    </row>
    <row r="245" spans="1:47" x14ac:dyDescent="0.3">
      <c r="A245" t="str">
        <f>'[1]Forward Ranks'!A245</f>
        <v>Liam Foudy</v>
      </c>
      <c r="B245">
        <f>'[1]Forward Ranks'!D245</f>
        <v>0</v>
      </c>
      <c r="C245" s="1">
        <f>'[1]Forward Ranks'!I245</f>
        <v>0.21615720524017468</v>
      </c>
      <c r="D245" s="1">
        <f>'[1]Forward Ranks'!J245</f>
        <v>0.19213973799126638</v>
      </c>
      <c r="E245" s="1">
        <f>'[1]Forward Ranks'!K245</f>
        <v>0.11353711790393013</v>
      </c>
      <c r="F245" s="1">
        <f>'[1]Forward Ranks'!L245</f>
        <v>0.12882096069868995</v>
      </c>
      <c r="G245">
        <f>'[1]Forward Ranks'!N245</f>
        <v>0</v>
      </c>
      <c r="H245" s="1">
        <f>'[1]Forward Ranks'!S245</f>
        <v>0.44323144104803491</v>
      </c>
      <c r="I245" s="1">
        <f>'[1]Forward Ranks'!T245</f>
        <v>0.1943231441048035</v>
      </c>
      <c r="J245" s="1">
        <f>'[1]Forward Ranks'!U245</f>
        <v>0.49563318777292575</v>
      </c>
      <c r="K245" s="1">
        <f>'[1]Forward Ranks'!V245</f>
        <v>0.23144104803493451</v>
      </c>
      <c r="L245">
        <f>'[1]Forward Ranks'!X245</f>
        <v>0</v>
      </c>
      <c r="M245" s="1">
        <f>'[1]Forward Ranks'!AC245</f>
        <v>4.8034934497816595E-2</v>
      </c>
      <c r="N245" s="1">
        <f>'[1]Forward Ranks'!AD245</f>
        <v>0.17685589519650655</v>
      </c>
      <c r="O245" s="1">
        <f>'[1]Forward Ranks'!AE245</f>
        <v>4.3668122270742356E-3</v>
      </c>
      <c r="P245" s="1">
        <f>'[1]Forward Ranks'!AF245</f>
        <v>0.12663755458515283</v>
      </c>
      <c r="Q245">
        <f>'[1]Forward Ranks'!AH245</f>
        <v>0</v>
      </c>
      <c r="R245" s="1">
        <f>'[1]Forward Ranks'!AM245</f>
        <v>0.43013100436681223</v>
      </c>
      <c r="S245" s="1">
        <f>'[1]Forward Ranks'!AN245</f>
        <v>0.44759825327510916</v>
      </c>
      <c r="T245" s="1">
        <f>'[1]Forward Ranks'!AO245</f>
        <v>0.28820960698689957</v>
      </c>
      <c r="U245" s="1">
        <f>'[1]Forward Ranks'!AP245</f>
        <v>0.28602620087336245</v>
      </c>
      <c r="V245">
        <f>'[1]Forward Ranks'!AR245</f>
        <v>0</v>
      </c>
      <c r="W245" s="1">
        <f>'[1]Forward Ranks'!AW245</f>
        <v>0.34061135371179041</v>
      </c>
      <c r="X245" s="1">
        <f>'[1]Forward Ranks'!AX245</f>
        <v>0.51746724890829698</v>
      </c>
      <c r="Y245" s="1">
        <f>'[1]Forward Ranks'!AY245</f>
        <v>2.1834061135371178E-2</v>
      </c>
      <c r="Z245" s="1">
        <f>'[1]Forward Ranks'!AZ245</f>
        <v>0.48034934497816595</v>
      </c>
      <c r="AA245">
        <f>'[1]Forward Ranks'!BB245</f>
        <v>0</v>
      </c>
      <c r="AB245" s="1">
        <f>'[1]Forward Ranks'!BG245</f>
        <v>0.26200873362445415</v>
      </c>
      <c r="AC245" s="1">
        <f>'[1]Forward Ranks'!BH245</f>
        <v>0.27074235807860264</v>
      </c>
      <c r="AD245" s="1">
        <f>'[1]Forward Ranks'!BI245</f>
        <v>0.13973799126637554</v>
      </c>
      <c r="AE245" s="1">
        <f>'[1]Forward Ranks'!BJ245</f>
        <v>1.5283842794759825E-2</v>
      </c>
      <c r="AF245">
        <f>'[1]Forward Ranks'!BL245</f>
        <v>0</v>
      </c>
      <c r="AG245" s="1">
        <f>'[1]Forward Ranks'!BQ245</f>
        <v>8.0786026200873357E-2</v>
      </c>
      <c r="AH245" s="1">
        <f>'[1]Forward Ranks'!BR245</f>
        <v>0.16157205240174671</v>
      </c>
      <c r="AI245" s="1">
        <f>'[1]Forward Ranks'!BS245</f>
        <v>1.9650655021834062E-2</v>
      </c>
      <c r="AJ245" s="1">
        <f>'[1]Forward Ranks'!BT245</f>
        <v>8.0786026200873357E-2</v>
      </c>
      <c r="AL245" s="2">
        <f>'[1]Forward Ranks'!BX245</f>
        <v>8.0786026200873357E-2</v>
      </c>
      <c r="AN245" t="str">
        <f>'[1]Forward Ranks'!B245</f>
        <v>CBJ</v>
      </c>
      <c r="AO245">
        <f>'[1]F on ice'!E245</f>
        <v>62</v>
      </c>
      <c r="AP245" s="2">
        <f>'[1]Impact Score Math'!E245</f>
        <v>0.15631262525050099</v>
      </c>
      <c r="AQ245">
        <f>'[1]Impact Score Math'!G245</f>
        <v>422</v>
      </c>
      <c r="AT245" s="1">
        <f>'[1]Forward Ranks'!CJ245</f>
        <v>0.89956331877729256</v>
      </c>
      <c r="AU245" s="1">
        <f>'[1]Forward Ranks'!CK245</f>
        <v>0.45851528384279477</v>
      </c>
    </row>
    <row r="246" spans="1:47" x14ac:dyDescent="0.3">
      <c r="A246" t="str">
        <f>'[1]Forward Ranks'!A246</f>
        <v>Liam O'Brien</v>
      </c>
      <c r="B246">
        <f>'[1]Forward Ranks'!D246</f>
        <v>0</v>
      </c>
      <c r="C246" s="1">
        <f>'[1]Forward Ranks'!I246</f>
        <v>4.3668122270742356E-3</v>
      </c>
      <c r="D246" s="1">
        <f>'[1]Forward Ranks'!J246</f>
        <v>2.1834061135371178E-2</v>
      </c>
      <c r="E246" s="1">
        <f>'[1]Forward Ranks'!K246</f>
        <v>9.8253275109170299E-2</v>
      </c>
      <c r="F246" s="1">
        <f>'[1]Forward Ranks'!L246</f>
        <v>1.3100436681222707E-2</v>
      </c>
      <c r="G246">
        <f>'[1]Forward Ranks'!N246</f>
        <v>0</v>
      </c>
      <c r="H246" s="1">
        <f>'[1]Forward Ranks'!S246</f>
        <v>7.8602620087336247E-2</v>
      </c>
      <c r="I246" s="1">
        <f>'[1]Forward Ranks'!T246</f>
        <v>0.2816593886462882</v>
      </c>
      <c r="J246" s="1">
        <f>'[1]Forward Ranks'!U246</f>
        <v>0.31004366812227074</v>
      </c>
      <c r="K246" s="1">
        <f>'[1]Forward Ranks'!V246</f>
        <v>0.11572052401746726</v>
      </c>
      <c r="L246">
        <f>'[1]Forward Ranks'!X246</f>
        <v>0</v>
      </c>
      <c r="M246" s="1">
        <f>'[1]Forward Ranks'!AC246</f>
        <v>0.32532751091703055</v>
      </c>
      <c r="N246" s="1">
        <f>'[1]Forward Ranks'!AD246</f>
        <v>0.38209606986899564</v>
      </c>
      <c r="O246" s="1">
        <f>'[1]Forward Ranks'!AE246</f>
        <v>0.59606986899563319</v>
      </c>
      <c r="P246" s="1">
        <f>'[1]Forward Ranks'!AF246</f>
        <v>0.65502183406113534</v>
      </c>
      <c r="Q246">
        <f>'[1]Forward Ranks'!AH246</f>
        <v>0</v>
      </c>
      <c r="R246" s="1">
        <f>'[1]Forward Ranks'!AM246</f>
        <v>3.2751091703056769E-2</v>
      </c>
      <c r="S246" s="1">
        <f>'[1]Forward Ranks'!AN246</f>
        <v>0.15502183406113537</v>
      </c>
      <c r="T246" s="1">
        <f>'[1]Forward Ranks'!AO246</f>
        <v>0.13973799126637554</v>
      </c>
      <c r="U246" s="1">
        <f>'[1]Forward Ranks'!AP246</f>
        <v>0.10480349344978165</v>
      </c>
      <c r="V246">
        <f>'[1]Forward Ranks'!AR246</f>
        <v>0</v>
      </c>
      <c r="W246" s="1">
        <f>'[1]Forward Ranks'!AW246</f>
        <v>0.66375545851528384</v>
      </c>
      <c r="X246" s="1">
        <f>'[1]Forward Ranks'!AX246</f>
        <v>0.60480349344978168</v>
      </c>
      <c r="Y246" s="1">
        <f>'[1]Forward Ranks'!AY246</f>
        <v>0.88427947598253276</v>
      </c>
      <c r="Z246" s="1">
        <f>'[1]Forward Ranks'!AZ246</f>
        <v>0.89519650655021832</v>
      </c>
      <c r="AA246">
        <f>'[1]Forward Ranks'!BB246</f>
        <v>0</v>
      </c>
      <c r="AB246" s="1">
        <f>'[1]Forward Ranks'!BG246</f>
        <v>0.19213973799126638</v>
      </c>
      <c r="AC246" s="1">
        <f>'[1]Forward Ranks'!BH246</f>
        <v>0.18122270742358079</v>
      </c>
      <c r="AD246" s="1">
        <f>'[1]Forward Ranks'!BI246</f>
        <v>0.47161572052401746</v>
      </c>
      <c r="AE246" s="1">
        <f>'[1]Forward Ranks'!BJ246</f>
        <v>0.64628820960698685</v>
      </c>
      <c r="AF246">
        <f>'[1]Forward Ranks'!BL246</f>
        <v>0</v>
      </c>
      <c r="AG246" s="1">
        <f>'[1]Forward Ranks'!BQ246</f>
        <v>1.9650655021834062E-2</v>
      </c>
      <c r="AH246" s="1">
        <f>'[1]Forward Ranks'!BR246</f>
        <v>3.7117903930131008E-2</v>
      </c>
      <c r="AI246" s="1">
        <f>'[1]Forward Ranks'!BS246</f>
        <v>0.17467248908296942</v>
      </c>
      <c r="AJ246" s="1">
        <f>'[1]Forward Ranks'!BT246</f>
        <v>5.458515283842795E-2</v>
      </c>
      <c r="AL246" s="2">
        <f>'[1]Forward Ranks'!BX246</f>
        <v>6.1135371179039298E-2</v>
      </c>
      <c r="AN246" t="str">
        <f>'[1]Forward Ranks'!B246</f>
        <v>ARI</v>
      </c>
      <c r="AO246">
        <f>'[1]F on ice'!E246</f>
        <v>56</v>
      </c>
      <c r="AP246" s="2">
        <f>'[1]Impact Score Math'!E246</f>
        <v>0.13426853707414829</v>
      </c>
      <c r="AQ246">
        <f>'[1]Impact Score Math'!G246</f>
        <v>433</v>
      </c>
      <c r="AT246" s="1">
        <f>'[1]Forward Ranks'!CJ246</f>
        <v>4.3668122270742356E-3</v>
      </c>
      <c r="AU246" s="1">
        <f>'[1]Forward Ranks'!CK246</f>
        <v>0.96943231441048039</v>
      </c>
    </row>
    <row r="247" spans="1:47" x14ac:dyDescent="0.3">
      <c r="A247" t="str">
        <f>'[1]Forward Ranks'!A247</f>
        <v>Logan Brown</v>
      </c>
      <c r="B247">
        <f>'[1]Forward Ranks'!D247</f>
        <v>0</v>
      </c>
      <c r="C247" s="1">
        <f>'[1]Forward Ranks'!I247</f>
        <v>1.9650655021834062E-2</v>
      </c>
      <c r="D247" s="1">
        <f>'[1]Forward Ranks'!J247</f>
        <v>1.0917030567685589E-2</v>
      </c>
      <c r="E247" s="1">
        <f>'[1]Forward Ranks'!K247</f>
        <v>0.10698689956331878</v>
      </c>
      <c r="F247" s="1">
        <f>'[1]Forward Ranks'!L247</f>
        <v>8.7336244541484712E-3</v>
      </c>
      <c r="G247">
        <f>'[1]Forward Ranks'!N247</f>
        <v>0</v>
      </c>
      <c r="H247" s="1">
        <f>'[1]Forward Ranks'!S247</f>
        <v>0.18340611353711792</v>
      </c>
      <c r="I247" s="1">
        <f>'[1]Forward Ranks'!T247</f>
        <v>0.40393013100436681</v>
      </c>
      <c r="J247" s="1">
        <f>'[1]Forward Ranks'!U247</f>
        <v>0.32751091703056767</v>
      </c>
      <c r="K247" s="1">
        <f>'[1]Forward Ranks'!V247</f>
        <v>0.24454148471615719</v>
      </c>
      <c r="L247">
        <f>'[1]Forward Ranks'!X247</f>
        <v>0</v>
      </c>
      <c r="M247" s="1">
        <f>'[1]Forward Ranks'!AC247</f>
        <v>0.45414847161572053</v>
      </c>
      <c r="N247" s="1">
        <f>'[1]Forward Ranks'!AD247</f>
        <v>0.53493449781659386</v>
      </c>
      <c r="O247" s="1">
        <f>'[1]Forward Ranks'!AE247</f>
        <v>0.48908296943231439</v>
      </c>
      <c r="P247" s="1">
        <f>'[1]Forward Ranks'!AF247</f>
        <v>0.71834061135371174</v>
      </c>
      <c r="Q247">
        <f>'[1]Forward Ranks'!AH247</f>
        <v>0</v>
      </c>
      <c r="R247" s="1">
        <f>'[1]Forward Ranks'!AM247</f>
        <v>9.1703056768558958E-2</v>
      </c>
      <c r="S247" s="1">
        <f>'[1]Forward Ranks'!AN247</f>
        <v>0.12445414847161572</v>
      </c>
      <c r="T247" s="1">
        <f>'[1]Forward Ranks'!AO247</f>
        <v>0.21179039301310043</v>
      </c>
      <c r="U247" s="1">
        <f>'[1]Forward Ranks'!AP247</f>
        <v>7.6419213973799124E-2</v>
      </c>
      <c r="V247">
        <f>'[1]Forward Ranks'!AR247</f>
        <v>0</v>
      </c>
      <c r="W247" s="1">
        <f>'[1]Forward Ranks'!AW247</f>
        <v>0.77292576419213976</v>
      </c>
      <c r="X247" s="1">
        <f>'[1]Forward Ranks'!AX247</f>
        <v>0.5633187772925764</v>
      </c>
      <c r="Y247" s="1">
        <f>'[1]Forward Ranks'!AY247</f>
        <v>0.86026200873362446</v>
      </c>
      <c r="Z247" s="1">
        <f>'[1]Forward Ranks'!AZ247</f>
        <v>0.91048034934497812</v>
      </c>
      <c r="AA247">
        <f>'[1]Forward Ranks'!BB247</f>
        <v>0</v>
      </c>
      <c r="AB247" s="1">
        <f>'[1]Forward Ranks'!BG247</f>
        <v>9.3886462882096067E-2</v>
      </c>
      <c r="AC247" s="1">
        <f>'[1]Forward Ranks'!BH247</f>
        <v>0.81441048034934493</v>
      </c>
      <c r="AD247" s="1">
        <f>'[1]Forward Ranks'!BI247</f>
        <v>0.26200873362445415</v>
      </c>
      <c r="AE247" s="1">
        <f>'[1]Forward Ranks'!BJ247</f>
        <v>0.3056768558951965</v>
      </c>
      <c r="AF247">
        <f>'[1]Forward Ranks'!BL247</f>
        <v>0</v>
      </c>
      <c r="AG247" s="1">
        <f>'[1]Forward Ranks'!BQ247</f>
        <v>6.5502183406113537E-2</v>
      </c>
      <c r="AH247" s="1">
        <f>'[1]Forward Ranks'!BR247</f>
        <v>4.148471615720524E-2</v>
      </c>
      <c r="AI247" s="1">
        <f>'[1]Forward Ranks'!BS247</f>
        <v>0.14410480349344978</v>
      </c>
      <c r="AJ247" s="1">
        <f>'[1]Forward Ranks'!BT247</f>
        <v>4.8034934497816595E-2</v>
      </c>
      <c r="AL247" s="2">
        <f>'[1]Forward Ranks'!BX247</f>
        <v>0.1331877729257642</v>
      </c>
      <c r="AN247" t="str">
        <f>'[1]Forward Ranks'!B247</f>
        <v>STL</v>
      </c>
      <c r="AO247">
        <f>'[1]F on ice'!E247</f>
        <v>30</v>
      </c>
      <c r="AP247" s="2">
        <f>'[1]Impact Score Math'!E247</f>
        <v>0.17434869739478959</v>
      </c>
      <c r="AQ247">
        <f>'[1]Impact Score Math'!G247</f>
        <v>413</v>
      </c>
      <c r="AT247" s="1">
        <f>'[1]Forward Ranks'!CJ247</f>
        <v>0.40393013100436681</v>
      </c>
      <c r="AU247" s="1">
        <f>'[1]Forward Ranks'!CK247</f>
        <v>0.26637554585152839</v>
      </c>
    </row>
    <row r="248" spans="1:47" x14ac:dyDescent="0.3">
      <c r="A248" t="str">
        <f>'[1]Forward Ranks'!A248</f>
        <v>Logan Couture</v>
      </c>
      <c r="B248">
        <f>'[1]Forward Ranks'!D248</f>
        <v>0</v>
      </c>
      <c r="C248" s="1">
        <f>'[1]Forward Ranks'!I248</f>
        <v>0.36899563318777295</v>
      </c>
      <c r="D248" s="1">
        <f>'[1]Forward Ranks'!J248</f>
        <v>0.85152838427947597</v>
      </c>
      <c r="E248" s="1">
        <f>'[1]Forward Ranks'!K248</f>
        <v>0.73144104803493448</v>
      </c>
      <c r="F248" s="1">
        <f>'[1]Forward Ranks'!L248</f>
        <v>0.78384279475982532</v>
      </c>
      <c r="G248">
        <f>'[1]Forward Ranks'!N248</f>
        <v>0</v>
      </c>
      <c r="H248" s="1">
        <f>'[1]Forward Ranks'!S248</f>
        <v>0.69213973799126638</v>
      </c>
      <c r="I248" s="1">
        <f>'[1]Forward Ranks'!T248</f>
        <v>0.78602620087336239</v>
      </c>
      <c r="J248" s="1">
        <f>'[1]Forward Ranks'!U248</f>
        <v>0.74235807860262004</v>
      </c>
      <c r="K248" s="1">
        <f>'[1]Forward Ranks'!V248</f>
        <v>0.79475982532751088</v>
      </c>
      <c r="L248">
        <f>'[1]Forward Ranks'!X248</f>
        <v>0</v>
      </c>
      <c r="M248" s="1">
        <f>'[1]Forward Ranks'!AC248</f>
        <v>0.36681222707423583</v>
      </c>
      <c r="N248" s="1">
        <f>'[1]Forward Ranks'!AD248</f>
        <v>0.57641921397379914</v>
      </c>
      <c r="O248" s="1">
        <f>'[1]Forward Ranks'!AE248</f>
        <v>5.0218340611353711E-2</v>
      </c>
      <c r="P248" s="1">
        <f>'[1]Forward Ranks'!AF248</f>
        <v>0.32532751091703055</v>
      </c>
      <c r="Q248">
        <f>'[1]Forward Ranks'!AH248</f>
        <v>0</v>
      </c>
      <c r="R248" s="1">
        <f>'[1]Forward Ranks'!AM248</f>
        <v>0.45196506550218341</v>
      </c>
      <c r="S248" s="1">
        <f>'[1]Forward Ranks'!AN248</f>
        <v>0.64628820960698685</v>
      </c>
      <c r="T248" s="1">
        <f>'[1]Forward Ranks'!AO248</f>
        <v>0.77510917030567683</v>
      </c>
      <c r="U248" s="1">
        <f>'[1]Forward Ranks'!AP248</f>
        <v>0.63755458515283847</v>
      </c>
      <c r="V248">
        <f>'[1]Forward Ranks'!AR248</f>
        <v>0</v>
      </c>
      <c r="W248" s="1">
        <f>'[1]Forward Ranks'!AW248</f>
        <v>0.50436681222707425</v>
      </c>
      <c r="X248" s="1">
        <f>'[1]Forward Ranks'!AX248</f>
        <v>0.71615720524017468</v>
      </c>
      <c r="Y248" s="1">
        <f>'[1]Forward Ranks'!AY248</f>
        <v>0.23144104803493451</v>
      </c>
      <c r="Z248" s="1">
        <f>'[1]Forward Ranks'!AZ248</f>
        <v>0.49563318777292575</v>
      </c>
      <c r="AA248">
        <f>'[1]Forward Ranks'!BB248</f>
        <v>0</v>
      </c>
      <c r="AB248" s="1">
        <f>'[1]Forward Ranks'!BG248</f>
        <v>0.611353711790393</v>
      </c>
      <c r="AC248" s="1">
        <f>'[1]Forward Ranks'!BH248</f>
        <v>0.3296943231441048</v>
      </c>
      <c r="AD248" s="1">
        <f>'[1]Forward Ranks'!BI248</f>
        <v>0.86462882096069871</v>
      </c>
      <c r="AE248" s="1">
        <f>'[1]Forward Ranks'!BJ248</f>
        <v>0.25982532751091703</v>
      </c>
      <c r="AF248">
        <f>'[1]Forward Ranks'!BL248</f>
        <v>0</v>
      </c>
      <c r="AG248" s="1">
        <f>'[1]Forward Ranks'!BQ248</f>
        <v>0.35152838427947597</v>
      </c>
      <c r="AH248" s="1">
        <f>'[1]Forward Ranks'!BR248</f>
        <v>0.83406113537117899</v>
      </c>
      <c r="AI248" s="1">
        <f>'[1]Forward Ranks'!BS248</f>
        <v>0.29694323144104806</v>
      </c>
      <c r="AJ248" s="1">
        <f>'[1]Forward Ranks'!BT248</f>
        <v>0.62445414847161573</v>
      </c>
      <c r="AL248" s="2">
        <f>'[1]Forward Ranks'!BX248</f>
        <v>0.58296943231441045</v>
      </c>
      <c r="AN248" t="str">
        <f>'[1]Forward Ranks'!B248</f>
        <v>S.J</v>
      </c>
      <c r="AO248">
        <f>'[1]F on ice'!E248</f>
        <v>82</v>
      </c>
      <c r="AP248" s="2">
        <f>'[1]Impact Score Math'!E248</f>
        <v>0.65531062124248496</v>
      </c>
      <c r="AQ248">
        <f>'[1]Impact Score Math'!G248</f>
        <v>173</v>
      </c>
      <c r="AT248" s="1">
        <f>'[1]Forward Ranks'!CJ248</f>
        <v>0.888646288209607</v>
      </c>
      <c r="AU248" s="1">
        <f>'[1]Forward Ranks'!CK248</f>
        <v>5.458515283842795E-2</v>
      </c>
    </row>
    <row r="249" spans="1:47" x14ac:dyDescent="0.3">
      <c r="A249" t="str">
        <f>'[1]Forward Ranks'!A249</f>
        <v>Logan O'Connor</v>
      </c>
      <c r="B249">
        <f>'[1]Forward Ranks'!D249</f>
        <v>0</v>
      </c>
      <c r="C249" s="1">
        <f>'[1]Forward Ranks'!I249</f>
        <v>0.17685589519650655</v>
      </c>
      <c r="D249" s="1">
        <f>'[1]Forward Ranks'!J249</f>
        <v>0.20524017467248909</v>
      </c>
      <c r="E249" s="1">
        <f>'[1]Forward Ranks'!K249</f>
        <v>0.37991266375545851</v>
      </c>
      <c r="F249" s="1">
        <f>'[1]Forward Ranks'!L249</f>
        <v>0.11353711790393013</v>
      </c>
      <c r="G249">
        <f>'[1]Forward Ranks'!N249</f>
        <v>0</v>
      </c>
      <c r="H249" s="1">
        <f>'[1]Forward Ranks'!S249</f>
        <v>0.1965065502183406</v>
      </c>
      <c r="I249" s="1">
        <f>'[1]Forward Ranks'!T249</f>
        <v>0.55021834061135366</v>
      </c>
      <c r="J249" s="1">
        <f>'[1]Forward Ranks'!U249</f>
        <v>0.65938864628820959</v>
      </c>
      <c r="K249" s="1">
        <f>'[1]Forward Ranks'!V249</f>
        <v>0.34497816593886466</v>
      </c>
      <c r="L249">
        <f>'[1]Forward Ranks'!X249</f>
        <v>0</v>
      </c>
      <c r="M249" s="1">
        <f>'[1]Forward Ranks'!AC249</f>
        <v>0.76200873362445409</v>
      </c>
      <c r="N249" s="1">
        <f>'[1]Forward Ranks'!AD249</f>
        <v>0.64192139737991272</v>
      </c>
      <c r="O249" s="1">
        <f>'[1]Forward Ranks'!AE249</f>
        <v>0.94323144104803491</v>
      </c>
      <c r="P249" s="1">
        <f>'[1]Forward Ranks'!AF249</f>
        <v>0.85371179039301315</v>
      </c>
      <c r="Q249">
        <f>'[1]Forward Ranks'!AH249</f>
        <v>0</v>
      </c>
      <c r="R249" s="1">
        <f>'[1]Forward Ranks'!AM249</f>
        <v>3.9301310043668124E-2</v>
      </c>
      <c r="S249" s="1">
        <f>'[1]Forward Ranks'!AN249</f>
        <v>0.17903930131004367</v>
      </c>
      <c r="T249" s="1">
        <f>'[1]Forward Ranks'!AO249</f>
        <v>0.31877729257641924</v>
      </c>
      <c r="U249" s="1">
        <f>'[1]Forward Ranks'!AP249</f>
        <v>6.768558951965066E-2</v>
      </c>
      <c r="V249">
        <f>'[1]Forward Ranks'!AR249</f>
        <v>0</v>
      </c>
      <c r="W249" s="1">
        <f>'[1]Forward Ranks'!AW249</f>
        <v>0.76637554585152834</v>
      </c>
      <c r="X249" s="1">
        <f>'[1]Forward Ranks'!AX249</f>
        <v>0.62445414847161573</v>
      </c>
      <c r="Y249" s="1">
        <f>'[1]Forward Ranks'!AY249</f>
        <v>0.90174672489082974</v>
      </c>
      <c r="Z249" s="1">
        <f>'[1]Forward Ranks'!AZ249</f>
        <v>0.76200873362445409</v>
      </c>
      <c r="AA249">
        <f>'[1]Forward Ranks'!BB249</f>
        <v>0</v>
      </c>
      <c r="AB249" s="1">
        <f>'[1]Forward Ranks'!BG249</f>
        <v>0.46288209606986902</v>
      </c>
      <c r="AC249" s="1">
        <f>'[1]Forward Ranks'!BH249</f>
        <v>8.9519650655021835E-2</v>
      </c>
      <c r="AD249" s="1">
        <f>'[1]Forward Ranks'!BI249</f>
        <v>0.54148471615720528</v>
      </c>
      <c r="AE249" s="1">
        <f>'[1]Forward Ranks'!BJ249</f>
        <v>0.89301310043668125</v>
      </c>
      <c r="AF249">
        <f>'[1]Forward Ranks'!BL249</f>
        <v>0</v>
      </c>
      <c r="AG249" s="1">
        <f>'[1]Forward Ranks'!BQ249</f>
        <v>0.39082969432314413</v>
      </c>
      <c r="AH249" s="1">
        <f>'[1]Forward Ranks'!BR249</f>
        <v>0.3296943231441048</v>
      </c>
      <c r="AI249" s="1">
        <f>'[1]Forward Ranks'!BS249</f>
        <v>0.86462882096069871</v>
      </c>
      <c r="AJ249" s="1">
        <f>'[1]Forward Ranks'!BT249</f>
        <v>0.35807860262008734</v>
      </c>
      <c r="AL249" s="2">
        <f>'[1]Forward Ranks'!BX249</f>
        <v>0.25982532751091703</v>
      </c>
      <c r="AN249" t="str">
        <f>'[1]Forward Ranks'!B249</f>
        <v>COL</v>
      </c>
      <c r="AO249">
        <f>'[1]F on ice'!E249</f>
        <v>82</v>
      </c>
      <c r="AP249" s="2">
        <f>'[1]Impact Score Math'!E249</f>
        <v>0.35470941883767537</v>
      </c>
      <c r="AQ249">
        <f>'[1]Impact Score Math'!G249</f>
        <v>323</v>
      </c>
      <c r="AT249" s="1">
        <f>'[1]Forward Ranks'!CJ249</f>
        <v>0.27292576419213976</v>
      </c>
      <c r="AU249" s="1">
        <f>'[1]Forward Ranks'!CK249</f>
        <v>0.53056768558951961</v>
      </c>
    </row>
    <row r="250" spans="1:47" x14ac:dyDescent="0.3">
      <c r="A250" t="str">
        <f>'[1]Forward Ranks'!A250</f>
        <v>Lucas Raymond</v>
      </c>
      <c r="B250">
        <f>'[1]Forward Ranks'!D250</f>
        <v>0</v>
      </c>
      <c r="C250" s="1">
        <f>'[1]Forward Ranks'!I250</f>
        <v>0.15283842794759825</v>
      </c>
      <c r="D250" s="1">
        <f>'[1]Forward Ranks'!J250</f>
        <v>0.22489082969432314</v>
      </c>
      <c r="E250" s="1">
        <f>'[1]Forward Ranks'!K250</f>
        <v>0.25109170305676853</v>
      </c>
      <c r="F250" s="1">
        <f>'[1]Forward Ranks'!L250</f>
        <v>0.14410480349344978</v>
      </c>
      <c r="G250">
        <f>'[1]Forward Ranks'!N250</f>
        <v>0</v>
      </c>
      <c r="H250" s="1">
        <f>'[1]Forward Ranks'!S250</f>
        <v>0.42358078602620086</v>
      </c>
      <c r="I250" s="1">
        <f>'[1]Forward Ranks'!T250</f>
        <v>0.18777292576419213</v>
      </c>
      <c r="J250" s="1">
        <f>'[1]Forward Ranks'!U250</f>
        <v>0.17903930131004367</v>
      </c>
      <c r="K250" s="1">
        <f>'[1]Forward Ranks'!V250</f>
        <v>0.22270742358078602</v>
      </c>
      <c r="L250">
        <f>'[1]Forward Ranks'!X250</f>
        <v>0</v>
      </c>
      <c r="M250" s="1">
        <f>'[1]Forward Ranks'!AC250</f>
        <v>0.30131004366812225</v>
      </c>
      <c r="N250" s="1">
        <f>'[1]Forward Ranks'!AD250</f>
        <v>0.1091703056768559</v>
      </c>
      <c r="O250" s="1">
        <f>'[1]Forward Ranks'!AE250</f>
        <v>0.21615720524017468</v>
      </c>
      <c r="P250" s="1">
        <f>'[1]Forward Ranks'!AF250</f>
        <v>0.17685589519650655</v>
      </c>
      <c r="Q250">
        <f>'[1]Forward Ranks'!AH250</f>
        <v>0</v>
      </c>
      <c r="R250" s="1">
        <f>'[1]Forward Ranks'!AM250</f>
        <v>0.49781659388646288</v>
      </c>
      <c r="S250" s="1">
        <f>'[1]Forward Ranks'!AN250</f>
        <v>0.60043668122270744</v>
      </c>
      <c r="T250" s="1">
        <f>'[1]Forward Ranks'!AO250</f>
        <v>0.45414847161572053</v>
      </c>
      <c r="U250" s="1">
        <f>'[1]Forward Ranks'!AP250</f>
        <v>0.45196506550218341</v>
      </c>
      <c r="V250">
        <f>'[1]Forward Ranks'!AR250</f>
        <v>0</v>
      </c>
      <c r="W250" s="1">
        <f>'[1]Forward Ranks'!AW250</f>
        <v>0.18777292576419213</v>
      </c>
      <c r="X250" s="1">
        <f>'[1]Forward Ranks'!AX250</f>
        <v>5.458515283842795E-2</v>
      </c>
      <c r="Y250" s="1">
        <f>'[1]Forward Ranks'!AY250</f>
        <v>0.38427947598253276</v>
      </c>
      <c r="Z250" s="1">
        <f>'[1]Forward Ranks'!AZ250</f>
        <v>5.6768558951965066E-2</v>
      </c>
      <c r="AA250">
        <f>'[1]Forward Ranks'!BB250</f>
        <v>0</v>
      </c>
      <c r="AB250" s="1">
        <f>'[1]Forward Ranks'!BG250</f>
        <v>0.70524017467248912</v>
      </c>
      <c r="AC250" s="1">
        <f>'[1]Forward Ranks'!BH250</f>
        <v>0.43013100436681223</v>
      </c>
      <c r="AD250" s="1">
        <f>'[1]Forward Ranks'!BI250</f>
        <v>0.3296943231441048</v>
      </c>
      <c r="AE250" s="1">
        <f>'[1]Forward Ranks'!BJ250</f>
        <v>0.2183406113537118</v>
      </c>
      <c r="AF250">
        <f>'[1]Forward Ranks'!BL250</f>
        <v>0</v>
      </c>
      <c r="AG250" s="1">
        <f>'[1]Forward Ranks'!BQ250</f>
        <v>0.17467248908296942</v>
      </c>
      <c r="AH250" s="1">
        <f>'[1]Forward Ranks'!BR250</f>
        <v>0.11790393013100436</v>
      </c>
      <c r="AI250" s="1">
        <f>'[1]Forward Ranks'!BS250</f>
        <v>0.16157205240174671</v>
      </c>
      <c r="AJ250" s="1">
        <f>'[1]Forward Ranks'!BT250</f>
        <v>0.11790393013100436</v>
      </c>
      <c r="AL250" s="2">
        <f>'[1]Forward Ranks'!BX250</f>
        <v>8.7336244541484712E-2</v>
      </c>
      <c r="AN250" t="str">
        <f>'[1]Forward Ranks'!B250</f>
        <v>DET</v>
      </c>
      <c r="AO250">
        <f>'[1]F on ice'!E250</f>
        <v>74</v>
      </c>
      <c r="AP250" s="2">
        <f>'[1]Impact Score Math'!E250</f>
        <v>0.21242484969939879</v>
      </c>
      <c r="AQ250">
        <f>'[1]Impact Score Math'!G250</f>
        <v>394</v>
      </c>
      <c r="AT250" s="1">
        <f>'[1]Forward Ranks'!CJ250</f>
        <v>0.74672489082969429</v>
      </c>
      <c r="AU250" s="1">
        <f>'[1]Forward Ranks'!CK250</f>
        <v>0.81004366812227069</v>
      </c>
    </row>
    <row r="251" spans="1:47" x14ac:dyDescent="0.3">
      <c r="A251" t="str">
        <f>'[1]Forward Ranks'!A251</f>
        <v>Lukas Reichel</v>
      </c>
      <c r="B251">
        <f>'[1]Forward Ranks'!D251</f>
        <v>0</v>
      </c>
      <c r="C251" s="1">
        <f>'[1]Forward Ranks'!I251</f>
        <v>0.18995633187772926</v>
      </c>
      <c r="D251" s="1">
        <f>'[1]Forward Ranks'!J251</f>
        <v>0.10698689956331878</v>
      </c>
      <c r="E251" s="1">
        <f>'[1]Forward Ranks'!K251</f>
        <v>0.64192139737991272</v>
      </c>
      <c r="F251" s="1">
        <f>'[1]Forward Ranks'!L251</f>
        <v>0.18777292576419213</v>
      </c>
      <c r="G251">
        <f>'[1]Forward Ranks'!N251</f>
        <v>0</v>
      </c>
      <c r="H251" s="1">
        <f>'[1]Forward Ranks'!S251</f>
        <v>0.81659388646288211</v>
      </c>
      <c r="I251" s="1">
        <f>'[1]Forward Ranks'!T251</f>
        <v>0.36026200873362446</v>
      </c>
      <c r="J251" s="1">
        <f>'[1]Forward Ranks'!U251</f>
        <v>0.55458515283842791</v>
      </c>
      <c r="K251" s="1">
        <f>'[1]Forward Ranks'!V251</f>
        <v>0.60698689956331875</v>
      </c>
      <c r="L251">
        <f>'[1]Forward Ranks'!X251</f>
        <v>0</v>
      </c>
      <c r="M251" s="1">
        <f>'[1]Forward Ranks'!AC251</f>
        <v>5.6768558951965066E-2</v>
      </c>
      <c r="N251" s="1">
        <f>'[1]Forward Ranks'!AD251</f>
        <v>0.41484716157205243</v>
      </c>
      <c r="O251" s="1">
        <f>'[1]Forward Ranks'!AE251</f>
        <v>0.16157205240174671</v>
      </c>
      <c r="P251" s="1">
        <f>'[1]Forward Ranks'!AF251</f>
        <v>0.4606986899563319</v>
      </c>
      <c r="Q251">
        <f>'[1]Forward Ranks'!AH251</f>
        <v>0</v>
      </c>
      <c r="R251" s="1">
        <f>'[1]Forward Ranks'!AM251</f>
        <v>0.59606986899563319</v>
      </c>
      <c r="S251" s="1">
        <f>'[1]Forward Ranks'!AN251</f>
        <v>0.54585152838427953</v>
      </c>
      <c r="T251" s="1">
        <f>'[1]Forward Ranks'!AO251</f>
        <v>0.89519650655021832</v>
      </c>
      <c r="U251" s="1">
        <f>'[1]Forward Ranks'!AP251</f>
        <v>0.55895196506550215</v>
      </c>
      <c r="V251">
        <f>'[1]Forward Ranks'!AR251</f>
        <v>0</v>
      </c>
      <c r="W251" s="1">
        <f>'[1]Forward Ranks'!AW251</f>
        <v>3.0567685589519649E-2</v>
      </c>
      <c r="X251" s="1">
        <f>'[1]Forward Ranks'!AX251</f>
        <v>0.53711790393013104</v>
      </c>
      <c r="Y251" s="1">
        <f>'[1]Forward Ranks'!AY251</f>
        <v>0.13755458515283842</v>
      </c>
      <c r="Z251" s="1">
        <f>'[1]Forward Ranks'!AZ251</f>
        <v>0.5873362445414847</v>
      </c>
      <c r="AA251">
        <f>'[1]Forward Ranks'!BB251</f>
        <v>0</v>
      </c>
      <c r="AB251" s="1">
        <f>'[1]Forward Ranks'!BG251</f>
        <v>0.72052401746724892</v>
      </c>
      <c r="AC251" s="1">
        <f>'[1]Forward Ranks'!BH251</f>
        <v>0.75764192139737996</v>
      </c>
      <c r="AD251" s="1">
        <f>'[1]Forward Ranks'!BI251</f>
        <v>0.86244541484716153</v>
      </c>
      <c r="AE251" s="1">
        <f>'[1]Forward Ranks'!BJ251</f>
        <v>0.73580786026200873</v>
      </c>
      <c r="AF251">
        <f>'[1]Forward Ranks'!BL251</f>
        <v>0</v>
      </c>
      <c r="AG251" s="1">
        <f>'[1]Forward Ranks'!BQ251</f>
        <v>6.9868995633187769E-2</v>
      </c>
      <c r="AH251" s="1">
        <f>'[1]Forward Ranks'!BR251</f>
        <v>0.17685589519650655</v>
      </c>
      <c r="AI251" s="1">
        <f>'[1]Forward Ranks'!BS251</f>
        <v>0.36899563318777295</v>
      </c>
      <c r="AJ251" s="1">
        <f>'[1]Forward Ranks'!BT251</f>
        <v>0.2423580786026201</v>
      </c>
      <c r="AL251" s="2">
        <f>'[1]Forward Ranks'!BX251</f>
        <v>0.24890829694323144</v>
      </c>
      <c r="AN251" t="str">
        <f>'[1]Forward Ranks'!B251</f>
        <v>CHI</v>
      </c>
      <c r="AO251">
        <f>'[1]F on ice'!E251</f>
        <v>23</v>
      </c>
      <c r="AP251" s="2">
        <f>'[1]Impact Score Math'!E251</f>
        <v>0.40681362725450904</v>
      </c>
      <c r="AQ251">
        <f>'[1]Impact Score Math'!G251</f>
        <v>297</v>
      </c>
      <c r="AT251" s="1">
        <f>'[1]Forward Ranks'!CJ251</f>
        <v>0.61572052401746724</v>
      </c>
      <c r="AU251" s="1">
        <f>'[1]Forward Ranks'!CK251</f>
        <v>7.6419213973799124E-2</v>
      </c>
    </row>
    <row r="252" spans="1:47" x14ac:dyDescent="0.3">
      <c r="A252" t="str">
        <f>'[1]Forward Ranks'!A252</f>
        <v>Lukas Sedlak</v>
      </c>
      <c r="B252">
        <f>'[1]Forward Ranks'!D252</f>
        <v>0</v>
      </c>
      <c r="C252" s="1">
        <f>'[1]Forward Ranks'!I252</f>
        <v>0.37117903930131002</v>
      </c>
      <c r="D252" s="1">
        <f>'[1]Forward Ranks'!J252</f>
        <v>0.52620087336244536</v>
      </c>
      <c r="E252" s="1">
        <f>'[1]Forward Ranks'!K252</f>
        <v>0.30349344978165937</v>
      </c>
      <c r="F252" s="1">
        <f>'[1]Forward Ranks'!L252</f>
        <v>0.38427947598253276</v>
      </c>
      <c r="G252">
        <f>'[1]Forward Ranks'!N252</f>
        <v>0</v>
      </c>
      <c r="H252" s="1">
        <f>'[1]Forward Ranks'!S252</f>
        <v>0.37991266375545851</v>
      </c>
      <c r="I252" s="1">
        <f>'[1]Forward Ranks'!T252</f>
        <v>0.36026200873362446</v>
      </c>
      <c r="J252" s="1">
        <f>'[1]Forward Ranks'!U252</f>
        <v>0.55458515283842791</v>
      </c>
      <c r="K252" s="1">
        <f>'[1]Forward Ranks'!V252</f>
        <v>0.32096069868995636</v>
      </c>
      <c r="L252">
        <f>'[1]Forward Ranks'!X252</f>
        <v>0</v>
      </c>
      <c r="M252" s="1">
        <f>'[1]Forward Ranks'!AC252</f>
        <v>0.91703056768558955</v>
      </c>
      <c r="N252" s="1">
        <f>'[1]Forward Ranks'!AD252</f>
        <v>0.98908296943231444</v>
      </c>
      <c r="O252" s="1">
        <f>'[1]Forward Ranks'!AE252</f>
        <v>0.91703056768558955</v>
      </c>
      <c r="P252" s="1">
        <f>'[1]Forward Ranks'!AF252</f>
        <v>0.92139737991266379</v>
      </c>
      <c r="Q252">
        <f>'[1]Forward Ranks'!AH252</f>
        <v>0</v>
      </c>
      <c r="R252" s="1">
        <f>'[1]Forward Ranks'!AM252</f>
        <v>0.37336244541484714</v>
      </c>
      <c r="S252" s="1">
        <f>'[1]Forward Ranks'!AN252</f>
        <v>0.89082969432314407</v>
      </c>
      <c r="T252" s="1">
        <f>'[1]Forward Ranks'!AO252</f>
        <v>0.65283842794759828</v>
      </c>
      <c r="U252" s="1">
        <f>'[1]Forward Ranks'!AP252</f>
        <v>0.76419213973799127</v>
      </c>
      <c r="V252">
        <f>'[1]Forward Ranks'!AR252</f>
        <v>0</v>
      </c>
      <c r="W252" s="1">
        <f>'[1]Forward Ranks'!AW252</f>
        <v>0.95851528384279472</v>
      </c>
      <c r="X252" s="1">
        <f>'[1]Forward Ranks'!AX252</f>
        <v>0.99344978165938869</v>
      </c>
      <c r="Y252" s="1">
        <f>'[1]Forward Ranks'!AY252</f>
        <v>0.79475982532751088</v>
      </c>
      <c r="Z252" s="1">
        <f>'[1]Forward Ranks'!AZ252</f>
        <v>0.93231441048034935</v>
      </c>
      <c r="AA252">
        <f>'[1]Forward Ranks'!BB252</f>
        <v>0</v>
      </c>
      <c r="AB252" s="1">
        <f>'[1]Forward Ranks'!BG252</f>
        <v>0.16375545851528384</v>
      </c>
      <c r="AC252" s="1">
        <f>'[1]Forward Ranks'!BH252</f>
        <v>0.23799126637554585</v>
      </c>
      <c r="AD252" s="1">
        <f>'[1]Forward Ranks'!BI252</f>
        <v>0.28602620087336245</v>
      </c>
      <c r="AE252" s="1">
        <f>'[1]Forward Ranks'!BJ252</f>
        <v>0.59388646288209612</v>
      </c>
      <c r="AF252">
        <f>'[1]Forward Ranks'!BL252</f>
        <v>0</v>
      </c>
      <c r="AG252" s="1">
        <f>'[1]Forward Ranks'!BQ252</f>
        <v>0.6746724890829694</v>
      </c>
      <c r="AH252" s="1">
        <f>'[1]Forward Ranks'!BR252</f>
        <v>0.8973799126637555</v>
      </c>
      <c r="AI252" s="1">
        <f>'[1]Forward Ranks'!BS252</f>
        <v>0.73799126637554591</v>
      </c>
      <c r="AJ252" s="1">
        <f>'[1]Forward Ranks'!BT252</f>
        <v>0.72052401746724892</v>
      </c>
      <c r="AL252" s="2">
        <f>'[1]Forward Ranks'!BX252</f>
        <v>0.73144104803493448</v>
      </c>
      <c r="AN252" t="str">
        <f>'[1]Forward Ranks'!B252</f>
        <v>COL, PHI</v>
      </c>
      <c r="AO252">
        <f>'[1]F on ice'!E252</f>
        <v>30</v>
      </c>
      <c r="AP252" s="2">
        <f>'[1]Impact Score Math'!E252</f>
        <v>0.59118236472945895</v>
      </c>
      <c r="AQ252">
        <f>'[1]Impact Score Math'!G252</f>
        <v>205</v>
      </c>
      <c r="AT252" s="1">
        <f>'[1]Forward Ranks'!CJ252</f>
        <v>0.21615720524017468</v>
      </c>
      <c r="AU252" s="1">
        <f>'[1]Forward Ranks'!CK252</f>
        <v>0.71179039301310043</v>
      </c>
    </row>
    <row r="253" spans="1:47" x14ac:dyDescent="0.3">
      <c r="A253" t="str">
        <f>'[1]Forward Ranks'!A253</f>
        <v>Luke Evangelista</v>
      </c>
      <c r="B253">
        <f>'[1]Forward Ranks'!D253</f>
        <v>0</v>
      </c>
      <c r="C253" s="1">
        <f>'[1]Forward Ranks'!I253</f>
        <v>0.34716157205240172</v>
      </c>
      <c r="D253" s="1">
        <f>'[1]Forward Ranks'!J253</f>
        <v>0.50655021834061131</v>
      </c>
      <c r="E253" s="1">
        <f>'[1]Forward Ranks'!K253</f>
        <v>0.94978165938864634</v>
      </c>
      <c r="F253" s="1">
        <f>'[1]Forward Ranks'!L253</f>
        <v>0.4366812227074236</v>
      </c>
      <c r="G253">
        <f>'[1]Forward Ranks'!N253</f>
        <v>0</v>
      </c>
      <c r="H253" s="1">
        <f>'[1]Forward Ranks'!S253</f>
        <v>0.96943231441048039</v>
      </c>
      <c r="I253" s="1">
        <f>'[1]Forward Ranks'!T253</f>
        <v>0.56986899563318782</v>
      </c>
      <c r="J253" s="1">
        <f>'[1]Forward Ranks'!U253</f>
        <v>0.79912663755458513</v>
      </c>
      <c r="K253" s="1">
        <f>'[1]Forward Ranks'!V253</f>
        <v>0.90174672489082974</v>
      </c>
      <c r="L253">
        <f>'[1]Forward Ranks'!X253</f>
        <v>0</v>
      </c>
      <c r="M253" s="1">
        <f>'[1]Forward Ranks'!AC253</f>
        <v>5.458515283842795E-2</v>
      </c>
      <c r="N253" s="1">
        <f>'[1]Forward Ranks'!AD253</f>
        <v>5.458515283842795E-2</v>
      </c>
      <c r="O253" s="1">
        <f>'[1]Forward Ranks'!AE253</f>
        <v>0.72489082969432317</v>
      </c>
      <c r="P253" s="1">
        <f>'[1]Forward Ranks'!AF253</f>
        <v>3.4934497816593885E-2</v>
      </c>
      <c r="Q253">
        <f>'[1]Forward Ranks'!AH253</f>
        <v>0</v>
      </c>
      <c r="R253" s="1">
        <f>'[1]Forward Ranks'!AM253</f>
        <v>0.92794759825327511</v>
      </c>
      <c r="S253" s="1">
        <f>'[1]Forward Ranks'!AN253</f>
        <v>0.90174672489082974</v>
      </c>
      <c r="T253" s="1">
        <f>'[1]Forward Ranks'!AO253</f>
        <v>1</v>
      </c>
      <c r="U253" s="1">
        <f>'[1]Forward Ranks'!AP253</f>
        <v>0.92139737991266379</v>
      </c>
      <c r="V253">
        <f>'[1]Forward Ranks'!AR253</f>
        <v>0</v>
      </c>
      <c r="W253" s="1">
        <f>'[1]Forward Ranks'!AW253</f>
        <v>0.25545851528384278</v>
      </c>
      <c r="X253" s="1">
        <f>'[1]Forward Ranks'!AX253</f>
        <v>7.4235807860262015E-2</v>
      </c>
      <c r="Y253" s="1">
        <f>'[1]Forward Ranks'!AY253</f>
        <v>0.70524017467248912</v>
      </c>
      <c r="Z253" s="1">
        <f>'[1]Forward Ranks'!AZ253</f>
        <v>0.15720524017467249</v>
      </c>
      <c r="AA253">
        <f>'[1]Forward Ranks'!BB253</f>
        <v>0</v>
      </c>
      <c r="AB253" s="1">
        <f>'[1]Forward Ranks'!BG253</f>
        <v>0.58078602620087338</v>
      </c>
      <c r="AC253" s="1">
        <f>'[1]Forward Ranks'!BH253</f>
        <v>0.98908296943231444</v>
      </c>
      <c r="AD253" s="1">
        <f>'[1]Forward Ranks'!BI253</f>
        <v>0.98689956331877726</v>
      </c>
      <c r="AE253" s="1">
        <f>'[1]Forward Ranks'!BJ253</f>
        <v>0.99344978165938869</v>
      </c>
      <c r="AF253">
        <f>'[1]Forward Ranks'!BL253</f>
        <v>0</v>
      </c>
      <c r="AG253" s="1">
        <f>'[1]Forward Ranks'!BQ253</f>
        <v>0.1091703056768559</v>
      </c>
      <c r="AH253" s="1">
        <f>'[1]Forward Ranks'!BR253</f>
        <v>0.20960698689956331</v>
      </c>
      <c r="AI253" s="1">
        <f>'[1]Forward Ranks'!BS253</f>
        <v>0.93449781659388642</v>
      </c>
      <c r="AJ253" s="1">
        <f>'[1]Forward Ranks'!BT253</f>
        <v>0.16375545851528384</v>
      </c>
      <c r="AL253" s="2">
        <f>'[1]Forward Ranks'!BX253</f>
        <v>0.51965065502183405</v>
      </c>
      <c r="AN253" t="str">
        <f>'[1]Forward Ranks'!B253</f>
        <v>NSH</v>
      </c>
      <c r="AO253">
        <f>'[1]F on ice'!E253</f>
        <v>24</v>
      </c>
      <c r="AP253" s="2">
        <f>'[1]Impact Score Math'!E253</f>
        <v>0.59719438877755515</v>
      </c>
      <c r="AQ253">
        <f>'[1]Impact Score Math'!G253</f>
        <v>202</v>
      </c>
      <c r="AT253" s="1">
        <f>'[1]Forward Ranks'!CJ253</f>
        <v>0.611353711790393</v>
      </c>
      <c r="AU253" s="1">
        <f>'[1]Forward Ranks'!CK253</f>
        <v>0.81659388646288211</v>
      </c>
    </row>
    <row r="254" spans="1:47" x14ac:dyDescent="0.3">
      <c r="A254" t="str">
        <f>'[1]Forward Ranks'!A254</f>
        <v>Luke Glendening</v>
      </c>
      <c r="B254">
        <f>'[1]Forward Ranks'!D254</f>
        <v>0</v>
      </c>
      <c r="C254" s="1">
        <f>'[1]Forward Ranks'!I254</f>
        <v>8.9519650655021835E-2</v>
      </c>
      <c r="D254" s="1">
        <f>'[1]Forward Ranks'!J254</f>
        <v>0.20960698689956331</v>
      </c>
      <c r="E254" s="1">
        <f>'[1]Forward Ranks'!K254</f>
        <v>1.3100436681222707E-2</v>
      </c>
      <c r="F254" s="1">
        <f>'[1]Forward Ranks'!L254</f>
        <v>8.0786026200873357E-2</v>
      </c>
      <c r="G254">
        <f>'[1]Forward Ranks'!N254</f>
        <v>0</v>
      </c>
      <c r="H254" s="1">
        <f>'[1]Forward Ranks'!S254</f>
        <v>1.5283842794759825E-2</v>
      </c>
      <c r="I254" s="1">
        <f>'[1]Forward Ranks'!T254</f>
        <v>1.9650655021834062E-2</v>
      </c>
      <c r="J254" s="1">
        <f>'[1]Forward Ranks'!U254</f>
        <v>2.1834061135371178E-3</v>
      </c>
      <c r="K254" s="1">
        <f>'[1]Forward Ranks'!V254</f>
        <v>6.5502183406113534E-3</v>
      </c>
      <c r="L254">
        <f>'[1]Forward Ranks'!X254</f>
        <v>0</v>
      </c>
      <c r="M254" s="1">
        <f>'[1]Forward Ranks'!AC254</f>
        <v>0.66812227074235808</v>
      </c>
      <c r="N254" s="1">
        <f>'[1]Forward Ranks'!AD254</f>
        <v>0.75545851528384278</v>
      </c>
      <c r="O254" s="1">
        <f>'[1]Forward Ranks'!AE254</f>
        <v>0.82969432314410485</v>
      </c>
      <c r="P254" s="1">
        <f>'[1]Forward Ranks'!AF254</f>
        <v>0.62008733624454149</v>
      </c>
      <c r="Q254">
        <f>'[1]Forward Ranks'!AH254</f>
        <v>0</v>
      </c>
      <c r="R254" s="1">
        <f>'[1]Forward Ranks'!AM254</f>
        <v>5.0218340611353711E-2</v>
      </c>
      <c r="S254" s="1">
        <f>'[1]Forward Ranks'!AN254</f>
        <v>9.606986899563319E-2</v>
      </c>
      <c r="T254" s="1">
        <f>'[1]Forward Ranks'!AO254</f>
        <v>8.7336244541484712E-3</v>
      </c>
      <c r="U254" s="1">
        <f>'[1]Forward Ranks'!AP254</f>
        <v>5.0218340611353711E-2</v>
      </c>
      <c r="V254">
        <f>'[1]Forward Ranks'!AR254</f>
        <v>0</v>
      </c>
      <c r="W254" s="1">
        <f>'[1]Forward Ranks'!AW254</f>
        <v>0.63100436681222705</v>
      </c>
      <c r="X254" s="1">
        <f>'[1]Forward Ranks'!AX254</f>
        <v>0.57641921397379914</v>
      </c>
      <c r="Y254" s="1">
        <f>'[1]Forward Ranks'!AY254</f>
        <v>0.55895196506550215</v>
      </c>
      <c r="Z254" s="1">
        <f>'[1]Forward Ranks'!AZ254</f>
        <v>0.4366812227074236</v>
      </c>
      <c r="AA254">
        <f>'[1]Forward Ranks'!BB254</f>
        <v>0</v>
      </c>
      <c r="AB254" s="1">
        <f>'[1]Forward Ranks'!BG254</f>
        <v>8.9519650655021835E-2</v>
      </c>
      <c r="AC254" s="1">
        <f>'[1]Forward Ranks'!BH254</f>
        <v>8.5152838427947602E-2</v>
      </c>
      <c r="AD254" s="1">
        <f>'[1]Forward Ranks'!BI254</f>
        <v>1.5283842794759825E-2</v>
      </c>
      <c r="AE254" s="1">
        <f>'[1]Forward Ranks'!BJ254</f>
        <v>6.3318777292576414E-2</v>
      </c>
      <c r="AF254">
        <f>'[1]Forward Ranks'!BL254</f>
        <v>0</v>
      </c>
      <c r="AG254" s="1">
        <f>'[1]Forward Ranks'!BQ254</f>
        <v>0.23799126637554585</v>
      </c>
      <c r="AH254" s="1">
        <f>'[1]Forward Ranks'!BR254</f>
        <v>0.38646288209606988</v>
      </c>
      <c r="AI254" s="1">
        <f>'[1]Forward Ranks'!BS254</f>
        <v>3.2751091703056769E-2</v>
      </c>
      <c r="AJ254" s="1">
        <f>'[1]Forward Ranks'!BT254</f>
        <v>0.18122270742358079</v>
      </c>
      <c r="AL254" s="2">
        <f>'[1]Forward Ranks'!BX254</f>
        <v>6.3318777292576414E-2</v>
      </c>
      <c r="AN254" t="str">
        <f>'[1]Forward Ranks'!B254</f>
        <v>DAL</v>
      </c>
      <c r="AO254">
        <f>'[1]F on ice'!E254</f>
        <v>70</v>
      </c>
      <c r="AP254" s="2">
        <f>'[1]Impact Score Math'!E254</f>
        <v>0.12625250501002003</v>
      </c>
      <c r="AQ254">
        <f>'[1]Impact Score Math'!G254</f>
        <v>437</v>
      </c>
      <c r="AT254" s="1">
        <f>'[1]Forward Ranks'!CJ254</f>
        <v>0.18558951965065501</v>
      </c>
      <c r="AU254" s="1">
        <f>'[1]Forward Ranks'!CK254</f>
        <v>0.81004366812227069</v>
      </c>
    </row>
    <row r="255" spans="1:47" x14ac:dyDescent="0.3">
      <c r="A255" t="str">
        <f>'[1]Forward Ranks'!A255</f>
        <v>Luke Kunin</v>
      </c>
      <c r="B255">
        <f>'[1]Forward Ranks'!D255</f>
        <v>0</v>
      </c>
      <c r="C255" s="1">
        <f>'[1]Forward Ranks'!I255</f>
        <v>0.1943231441048035</v>
      </c>
      <c r="D255" s="1">
        <f>'[1]Forward Ranks'!J255</f>
        <v>0.31222707423580787</v>
      </c>
      <c r="E255" s="1">
        <f>'[1]Forward Ranks'!K255</f>
        <v>0.24672489082969432</v>
      </c>
      <c r="F255" s="1">
        <f>'[1]Forward Ranks'!L255</f>
        <v>0.15283842794759825</v>
      </c>
      <c r="G255">
        <f>'[1]Forward Ranks'!N255</f>
        <v>0</v>
      </c>
      <c r="H255" s="1">
        <f>'[1]Forward Ranks'!S255</f>
        <v>0.29694323144104806</v>
      </c>
      <c r="I255" s="1">
        <f>'[1]Forward Ranks'!T255</f>
        <v>0.24890829694323144</v>
      </c>
      <c r="J255" s="1">
        <f>'[1]Forward Ranks'!U255</f>
        <v>0.45851528384279477</v>
      </c>
      <c r="K255" s="1">
        <f>'[1]Forward Ranks'!V255</f>
        <v>0.18122270742358079</v>
      </c>
      <c r="L255">
        <f>'[1]Forward Ranks'!X255</f>
        <v>0</v>
      </c>
      <c r="M255" s="1">
        <f>'[1]Forward Ranks'!AC255</f>
        <v>0.20524017467248909</v>
      </c>
      <c r="N255" s="1">
        <f>'[1]Forward Ranks'!AD255</f>
        <v>0.85152838427947597</v>
      </c>
      <c r="O255" s="1">
        <f>'[1]Forward Ranks'!AE255</f>
        <v>0.13755458515283842</v>
      </c>
      <c r="P255" s="1">
        <f>'[1]Forward Ranks'!AF255</f>
        <v>0.63755458515283847</v>
      </c>
      <c r="Q255">
        <f>'[1]Forward Ranks'!AH255</f>
        <v>0</v>
      </c>
      <c r="R255" s="1">
        <f>'[1]Forward Ranks'!AM255</f>
        <v>0.1943231441048035</v>
      </c>
      <c r="S255" s="1">
        <f>'[1]Forward Ranks'!AN255</f>
        <v>7.8602620087336247E-2</v>
      </c>
      <c r="T255" s="1">
        <f>'[1]Forward Ranks'!AO255</f>
        <v>0.16157205240174671</v>
      </c>
      <c r="U255" s="1">
        <f>'[1]Forward Ranks'!AP255</f>
        <v>8.7336244541484712E-2</v>
      </c>
      <c r="V255">
        <f>'[1]Forward Ranks'!AR255</f>
        <v>0</v>
      </c>
      <c r="W255" s="1">
        <f>'[1]Forward Ranks'!AW255</f>
        <v>7.8602620087336247E-2</v>
      </c>
      <c r="X255" s="1">
        <f>'[1]Forward Ranks'!AX255</f>
        <v>0.43231441048034935</v>
      </c>
      <c r="Y255" s="1">
        <f>'[1]Forward Ranks'!AY255</f>
        <v>0.36244541484716158</v>
      </c>
      <c r="Z255" s="1">
        <f>'[1]Forward Ranks'!AZ255</f>
        <v>0.39956331877729256</v>
      </c>
      <c r="AA255">
        <f>'[1]Forward Ranks'!BB255</f>
        <v>0</v>
      </c>
      <c r="AB255" s="1">
        <f>'[1]Forward Ranks'!BG255</f>
        <v>0.36244541484716158</v>
      </c>
      <c r="AC255" s="1">
        <f>'[1]Forward Ranks'!BH255</f>
        <v>0.30349344978165937</v>
      </c>
      <c r="AD255" s="1">
        <f>'[1]Forward Ranks'!BI255</f>
        <v>0.34497816593886466</v>
      </c>
      <c r="AE255" s="1">
        <f>'[1]Forward Ranks'!BJ255</f>
        <v>0.2183406113537118</v>
      </c>
      <c r="AF255">
        <f>'[1]Forward Ranks'!BL255</f>
        <v>0</v>
      </c>
      <c r="AG255" s="1">
        <f>'[1]Forward Ranks'!BQ255</f>
        <v>0.15283842794759825</v>
      </c>
      <c r="AH255" s="1">
        <f>'[1]Forward Ranks'!BR255</f>
        <v>0.55021834061135366</v>
      </c>
      <c r="AI255" s="1">
        <f>'[1]Forward Ranks'!BS255</f>
        <v>0.11790393013100436</v>
      </c>
      <c r="AJ255" s="1">
        <f>'[1]Forward Ranks'!BT255</f>
        <v>0.29039301310043669</v>
      </c>
      <c r="AL255" s="2">
        <f>'[1]Forward Ranks'!BX255</f>
        <v>9.8253275109170299E-2</v>
      </c>
      <c r="AN255" t="str">
        <f>'[1]Forward Ranks'!B255</f>
        <v>S.J</v>
      </c>
      <c r="AO255">
        <f>'[1]F on ice'!E255</f>
        <v>31</v>
      </c>
      <c r="AP255" s="2">
        <f>'[1]Impact Score Math'!E255</f>
        <v>0.18436873747494989</v>
      </c>
      <c r="AQ255">
        <f>'[1]Impact Score Math'!G255</f>
        <v>408</v>
      </c>
      <c r="AT255" s="1">
        <f>'[1]Forward Ranks'!CJ255</f>
        <v>5.6768558951965066E-2</v>
      </c>
      <c r="AU255" s="1">
        <f>'[1]Forward Ranks'!CK255</f>
        <v>0.71179039301310043</v>
      </c>
    </row>
    <row r="256" spans="1:47" x14ac:dyDescent="0.3">
      <c r="A256" t="str">
        <f>'[1]Forward Ranks'!A256</f>
        <v>MacKenzie Entwistle</v>
      </c>
      <c r="B256">
        <f>'[1]Forward Ranks'!D256</f>
        <v>0</v>
      </c>
      <c r="C256" s="1">
        <f>'[1]Forward Ranks'!I256</f>
        <v>1.0917030567685589E-2</v>
      </c>
      <c r="D256" s="1">
        <f>'[1]Forward Ranks'!J256</f>
        <v>6.5502183406113534E-3</v>
      </c>
      <c r="E256" s="1">
        <f>'[1]Forward Ranks'!K256</f>
        <v>5.8951965065502182E-2</v>
      </c>
      <c r="F256" s="1">
        <f>'[1]Forward Ranks'!L256</f>
        <v>2.1834061135371178E-3</v>
      </c>
      <c r="G256">
        <f>'[1]Forward Ranks'!N256</f>
        <v>0</v>
      </c>
      <c r="H256" s="1">
        <f>'[1]Forward Ranks'!S256</f>
        <v>6.3318777292576414E-2</v>
      </c>
      <c r="I256" s="1">
        <f>'[1]Forward Ranks'!T256</f>
        <v>7.4235807860262015E-2</v>
      </c>
      <c r="J256" s="1">
        <f>'[1]Forward Ranks'!U256</f>
        <v>3.0567685589519649E-2</v>
      </c>
      <c r="K256" s="1">
        <f>'[1]Forward Ranks'!V256</f>
        <v>3.7117903930131008E-2</v>
      </c>
      <c r="L256">
        <f>'[1]Forward Ranks'!X256</f>
        <v>0</v>
      </c>
      <c r="M256" s="1">
        <f>'[1]Forward Ranks'!AC256</f>
        <v>0.4759825327510917</v>
      </c>
      <c r="N256" s="1">
        <f>'[1]Forward Ranks'!AD256</f>
        <v>0.82096069868995636</v>
      </c>
      <c r="O256" s="1">
        <f>'[1]Forward Ranks'!AE256</f>
        <v>0.41484716157205243</v>
      </c>
      <c r="P256" s="1">
        <f>'[1]Forward Ranks'!AF256</f>
        <v>0.74454148471615722</v>
      </c>
      <c r="Q256">
        <f>'[1]Forward Ranks'!AH256</f>
        <v>0</v>
      </c>
      <c r="R256" s="1">
        <f>'[1]Forward Ranks'!AM256</f>
        <v>0.10043668122270742</v>
      </c>
      <c r="S256" s="1">
        <f>'[1]Forward Ranks'!AN256</f>
        <v>6.3318777292576414E-2</v>
      </c>
      <c r="T256" s="1">
        <f>'[1]Forward Ranks'!AO256</f>
        <v>0.25327510917030566</v>
      </c>
      <c r="U256" s="1">
        <f>'[1]Forward Ranks'!AP256</f>
        <v>5.8951965065502182E-2</v>
      </c>
      <c r="V256">
        <f>'[1]Forward Ranks'!AR256</f>
        <v>0</v>
      </c>
      <c r="W256" s="1">
        <f>'[1]Forward Ranks'!AW256</f>
        <v>0.89956331877729256</v>
      </c>
      <c r="X256" s="1">
        <f>'[1]Forward Ranks'!AX256</f>
        <v>0.96506550218340614</v>
      </c>
      <c r="Y256" s="1">
        <f>'[1]Forward Ranks'!AY256</f>
        <v>0.82751091703056767</v>
      </c>
      <c r="Z256" s="1">
        <f>'[1]Forward Ranks'!AZ256</f>
        <v>0.96288209606986896</v>
      </c>
      <c r="AA256">
        <f>'[1]Forward Ranks'!BB256</f>
        <v>0</v>
      </c>
      <c r="AB256" s="1">
        <f>'[1]Forward Ranks'!BG256</f>
        <v>0.18122270742358079</v>
      </c>
      <c r="AC256" s="1">
        <f>'[1]Forward Ranks'!BH256</f>
        <v>7.8602620087336247E-2</v>
      </c>
      <c r="AD256" s="1">
        <f>'[1]Forward Ranks'!BI256</f>
        <v>0.17467248908296942</v>
      </c>
      <c r="AE256" s="1">
        <f>'[1]Forward Ranks'!BJ256</f>
        <v>0.23799126637554585</v>
      </c>
      <c r="AF256">
        <f>'[1]Forward Ranks'!BL256</f>
        <v>0</v>
      </c>
      <c r="AG256" s="1">
        <f>'[1]Forward Ranks'!BQ256</f>
        <v>5.8951965065502182E-2</v>
      </c>
      <c r="AH256" s="1">
        <f>'[1]Forward Ranks'!BR256</f>
        <v>5.2401746724890827E-2</v>
      </c>
      <c r="AI256" s="1">
        <f>'[1]Forward Ranks'!BS256</f>
        <v>7.6419213973799124E-2</v>
      </c>
      <c r="AJ256" s="1">
        <f>'[1]Forward Ranks'!BT256</f>
        <v>2.8384279475982533E-2</v>
      </c>
      <c r="AL256" s="2">
        <f>'[1]Forward Ranks'!BX256</f>
        <v>8.5152838427947602E-2</v>
      </c>
      <c r="AN256" t="str">
        <f>'[1]Forward Ranks'!B256</f>
        <v>CHI</v>
      </c>
      <c r="AO256">
        <f>'[1]F on ice'!E256</f>
        <v>66</v>
      </c>
      <c r="AP256" s="2">
        <f>'[1]Impact Score Math'!E256</f>
        <v>0.15030060120240482</v>
      </c>
      <c r="AQ256">
        <f>'[1]Impact Score Math'!G256</f>
        <v>425</v>
      </c>
      <c r="AT256" s="1">
        <f>'[1]Forward Ranks'!CJ256</f>
        <v>0.59170305676855894</v>
      </c>
      <c r="AU256" s="1">
        <f>'[1]Forward Ranks'!CK256</f>
        <v>0.44323144104803491</v>
      </c>
    </row>
    <row r="257" spans="1:47" x14ac:dyDescent="0.3">
      <c r="A257" t="str">
        <f>'[1]Forward Ranks'!A257</f>
        <v>Marco Rossi</v>
      </c>
      <c r="B257">
        <f>'[1]Forward Ranks'!D257</f>
        <v>0</v>
      </c>
      <c r="C257" s="1">
        <f>'[1]Forward Ranks'!I257</f>
        <v>0.27292576419213976</v>
      </c>
      <c r="D257" s="1">
        <f>'[1]Forward Ranks'!J257</f>
        <v>0.19213973799126638</v>
      </c>
      <c r="E257" s="1">
        <f>'[1]Forward Ranks'!K257</f>
        <v>1.0917030567685589E-2</v>
      </c>
      <c r="F257" s="1">
        <f>'[1]Forward Ranks'!L257</f>
        <v>8.296943231441048E-2</v>
      </c>
      <c r="G257">
        <f>'[1]Forward Ranks'!N257</f>
        <v>0</v>
      </c>
      <c r="H257" s="1">
        <f>'[1]Forward Ranks'!S257</f>
        <v>2.1834061135371178E-3</v>
      </c>
      <c r="I257" s="1">
        <f>'[1]Forward Ranks'!T257</f>
        <v>4.3668122270742356E-2</v>
      </c>
      <c r="J257" s="1">
        <f>'[1]Forward Ranks'!U257</f>
        <v>0.16157205240174671</v>
      </c>
      <c r="K257" s="1">
        <f>'[1]Forward Ranks'!V257</f>
        <v>1.0917030567685589E-2</v>
      </c>
      <c r="L257">
        <f>'[1]Forward Ranks'!X257</f>
        <v>0</v>
      </c>
      <c r="M257" s="1">
        <f>'[1]Forward Ranks'!AC257</f>
        <v>0.3296943231441048</v>
      </c>
      <c r="N257" s="1">
        <f>'[1]Forward Ranks'!AD257</f>
        <v>0.73144104803493448</v>
      </c>
      <c r="O257" s="1">
        <f>'[1]Forward Ranks'!AE257</f>
        <v>0.44323144104803491</v>
      </c>
      <c r="P257" s="1">
        <f>'[1]Forward Ranks'!AF257</f>
        <v>0.63755458515283847</v>
      </c>
      <c r="Q257">
        <f>'[1]Forward Ranks'!AH257</f>
        <v>0</v>
      </c>
      <c r="R257" s="1">
        <f>'[1]Forward Ranks'!AM257</f>
        <v>0.34934497816593885</v>
      </c>
      <c r="S257" s="1">
        <f>'[1]Forward Ranks'!AN257</f>
        <v>0.28602620087336245</v>
      </c>
      <c r="T257" s="1">
        <f>'[1]Forward Ranks'!AO257</f>
        <v>1.9650655021834062E-2</v>
      </c>
      <c r="U257" s="1">
        <f>'[1]Forward Ranks'!AP257</f>
        <v>0.14192139737991266</v>
      </c>
      <c r="V257">
        <f>'[1]Forward Ranks'!AR257</f>
        <v>0</v>
      </c>
      <c r="W257" s="1">
        <f>'[1]Forward Ranks'!AW257</f>
        <v>0.15502183406113537</v>
      </c>
      <c r="X257" s="1">
        <f>'[1]Forward Ranks'!AX257</f>
        <v>0.24890829694323144</v>
      </c>
      <c r="Y257" s="1">
        <f>'[1]Forward Ranks'!AY257</f>
        <v>0.58515283842794763</v>
      </c>
      <c r="Z257" s="1">
        <f>'[1]Forward Ranks'!AZ257</f>
        <v>0.22707423580786026</v>
      </c>
      <c r="AA257">
        <f>'[1]Forward Ranks'!BB257</f>
        <v>0</v>
      </c>
      <c r="AB257" s="1">
        <f>'[1]Forward Ranks'!BG257</f>
        <v>0.27510917030567683</v>
      </c>
      <c r="AC257" s="1">
        <f>'[1]Forward Ranks'!BH257</f>
        <v>0.34279475982532753</v>
      </c>
      <c r="AD257" s="1">
        <f>'[1]Forward Ranks'!BI257</f>
        <v>1.3100436681222707E-2</v>
      </c>
      <c r="AE257" s="1">
        <f>'[1]Forward Ranks'!BJ257</f>
        <v>2.8384279475982533E-2</v>
      </c>
      <c r="AF257">
        <f>'[1]Forward Ranks'!BL257</f>
        <v>0</v>
      </c>
      <c r="AG257" s="1">
        <f>'[1]Forward Ranks'!BQ257</f>
        <v>0.26419213973799127</v>
      </c>
      <c r="AH257" s="1">
        <f>'[1]Forward Ranks'!BR257</f>
        <v>0.36462882096069871</v>
      </c>
      <c r="AI257" s="1">
        <f>'[1]Forward Ranks'!BS257</f>
        <v>8.7336244541484712E-3</v>
      </c>
      <c r="AJ257" s="1">
        <f>'[1]Forward Ranks'!BT257</f>
        <v>0.19213973799126638</v>
      </c>
      <c r="AL257" s="2">
        <f>'[1]Forward Ranks'!BX257</f>
        <v>5.6768558951965066E-2</v>
      </c>
      <c r="AN257" t="str">
        <f>'[1]Forward Ranks'!B257</f>
        <v>MIN</v>
      </c>
      <c r="AO257">
        <f>'[1]F on ice'!E257</f>
        <v>19</v>
      </c>
      <c r="AP257" s="2">
        <f>'[1]Impact Score Math'!E257</f>
        <v>0.14028056112224449</v>
      </c>
      <c r="AQ257">
        <f>'[1]Impact Score Math'!G257</f>
        <v>430</v>
      </c>
      <c r="AT257" s="1">
        <f>'[1]Forward Ranks'!CJ257</f>
        <v>0.22925764192139739</v>
      </c>
      <c r="AU257" s="1">
        <f>'[1]Forward Ranks'!CK257</f>
        <v>0.84061135371179041</v>
      </c>
    </row>
    <row r="258" spans="1:47" x14ac:dyDescent="0.3">
      <c r="A258" t="str">
        <f>'[1]Forward Ranks'!A258</f>
        <v>Marcus Foligno</v>
      </c>
      <c r="B258">
        <f>'[1]Forward Ranks'!D258</f>
        <v>0</v>
      </c>
      <c r="C258" s="1">
        <f>'[1]Forward Ranks'!I258</f>
        <v>0.49781659388646288</v>
      </c>
      <c r="D258" s="1">
        <f>'[1]Forward Ranks'!J258</f>
        <v>0.39519650655021832</v>
      </c>
      <c r="E258" s="1">
        <f>'[1]Forward Ranks'!K258</f>
        <v>0.21179039301310043</v>
      </c>
      <c r="F258" s="1">
        <f>'[1]Forward Ranks'!L258</f>
        <v>0.26419213973799127</v>
      </c>
      <c r="G258">
        <f>'[1]Forward Ranks'!N258</f>
        <v>0</v>
      </c>
      <c r="H258" s="1">
        <f>'[1]Forward Ranks'!S258</f>
        <v>0.30786026200873362</v>
      </c>
      <c r="I258" s="1">
        <f>'[1]Forward Ranks'!T258</f>
        <v>0.31877729257641924</v>
      </c>
      <c r="J258" s="1">
        <f>'[1]Forward Ranks'!U258</f>
        <v>0.36244541484716158</v>
      </c>
      <c r="K258" s="1">
        <f>'[1]Forward Ranks'!V258</f>
        <v>0.24454148471615719</v>
      </c>
      <c r="L258">
        <f>'[1]Forward Ranks'!X258</f>
        <v>0</v>
      </c>
      <c r="M258" s="1">
        <f>'[1]Forward Ranks'!AC258</f>
        <v>0.51528384279475981</v>
      </c>
      <c r="N258" s="1">
        <f>'[1]Forward Ranks'!AD258</f>
        <v>0.49781659388646288</v>
      </c>
      <c r="O258" s="1">
        <f>'[1]Forward Ranks'!AE258</f>
        <v>0.78384279475982532</v>
      </c>
      <c r="P258" s="1">
        <f>'[1]Forward Ranks'!AF258</f>
        <v>0.56550218340611358</v>
      </c>
      <c r="Q258">
        <f>'[1]Forward Ranks'!AH258</f>
        <v>0</v>
      </c>
      <c r="R258" s="1">
        <f>'[1]Forward Ranks'!AM258</f>
        <v>0.48689956331877732</v>
      </c>
      <c r="S258" s="1">
        <f>'[1]Forward Ranks'!AN258</f>
        <v>0.57205240174672489</v>
      </c>
      <c r="T258" s="1">
        <f>'[1]Forward Ranks'!AO258</f>
        <v>0.35807860262008734</v>
      </c>
      <c r="U258" s="1">
        <f>'[1]Forward Ranks'!AP258</f>
        <v>0.31659388646288211</v>
      </c>
      <c r="V258">
        <f>'[1]Forward Ranks'!AR258</f>
        <v>0</v>
      </c>
      <c r="W258" s="1">
        <f>'[1]Forward Ranks'!AW258</f>
        <v>0.4759825327510917</v>
      </c>
      <c r="X258" s="1">
        <f>'[1]Forward Ranks'!AX258</f>
        <v>0.17467248908296942</v>
      </c>
      <c r="Y258" s="1">
        <f>'[1]Forward Ranks'!AY258</f>
        <v>0.56986899563318782</v>
      </c>
      <c r="Z258" s="1">
        <f>'[1]Forward Ranks'!AZ258</f>
        <v>0.39956331877729256</v>
      </c>
      <c r="AA258">
        <f>'[1]Forward Ranks'!BB258</f>
        <v>0</v>
      </c>
      <c r="AB258" s="1">
        <f>'[1]Forward Ranks'!BG258</f>
        <v>0.5393013100436681</v>
      </c>
      <c r="AC258" s="1">
        <f>'[1]Forward Ranks'!BH258</f>
        <v>0.14847161572052403</v>
      </c>
      <c r="AD258" s="1">
        <f>'[1]Forward Ranks'!BI258</f>
        <v>0.29475982532751094</v>
      </c>
      <c r="AE258" s="1">
        <f>'[1]Forward Ranks'!BJ258</f>
        <v>0.56550218340611358</v>
      </c>
      <c r="AF258">
        <f>'[1]Forward Ranks'!BL258</f>
        <v>0</v>
      </c>
      <c r="AG258" s="1">
        <f>'[1]Forward Ranks'!BQ258</f>
        <v>0.48689956331877732</v>
      </c>
      <c r="AH258" s="1">
        <f>'[1]Forward Ranks'!BR258</f>
        <v>0.39519650655021832</v>
      </c>
      <c r="AI258" s="1">
        <f>'[1]Forward Ranks'!BS258</f>
        <v>0.41484716157205243</v>
      </c>
      <c r="AJ258" s="1">
        <f>'[1]Forward Ranks'!BT258</f>
        <v>0.34061135371179041</v>
      </c>
      <c r="AL258" s="2">
        <f>'[1]Forward Ranks'!BX258</f>
        <v>0.32096069868995636</v>
      </c>
      <c r="AN258" t="str">
        <f>'[1]Forward Ranks'!B258</f>
        <v>MIN</v>
      </c>
      <c r="AO258">
        <f>'[1]F on ice'!E258</f>
        <v>65</v>
      </c>
      <c r="AP258" s="2">
        <f>'[1]Impact Score Math'!E258</f>
        <v>0.43486973947895791</v>
      </c>
      <c r="AQ258">
        <f>'[1]Impact Score Math'!G258</f>
        <v>283</v>
      </c>
      <c r="AT258" s="1">
        <f>'[1]Forward Ranks'!CJ258</f>
        <v>0.10043668122270742</v>
      </c>
      <c r="AU258" s="1">
        <f>'[1]Forward Ranks'!CK258</f>
        <v>0.85589519650655022</v>
      </c>
    </row>
    <row r="259" spans="1:47" x14ac:dyDescent="0.3">
      <c r="A259" t="str">
        <f>'[1]Forward Ranks'!A259</f>
        <v>Marcus Johansson</v>
      </c>
      <c r="B259">
        <f>'[1]Forward Ranks'!D259</f>
        <v>0</v>
      </c>
      <c r="C259" s="1">
        <f>'[1]Forward Ranks'!I259</f>
        <v>0.69650655021834063</v>
      </c>
      <c r="D259" s="1">
        <f>'[1]Forward Ranks'!J259</f>
        <v>0.43231441048034935</v>
      </c>
      <c r="E259" s="1">
        <f>'[1]Forward Ranks'!K259</f>
        <v>0.65283842794759828</v>
      </c>
      <c r="F259" s="1">
        <f>'[1]Forward Ranks'!L259</f>
        <v>0.67030567685589515</v>
      </c>
      <c r="G259">
        <f>'[1]Forward Ranks'!N259</f>
        <v>0</v>
      </c>
      <c r="H259" s="1">
        <f>'[1]Forward Ranks'!S259</f>
        <v>0.53493449781659386</v>
      </c>
      <c r="I259" s="1">
        <f>'[1]Forward Ranks'!T259</f>
        <v>0.30786026200873362</v>
      </c>
      <c r="J259" s="1">
        <f>'[1]Forward Ranks'!U259</f>
        <v>0.42358078602620086</v>
      </c>
      <c r="K259" s="1">
        <f>'[1]Forward Ranks'!V259</f>
        <v>0.35589519650655022</v>
      </c>
      <c r="L259">
        <f>'[1]Forward Ranks'!X259</f>
        <v>0</v>
      </c>
      <c r="M259" s="1">
        <f>'[1]Forward Ranks'!AC259</f>
        <v>0.25327510917030566</v>
      </c>
      <c r="N259" s="1">
        <f>'[1]Forward Ranks'!AD259</f>
        <v>0.77729257641921401</v>
      </c>
      <c r="O259" s="1">
        <f>'[1]Forward Ranks'!AE259</f>
        <v>0.61353711790393017</v>
      </c>
      <c r="P259" s="1">
        <f>'[1]Forward Ranks'!AF259</f>
        <v>0.5873362445414847</v>
      </c>
      <c r="Q259">
        <f>'[1]Forward Ranks'!AH259</f>
        <v>0</v>
      </c>
      <c r="R259" s="1">
        <f>'[1]Forward Ranks'!AM259</f>
        <v>0.66375545851528384</v>
      </c>
      <c r="S259" s="1">
        <f>'[1]Forward Ranks'!AN259</f>
        <v>0.39082969432314413</v>
      </c>
      <c r="T259" s="1">
        <f>'[1]Forward Ranks'!AO259</f>
        <v>0.71834061135371174</v>
      </c>
      <c r="U259" s="1">
        <f>'[1]Forward Ranks'!AP259</f>
        <v>0.65502183406113534</v>
      </c>
      <c r="V259">
        <f>'[1]Forward Ranks'!AR259</f>
        <v>0</v>
      </c>
      <c r="W259" s="1">
        <f>'[1]Forward Ranks'!AW259</f>
        <v>0.21179039301310043</v>
      </c>
      <c r="X259" s="1">
        <f>'[1]Forward Ranks'!AX259</f>
        <v>0.72489082969432317</v>
      </c>
      <c r="Y259" s="1">
        <f>'[1]Forward Ranks'!AY259</f>
        <v>0.52620087336244536</v>
      </c>
      <c r="Z259" s="1">
        <f>'[1]Forward Ranks'!AZ259</f>
        <v>0.59825327510917026</v>
      </c>
      <c r="AA259">
        <f>'[1]Forward Ranks'!BB259</f>
        <v>0</v>
      </c>
      <c r="AB259" s="1">
        <f>'[1]Forward Ranks'!BG259</f>
        <v>0.49126637554585151</v>
      </c>
      <c r="AC259" s="1">
        <f>'[1]Forward Ranks'!BH259</f>
        <v>0.46943231441048033</v>
      </c>
      <c r="AD259" s="1">
        <f>'[1]Forward Ranks'!BI259</f>
        <v>0.51528384279475981</v>
      </c>
      <c r="AE259" s="1">
        <f>'[1]Forward Ranks'!BJ259</f>
        <v>0.72925764192139741</v>
      </c>
      <c r="AF259">
        <f>'[1]Forward Ranks'!BL259</f>
        <v>0</v>
      </c>
      <c r="AG259" s="1">
        <f>'[1]Forward Ranks'!BQ259</f>
        <v>0.49563318777292575</v>
      </c>
      <c r="AH259" s="1">
        <f>'[1]Forward Ranks'!BR259</f>
        <v>0.58078602620087338</v>
      </c>
      <c r="AI259" s="1">
        <f>'[1]Forward Ranks'!BS259</f>
        <v>0.68122270742358082</v>
      </c>
      <c r="AJ259" s="1">
        <f>'[1]Forward Ranks'!BT259</f>
        <v>0.68340611353711789</v>
      </c>
      <c r="AL259" s="2">
        <f>'[1]Forward Ranks'!BX259</f>
        <v>0.55021834061135366</v>
      </c>
      <c r="AN259" t="str">
        <f>'[1]Forward Ranks'!B259</f>
        <v>MIN, WSH</v>
      </c>
      <c r="AO259">
        <f>'[1]F on ice'!E259</f>
        <v>80</v>
      </c>
      <c r="AP259" s="2">
        <f>'[1]Impact Score Math'!E259</f>
        <v>0.59318637274549102</v>
      </c>
      <c r="AQ259">
        <f>'[1]Impact Score Math'!G259</f>
        <v>204</v>
      </c>
      <c r="AT259" s="1">
        <f>'[1]Forward Ranks'!CJ259</f>
        <v>0.91703056768558955</v>
      </c>
      <c r="AU259" s="1">
        <f>'[1]Forward Ranks'!CK259</f>
        <v>0.44323144104803491</v>
      </c>
    </row>
    <row r="260" spans="1:47" x14ac:dyDescent="0.3">
      <c r="A260" t="str">
        <f>'[1]Forward Ranks'!A260</f>
        <v>Mark Jankowski</v>
      </c>
      <c r="B260">
        <f>'[1]Forward Ranks'!D260</f>
        <v>0</v>
      </c>
      <c r="C260" s="1">
        <f>'[1]Forward Ranks'!I260</f>
        <v>0.14192139737991266</v>
      </c>
      <c r="D260" s="1">
        <f>'[1]Forward Ranks'!J260</f>
        <v>0.18777292576419213</v>
      </c>
      <c r="E260" s="1">
        <f>'[1]Forward Ranks'!K260</f>
        <v>3.7117903930131008E-2</v>
      </c>
      <c r="F260" s="1">
        <f>'[1]Forward Ranks'!L260</f>
        <v>9.3886462882096067E-2</v>
      </c>
      <c r="G260">
        <f>'[1]Forward Ranks'!N260</f>
        <v>0</v>
      </c>
      <c r="H260" s="1">
        <f>'[1]Forward Ranks'!S260</f>
        <v>0.24454148471615719</v>
      </c>
      <c r="I260" s="1">
        <f>'[1]Forward Ranks'!T260</f>
        <v>0.15938864628820962</v>
      </c>
      <c r="J260" s="1">
        <f>'[1]Forward Ranks'!U260</f>
        <v>0.23144104803493451</v>
      </c>
      <c r="K260" s="1">
        <f>'[1]Forward Ranks'!V260</f>
        <v>0.11790393013100436</v>
      </c>
      <c r="L260">
        <f>'[1]Forward Ranks'!X260</f>
        <v>0</v>
      </c>
      <c r="M260" s="1">
        <f>'[1]Forward Ranks'!AC260</f>
        <v>0.19213973799126638</v>
      </c>
      <c r="N260" s="1">
        <f>'[1]Forward Ranks'!AD260</f>
        <v>0.44323144104803491</v>
      </c>
      <c r="O260" s="1">
        <f>'[1]Forward Ranks'!AE260</f>
        <v>0.94541484716157209</v>
      </c>
      <c r="P260" s="1">
        <f>'[1]Forward Ranks'!AF260</f>
        <v>0.56550218340611358</v>
      </c>
      <c r="Q260">
        <f>'[1]Forward Ranks'!AH260</f>
        <v>0</v>
      </c>
      <c r="R260" s="1">
        <f>'[1]Forward Ranks'!AM260</f>
        <v>0.44978165938864628</v>
      </c>
      <c r="S260" s="1">
        <f>'[1]Forward Ranks'!AN260</f>
        <v>0.33187772925764192</v>
      </c>
      <c r="T260" s="1">
        <f>'[1]Forward Ranks'!AO260</f>
        <v>0.20087336244541484</v>
      </c>
      <c r="U260" s="1">
        <f>'[1]Forward Ranks'!AP260</f>
        <v>0.22925764192139739</v>
      </c>
      <c r="V260">
        <f>'[1]Forward Ranks'!AR260</f>
        <v>0</v>
      </c>
      <c r="W260" s="1">
        <f>'[1]Forward Ranks'!AW260</f>
        <v>0.55676855895196509</v>
      </c>
      <c r="X260" s="1">
        <f>'[1]Forward Ranks'!AX260</f>
        <v>0.67030567685589515</v>
      </c>
      <c r="Y260" s="1">
        <f>'[1]Forward Ranks'!AY260</f>
        <v>0.90174672489082974</v>
      </c>
      <c r="Z260" s="1">
        <f>'[1]Forward Ranks'!AZ260</f>
        <v>0.86681222707423577</v>
      </c>
      <c r="AA260">
        <f>'[1]Forward Ranks'!BB260</f>
        <v>0</v>
      </c>
      <c r="AB260" s="1">
        <f>'[1]Forward Ranks'!BG260</f>
        <v>0.18558951965065501</v>
      </c>
      <c r="AC260" s="1">
        <f>'[1]Forward Ranks'!BH260</f>
        <v>3.0567685589519649E-2</v>
      </c>
      <c r="AD260" s="1">
        <f>'[1]Forward Ranks'!BI260</f>
        <v>4.3668122270742356E-2</v>
      </c>
      <c r="AE260" s="1">
        <f>'[1]Forward Ranks'!BJ260</f>
        <v>0.52183406113537123</v>
      </c>
      <c r="AF260">
        <f>'[1]Forward Ranks'!BL260</f>
        <v>0</v>
      </c>
      <c r="AG260" s="1">
        <f>'[1]Forward Ranks'!BQ260</f>
        <v>0.12008733624454149</v>
      </c>
      <c r="AH260" s="1">
        <f>'[1]Forward Ranks'!BR260</f>
        <v>0.22925764192139739</v>
      </c>
      <c r="AI260" s="1">
        <f>'[1]Forward Ranks'!BS260</f>
        <v>0.33842794759825329</v>
      </c>
      <c r="AJ260" s="1">
        <f>'[1]Forward Ranks'!BT260</f>
        <v>0.18340611353711792</v>
      </c>
      <c r="AL260" s="2">
        <f>'[1]Forward Ranks'!BX260</f>
        <v>0.14847161572052403</v>
      </c>
      <c r="AN260" t="str">
        <f>'[1]Forward Ranks'!B260</f>
        <v>NSH</v>
      </c>
      <c r="AO260">
        <f>'[1]F on ice'!E260</f>
        <v>50</v>
      </c>
      <c r="AP260" s="2">
        <f>'[1]Impact Score Math'!E260</f>
        <v>0.20841683366733466</v>
      </c>
      <c r="AQ260">
        <f>'[1]Impact Score Math'!G260</f>
        <v>396</v>
      </c>
      <c r="AT260" s="1">
        <f>'[1]Forward Ranks'!CJ260</f>
        <v>0.34934497816593885</v>
      </c>
      <c r="AU260" s="1">
        <f>'[1]Forward Ranks'!CK260</f>
        <v>0.23144104803493451</v>
      </c>
    </row>
    <row r="261" spans="1:47" x14ac:dyDescent="0.3">
      <c r="A261" t="str">
        <f>'[1]Forward Ranks'!A261</f>
        <v>Mark Kastelic</v>
      </c>
      <c r="B261">
        <f>'[1]Forward Ranks'!D261</f>
        <v>0</v>
      </c>
      <c r="C261" s="1">
        <f>'[1]Forward Ranks'!I261</f>
        <v>0.41921397379912662</v>
      </c>
      <c r="D261" s="1">
        <f>'[1]Forward Ranks'!J261</f>
        <v>0.37336244541484714</v>
      </c>
      <c r="E261" s="1">
        <f>'[1]Forward Ranks'!K261</f>
        <v>0.21179039301310043</v>
      </c>
      <c r="F261" s="1">
        <f>'[1]Forward Ranks'!L261</f>
        <v>0.3056768558951965</v>
      </c>
      <c r="G261">
        <f>'[1]Forward Ranks'!N261</f>
        <v>0</v>
      </c>
      <c r="H261" s="1">
        <f>'[1]Forward Ranks'!S261</f>
        <v>0.67685589519650657</v>
      </c>
      <c r="I261" s="1">
        <f>'[1]Forward Ranks'!T261</f>
        <v>8.9519650655021835E-2</v>
      </c>
      <c r="J261" s="1">
        <f>'[1]Forward Ranks'!U261</f>
        <v>0.11572052401746726</v>
      </c>
      <c r="K261" s="1">
        <f>'[1]Forward Ranks'!V261</f>
        <v>0.24017467248908297</v>
      </c>
      <c r="L261">
        <f>'[1]Forward Ranks'!X261</f>
        <v>0</v>
      </c>
      <c r="M261" s="1">
        <f>'[1]Forward Ranks'!AC261</f>
        <v>0.62008733624454149</v>
      </c>
      <c r="N261" s="1">
        <f>'[1]Forward Ranks'!AD261</f>
        <v>0.9366812227074236</v>
      </c>
      <c r="O261" s="1">
        <f>'[1]Forward Ranks'!AE261</f>
        <v>0.42794759825327511</v>
      </c>
      <c r="P261" s="1">
        <f>'[1]Forward Ranks'!AF261</f>
        <v>0.79912663755458513</v>
      </c>
      <c r="Q261">
        <f>'[1]Forward Ranks'!AH261</f>
        <v>0</v>
      </c>
      <c r="R261" s="1">
        <f>'[1]Forward Ranks'!AM261</f>
        <v>0.10480349344978165</v>
      </c>
      <c r="S261" s="1">
        <f>'[1]Forward Ranks'!AN261</f>
        <v>0.18777292576419213</v>
      </c>
      <c r="T261" s="1">
        <f>'[1]Forward Ranks'!AO261</f>
        <v>0.3056768558951965</v>
      </c>
      <c r="U261" s="1">
        <f>'[1]Forward Ranks'!AP261</f>
        <v>0.11353711790393013</v>
      </c>
      <c r="V261">
        <f>'[1]Forward Ranks'!AR261</f>
        <v>0</v>
      </c>
      <c r="W261" s="1">
        <f>'[1]Forward Ranks'!AW261</f>
        <v>0.49344978165938863</v>
      </c>
      <c r="X261" s="1">
        <f>'[1]Forward Ranks'!AX261</f>
        <v>0.94104803493449785</v>
      </c>
      <c r="Y261" s="1">
        <f>'[1]Forward Ranks'!AY261</f>
        <v>0.73144104803493448</v>
      </c>
      <c r="Z261" s="1">
        <f>'[1]Forward Ranks'!AZ261</f>
        <v>0.81441048034934493</v>
      </c>
      <c r="AA261">
        <f>'[1]Forward Ranks'!BB261</f>
        <v>0</v>
      </c>
      <c r="AB261" s="1">
        <f>'[1]Forward Ranks'!BG261</f>
        <v>8.7336244541484712E-3</v>
      </c>
      <c r="AC261" s="1">
        <f>'[1]Forward Ranks'!BH261</f>
        <v>2.6200873362445413E-2</v>
      </c>
      <c r="AD261" s="1">
        <f>'[1]Forward Ranks'!BI261</f>
        <v>0.17248908296943233</v>
      </c>
      <c r="AE261" s="1">
        <f>'[1]Forward Ranks'!BJ261</f>
        <v>0.12663755458515283</v>
      </c>
      <c r="AF261">
        <f>'[1]Forward Ranks'!BL261</f>
        <v>0</v>
      </c>
      <c r="AG261" s="1">
        <f>'[1]Forward Ranks'!BQ261</f>
        <v>0.50655021834061131</v>
      </c>
      <c r="AH261" s="1">
        <f>'[1]Forward Ranks'!BR261</f>
        <v>0.71179039301310043</v>
      </c>
      <c r="AI261" s="1">
        <f>'[1]Forward Ranks'!BS261</f>
        <v>0.21179039301310043</v>
      </c>
      <c r="AJ261" s="1">
        <f>'[1]Forward Ranks'!BT261</f>
        <v>0.54366812227074235</v>
      </c>
      <c r="AL261" s="2">
        <f>'[1]Forward Ranks'!BX261</f>
        <v>0.36244541484716158</v>
      </c>
      <c r="AN261" t="str">
        <f>'[1]Forward Ranks'!B261</f>
        <v>OTT</v>
      </c>
      <c r="AO261">
        <f>'[1]F on ice'!E261</f>
        <v>65</v>
      </c>
      <c r="AP261" s="2">
        <f>'[1]Impact Score Math'!E261</f>
        <v>0.24849699398797595</v>
      </c>
      <c r="AQ261">
        <f>'[1]Impact Score Math'!G261</f>
        <v>376</v>
      </c>
      <c r="AT261" s="1">
        <f>'[1]Forward Ranks'!CJ261</f>
        <v>2.4017467248908297E-2</v>
      </c>
      <c r="AU261" s="1">
        <f>'[1]Forward Ranks'!CK261</f>
        <v>0.89082969432314407</v>
      </c>
    </row>
    <row r="262" spans="1:47" x14ac:dyDescent="0.3">
      <c r="A262" t="str">
        <f>'[1]Forward Ranks'!A262</f>
        <v>Mark Scheifele</v>
      </c>
      <c r="B262">
        <f>'[1]Forward Ranks'!D262</f>
        <v>0</v>
      </c>
      <c r="C262" s="1">
        <f>'[1]Forward Ranks'!I262</f>
        <v>0.70742358078602618</v>
      </c>
      <c r="D262" s="1">
        <f>'[1]Forward Ranks'!J262</f>
        <v>0.64628820960698685</v>
      </c>
      <c r="E262" s="1">
        <f>'[1]Forward Ranks'!K262</f>
        <v>0.58296943231441045</v>
      </c>
      <c r="F262" s="1">
        <f>'[1]Forward Ranks'!L262</f>
        <v>0.65283842794759828</v>
      </c>
      <c r="G262">
        <f>'[1]Forward Ranks'!N262</f>
        <v>0</v>
      </c>
      <c r="H262" s="1">
        <f>'[1]Forward Ranks'!S262</f>
        <v>0.92139737991266379</v>
      </c>
      <c r="I262" s="1">
        <f>'[1]Forward Ranks'!T262</f>
        <v>0.24454148471615719</v>
      </c>
      <c r="J262" s="1">
        <f>'[1]Forward Ranks'!U262</f>
        <v>0.19868995633187772</v>
      </c>
      <c r="K262" s="1">
        <f>'[1]Forward Ranks'!V262</f>
        <v>0.64410480349344978</v>
      </c>
      <c r="L262">
        <f>'[1]Forward Ranks'!X262</f>
        <v>0</v>
      </c>
      <c r="M262" s="1">
        <f>'[1]Forward Ranks'!AC262</f>
        <v>0.20960698689956331</v>
      </c>
      <c r="N262" s="1">
        <f>'[1]Forward Ranks'!AD262</f>
        <v>0.45414847161572053</v>
      </c>
      <c r="O262" s="1">
        <f>'[1]Forward Ranks'!AE262</f>
        <v>0.4366812227074236</v>
      </c>
      <c r="P262" s="1">
        <f>'[1]Forward Ranks'!AF262</f>
        <v>0.21179039301310043</v>
      </c>
      <c r="Q262">
        <f>'[1]Forward Ranks'!AH262</f>
        <v>0</v>
      </c>
      <c r="R262" s="1">
        <f>'[1]Forward Ranks'!AM262</f>
        <v>0.6266375545851528</v>
      </c>
      <c r="S262" s="1">
        <f>'[1]Forward Ranks'!AN262</f>
        <v>0.47816593886462883</v>
      </c>
      <c r="T262" s="1">
        <f>'[1]Forward Ranks'!AO262</f>
        <v>0.69213973799126638</v>
      </c>
      <c r="U262" s="1">
        <f>'[1]Forward Ranks'!AP262</f>
        <v>0.49344978165938863</v>
      </c>
      <c r="V262">
        <f>'[1]Forward Ranks'!AR262</f>
        <v>0</v>
      </c>
      <c r="W262" s="1">
        <f>'[1]Forward Ranks'!AW262</f>
        <v>3.4934497816593885E-2</v>
      </c>
      <c r="X262" s="1">
        <f>'[1]Forward Ranks'!AX262</f>
        <v>0.26200873362445415</v>
      </c>
      <c r="Y262" s="1">
        <f>'[1]Forward Ranks'!AY262</f>
        <v>0.1331877729257642</v>
      </c>
      <c r="Z262" s="1">
        <f>'[1]Forward Ranks'!AZ262</f>
        <v>8.0786026200873357E-2</v>
      </c>
      <c r="AA262">
        <f>'[1]Forward Ranks'!BB262</f>
        <v>0</v>
      </c>
      <c r="AB262" s="1">
        <f>'[1]Forward Ranks'!BG262</f>
        <v>0.98689956331877726</v>
      </c>
      <c r="AC262" s="1">
        <f>'[1]Forward Ranks'!BH262</f>
        <v>0.88427947598253276</v>
      </c>
      <c r="AD262" s="1">
        <f>'[1]Forward Ranks'!BI262</f>
        <v>0.5633187772925764</v>
      </c>
      <c r="AE262" s="1">
        <f>'[1]Forward Ranks'!BJ262</f>
        <v>0.60698689956331875</v>
      </c>
      <c r="AF262">
        <f>'[1]Forward Ranks'!BL262</f>
        <v>0</v>
      </c>
      <c r="AG262" s="1">
        <f>'[1]Forward Ranks'!BQ262</f>
        <v>0.48253275109170307</v>
      </c>
      <c r="AH262" s="1">
        <f>'[1]Forward Ranks'!BR262</f>
        <v>0.55676855895196509</v>
      </c>
      <c r="AI262" s="1">
        <f>'[1]Forward Ranks'!BS262</f>
        <v>0.53711790393013104</v>
      </c>
      <c r="AJ262" s="1">
        <f>'[1]Forward Ranks'!BT262</f>
        <v>0.42358078602620086</v>
      </c>
      <c r="AL262" s="2">
        <f>'[1]Forward Ranks'!BX262</f>
        <v>0.35371179039301309</v>
      </c>
      <c r="AN262" t="str">
        <f>'[1]Forward Ranks'!B262</f>
        <v>WPG</v>
      </c>
      <c r="AO262">
        <f>'[1]F on ice'!E262</f>
        <v>81</v>
      </c>
      <c r="AP262" s="2">
        <f>'[1]Impact Score Math'!E262</f>
        <v>0.60521042084168342</v>
      </c>
      <c r="AQ262">
        <f>'[1]Impact Score Math'!G262</f>
        <v>198</v>
      </c>
      <c r="AT262" s="1">
        <f>'[1]Forward Ranks'!CJ262</f>
        <v>0.80786026200873362</v>
      </c>
      <c r="AU262" s="1">
        <f>'[1]Forward Ranks'!CK262</f>
        <v>0.6746724890829694</v>
      </c>
    </row>
    <row r="263" spans="1:47" x14ac:dyDescent="0.3">
      <c r="A263" t="str">
        <f>'[1]Forward Ranks'!A263</f>
        <v>Mark Stone</v>
      </c>
      <c r="B263">
        <f>'[1]Forward Ranks'!D263</f>
        <v>0</v>
      </c>
      <c r="C263" s="1">
        <f>'[1]Forward Ranks'!I263</f>
        <v>0.79694323144104806</v>
      </c>
      <c r="D263" s="1">
        <f>'[1]Forward Ranks'!J263</f>
        <v>0.84279475982532748</v>
      </c>
      <c r="E263" s="1">
        <f>'[1]Forward Ranks'!K263</f>
        <v>0.89301310043668125</v>
      </c>
      <c r="F263" s="1">
        <f>'[1]Forward Ranks'!L263</f>
        <v>0.86462882096069871</v>
      </c>
      <c r="G263">
        <f>'[1]Forward Ranks'!N263</f>
        <v>0</v>
      </c>
      <c r="H263" s="1">
        <f>'[1]Forward Ranks'!S263</f>
        <v>0.83406113537117899</v>
      </c>
      <c r="I263" s="1">
        <f>'[1]Forward Ranks'!T263</f>
        <v>0.77510917030567683</v>
      </c>
      <c r="J263" s="1">
        <f>'[1]Forward Ranks'!U263</f>
        <v>0.76419213973799127</v>
      </c>
      <c r="K263" s="1">
        <f>'[1]Forward Ranks'!V263</f>
        <v>0.87991266375545851</v>
      </c>
      <c r="L263">
        <f>'[1]Forward Ranks'!X263</f>
        <v>0</v>
      </c>
      <c r="M263" s="1">
        <f>'[1]Forward Ranks'!AC263</f>
        <v>0.79475982532751088</v>
      </c>
      <c r="N263" s="1">
        <f>'[1]Forward Ranks'!AD263</f>
        <v>0.94759825327510916</v>
      </c>
      <c r="O263" s="1">
        <f>'[1]Forward Ranks'!AE263</f>
        <v>0.70742358078602618</v>
      </c>
      <c r="P263" s="1">
        <f>'[1]Forward Ranks'!AF263</f>
        <v>0.93886462882096067</v>
      </c>
      <c r="Q263">
        <f>'[1]Forward Ranks'!AH263</f>
        <v>0</v>
      </c>
      <c r="R263" s="1">
        <f>'[1]Forward Ranks'!AM263</f>
        <v>0.86244541484716153</v>
      </c>
      <c r="S263" s="1">
        <f>'[1]Forward Ranks'!AN263</f>
        <v>0.87554585152838427</v>
      </c>
      <c r="T263" s="1">
        <f>'[1]Forward Ranks'!AO263</f>
        <v>0.94978165938864634</v>
      </c>
      <c r="U263" s="1">
        <f>'[1]Forward Ranks'!AP263</f>
        <v>0.88646288209606983</v>
      </c>
      <c r="V263">
        <f>'[1]Forward Ranks'!AR263</f>
        <v>0</v>
      </c>
      <c r="W263" s="1">
        <f>'[1]Forward Ranks'!AW263</f>
        <v>0.82096069868995636</v>
      </c>
      <c r="X263" s="1">
        <f>'[1]Forward Ranks'!AX263</f>
        <v>0.76855895196506552</v>
      </c>
      <c r="Y263" s="1">
        <f>'[1]Forward Ranks'!AY263</f>
        <v>0.67903930131004364</v>
      </c>
      <c r="Z263" s="1">
        <f>'[1]Forward Ranks'!AZ263</f>
        <v>0.82969432314410485</v>
      </c>
      <c r="AA263">
        <f>'[1]Forward Ranks'!BB263</f>
        <v>0</v>
      </c>
      <c r="AB263" s="1">
        <f>'[1]Forward Ranks'!BG263</f>
        <v>0.91921397379912662</v>
      </c>
      <c r="AC263" s="1">
        <f>'[1]Forward Ranks'!BH263</f>
        <v>0.5873362445414847</v>
      </c>
      <c r="AD263" s="1">
        <f>'[1]Forward Ranks'!BI263</f>
        <v>0.8253275109170306</v>
      </c>
      <c r="AE263" s="1">
        <f>'[1]Forward Ranks'!BJ263</f>
        <v>0.80349344978165937</v>
      </c>
      <c r="AF263">
        <f>'[1]Forward Ranks'!BL263</f>
        <v>0</v>
      </c>
      <c r="AG263" s="1">
        <f>'[1]Forward Ranks'!BQ263</f>
        <v>0.84061135371179041</v>
      </c>
      <c r="AH263" s="1">
        <f>'[1]Forward Ranks'!BR263</f>
        <v>0.94541484716157209</v>
      </c>
      <c r="AI263" s="1">
        <f>'[1]Forward Ranks'!BS263</f>
        <v>0.89519650655021832</v>
      </c>
      <c r="AJ263" s="1">
        <f>'[1]Forward Ranks'!BT263</f>
        <v>0.94323144104803491</v>
      </c>
      <c r="AL263" s="2">
        <f>'[1]Forward Ranks'!BX263</f>
        <v>0.98253275109170302</v>
      </c>
      <c r="AN263" t="str">
        <f>'[1]Forward Ranks'!B263</f>
        <v>VGK</v>
      </c>
      <c r="AO263">
        <f>'[1]F on ice'!E263</f>
        <v>43</v>
      </c>
      <c r="AP263" s="2">
        <f>'[1]Impact Score Math'!E263</f>
        <v>0.98997995991983967</v>
      </c>
      <c r="AQ263">
        <f>'[1]Impact Score Math'!G263</f>
        <v>6</v>
      </c>
      <c r="AT263" s="1">
        <f>'[1]Forward Ranks'!CJ263</f>
        <v>0.888646288209607</v>
      </c>
      <c r="AU263" s="1">
        <f>'[1]Forward Ranks'!CK263</f>
        <v>0.40829694323144106</v>
      </c>
    </row>
    <row r="264" spans="1:47" x14ac:dyDescent="0.3">
      <c r="A264" t="str">
        <f>'[1]Forward Ranks'!A264</f>
        <v>Martin Kaut</v>
      </c>
      <c r="B264">
        <f>'[1]Forward Ranks'!D264</f>
        <v>0</v>
      </c>
      <c r="C264" s="1">
        <f>'[1]Forward Ranks'!I264</f>
        <v>0.29475982532751094</v>
      </c>
      <c r="D264" s="1">
        <f>'[1]Forward Ranks'!J264</f>
        <v>0.33406113537117904</v>
      </c>
      <c r="E264" s="1">
        <f>'[1]Forward Ranks'!K264</f>
        <v>0.31441048034934499</v>
      </c>
      <c r="F264" s="1">
        <f>'[1]Forward Ranks'!L264</f>
        <v>0.33624454148471616</v>
      </c>
      <c r="G264">
        <f>'[1]Forward Ranks'!N264</f>
        <v>0</v>
      </c>
      <c r="H264" s="1">
        <f>'[1]Forward Ranks'!S264</f>
        <v>0.33624454148471616</v>
      </c>
      <c r="I264" s="1">
        <f>'[1]Forward Ranks'!T264</f>
        <v>0.29694323144104806</v>
      </c>
      <c r="J264" s="1">
        <f>'[1]Forward Ranks'!U264</f>
        <v>7.8602620087336247E-2</v>
      </c>
      <c r="K264" s="1">
        <f>'[1]Forward Ranks'!V264</f>
        <v>0.24454148471615719</v>
      </c>
      <c r="L264">
        <f>'[1]Forward Ranks'!X264</f>
        <v>0</v>
      </c>
      <c r="M264" s="1">
        <f>'[1]Forward Ranks'!AC264</f>
        <v>0.57205240174672489</v>
      </c>
      <c r="N264" s="1">
        <f>'[1]Forward Ranks'!AD264</f>
        <v>0.53493449781659386</v>
      </c>
      <c r="O264" s="1">
        <f>'[1]Forward Ranks'!AE264</f>
        <v>0.48253275109170307</v>
      </c>
      <c r="P264" s="1">
        <f>'[1]Forward Ranks'!AF264</f>
        <v>0.57860262008733621</v>
      </c>
      <c r="Q264">
        <f>'[1]Forward Ranks'!AH264</f>
        <v>0</v>
      </c>
      <c r="R264" s="1">
        <f>'[1]Forward Ranks'!AM264</f>
        <v>8.9519650655021835E-2</v>
      </c>
      <c r="S264" s="1">
        <f>'[1]Forward Ranks'!AN264</f>
        <v>0.16157205240174671</v>
      </c>
      <c r="T264" s="1">
        <f>'[1]Forward Ranks'!AO264</f>
        <v>0.41048034934497818</v>
      </c>
      <c r="U264" s="1">
        <f>'[1]Forward Ranks'!AP264</f>
        <v>0.23580786026200873</v>
      </c>
      <c r="V264">
        <f>'[1]Forward Ranks'!AR264</f>
        <v>0</v>
      </c>
      <c r="W264" s="1">
        <f>'[1]Forward Ranks'!AW264</f>
        <v>0.75764192139737996</v>
      </c>
      <c r="X264" s="1">
        <f>'[1]Forward Ranks'!AX264</f>
        <v>0.68122270742358082</v>
      </c>
      <c r="Y264" s="1">
        <f>'[1]Forward Ranks'!AY264</f>
        <v>0.24017467248908297</v>
      </c>
      <c r="Z264" s="1">
        <f>'[1]Forward Ranks'!AZ264</f>
        <v>0.70960698689956336</v>
      </c>
      <c r="AA264">
        <f>'[1]Forward Ranks'!BB264</f>
        <v>0</v>
      </c>
      <c r="AB264" s="1">
        <f>'[1]Forward Ranks'!BG264</f>
        <v>6.1135371179039298E-2</v>
      </c>
      <c r="AC264" s="1">
        <f>'[1]Forward Ranks'!BH264</f>
        <v>0.32096069868995636</v>
      </c>
      <c r="AD264" s="1">
        <f>'[1]Forward Ranks'!BI264</f>
        <v>0.40174672489082969</v>
      </c>
      <c r="AE264" s="1">
        <f>'[1]Forward Ranks'!BJ264</f>
        <v>0.44323144104803491</v>
      </c>
      <c r="AF264">
        <f>'[1]Forward Ranks'!BL264</f>
        <v>0</v>
      </c>
      <c r="AG264" s="1">
        <f>'[1]Forward Ranks'!BQ264</f>
        <v>0.37117903930131002</v>
      </c>
      <c r="AH264" s="1">
        <f>'[1]Forward Ranks'!BR264</f>
        <v>0.38209606986899564</v>
      </c>
      <c r="AI264" s="1">
        <f>'[1]Forward Ranks'!BS264</f>
        <v>0.33842794759825329</v>
      </c>
      <c r="AJ264" s="1">
        <f>'[1]Forward Ranks'!BT264</f>
        <v>0.39737991266375544</v>
      </c>
      <c r="AL264" s="2">
        <f>'[1]Forward Ranks'!BX264</f>
        <v>0.27729257641921395</v>
      </c>
      <c r="AN264" t="str">
        <f>'[1]Forward Ranks'!B264</f>
        <v>COL, S.J</v>
      </c>
      <c r="AO264">
        <f>'[1]F on ice'!E264</f>
        <v>36</v>
      </c>
      <c r="AP264" s="2">
        <f>'[1]Impact Score Math'!E264</f>
        <v>0.25851703406813625</v>
      </c>
      <c r="AQ264">
        <f>'[1]Impact Score Math'!G264</f>
        <v>371</v>
      </c>
      <c r="AT264" s="1">
        <f>'[1]Forward Ranks'!CJ264</f>
        <v>0.85807860262008728</v>
      </c>
      <c r="AU264" s="1">
        <f>'[1]Forward Ranks'!CK264</f>
        <v>0.53056768558951961</v>
      </c>
    </row>
    <row r="265" spans="1:47" x14ac:dyDescent="0.3">
      <c r="A265" t="str">
        <f>'[1]Forward Ranks'!A265</f>
        <v>Martin Necas</v>
      </c>
      <c r="B265">
        <f>'[1]Forward Ranks'!D265</f>
        <v>0</v>
      </c>
      <c r="C265" s="1">
        <f>'[1]Forward Ranks'!I265</f>
        <v>0.94323144104803491</v>
      </c>
      <c r="D265" s="1">
        <f>'[1]Forward Ranks'!J265</f>
        <v>0.77510917030567683</v>
      </c>
      <c r="E265" s="1">
        <f>'[1]Forward Ranks'!K265</f>
        <v>0.83624454148471616</v>
      </c>
      <c r="F265" s="1">
        <f>'[1]Forward Ranks'!L265</f>
        <v>0.83624454148471616</v>
      </c>
      <c r="G265">
        <f>'[1]Forward Ranks'!N265</f>
        <v>0</v>
      </c>
      <c r="H265" s="1">
        <f>'[1]Forward Ranks'!S265</f>
        <v>0.54585152838427953</v>
      </c>
      <c r="I265" s="1">
        <f>'[1]Forward Ranks'!T265</f>
        <v>0.69868995633187769</v>
      </c>
      <c r="J265" s="1">
        <f>'[1]Forward Ranks'!U265</f>
        <v>0.93013100436681218</v>
      </c>
      <c r="K265" s="1">
        <f>'[1]Forward Ranks'!V265</f>
        <v>0.63755458515283847</v>
      </c>
      <c r="L265">
        <f>'[1]Forward Ranks'!X265</f>
        <v>0</v>
      </c>
      <c r="M265" s="1">
        <f>'[1]Forward Ranks'!AC265</f>
        <v>0.84061135371179041</v>
      </c>
      <c r="N265" s="1">
        <f>'[1]Forward Ranks'!AD265</f>
        <v>0.6026200873362445</v>
      </c>
      <c r="O265" s="1">
        <f>'[1]Forward Ranks'!AE265</f>
        <v>0.36462882096069871</v>
      </c>
      <c r="P265" s="1">
        <f>'[1]Forward Ranks'!AF265</f>
        <v>0.71834061135371174</v>
      </c>
      <c r="Q265">
        <f>'[1]Forward Ranks'!AH265</f>
        <v>0</v>
      </c>
      <c r="R265" s="1">
        <f>'[1]Forward Ranks'!AM265</f>
        <v>0.51091703056768556</v>
      </c>
      <c r="S265" s="1">
        <f>'[1]Forward Ranks'!AN265</f>
        <v>0.23580786026200873</v>
      </c>
      <c r="T265" s="1">
        <f>'[1]Forward Ranks'!AO265</f>
        <v>0.83187772925764192</v>
      </c>
      <c r="U265" s="1">
        <f>'[1]Forward Ranks'!AP265</f>
        <v>0.34934497816593885</v>
      </c>
      <c r="V265">
        <f>'[1]Forward Ranks'!AR265</f>
        <v>0</v>
      </c>
      <c r="W265" s="1">
        <f>'[1]Forward Ranks'!AW265</f>
        <v>4.3668122270742356E-2</v>
      </c>
      <c r="X265" s="1">
        <f>'[1]Forward Ranks'!AX265</f>
        <v>0.13100436681222707</v>
      </c>
      <c r="Y265" s="1">
        <f>'[1]Forward Ranks'!AY265</f>
        <v>4.5851528384279479E-2</v>
      </c>
      <c r="Z265" s="1">
        <f>'[1]Forward Ranks'!AZ265</f>
        <v>6.768558951965066E-2</v>
      </c>
      <c r="AA265">
        <f>'[1]Forward Ranks'!BB265</f>
        <v>0</v>
      </c>
      <c r="AB265" s="1">
        <f>'[1]Forward Ranks'!BG265</f>
        <v>0.86026200873362446</v>
      </c>
      <c r="AC265" s="1">
        <f>'[1]Forward Ranks'!BH265</f>
        <v>0.93013100436681218</v>
      </c>
      <c r="AD265" s="1">
        <f>'[1]Forward Ranks'!BI265</f>
        <v>0.65502183406113534</v>
      </c>
      <c r="AE265" s="1">
        <f>'[1]Forward Ranks'!BJ265</f>
        <v>0.388646288209607</v>
      </c>
      <c r="AF265">
        <f>'[1]Forward Ranks'!BL265</f>
        <v>0</v>
      </c>
      <c r="AG265" s="1">
        <f>'[1]Forward Ranks'!BQ265</f>
        <v>0.95196506550218341</v>
      </c>
      <c r="AH265" s="1">
        <f>'[1]Forward Ranks'!BR265</f>
        <v>0.75982532751091703</v>
      </c>
      <c r="AI265" s="1">
        <f>'[1]Forward Ranks'!BS265</f>
        <v>0.65502183406113534</v>
      </c>
      <c r="AJ265" s="1">
        <f>'[1]Forward Ranks'!BT265</f>
        <v>0.85807860262008728</v>
      </c>
      <c r="AL265" s="2">
        <f>'[1]Forward Ranks'!BX265</f>
        <v>0.66812227074235808</v>
      </c>
      <c r="AN265" t="str">
        <f>'[1]Forward Ranks'!B265</f>
        <v>CAR</v>
      </c>
      <c r="AO265">
        <f>'[1]F on ice'!E265</f>
        <v>82</v>
      </c>
      <c r="AP265" s="2">
        <f>'[1]Impact Score Math'!E265</f>
        <v>0.77755511022044088</v>
      </c>
      <c r="AQ265">
        <f>'[1]Impact Score Math'!G265</f>
        <v>112</v>
      </c>
      <c r="AT265" s="1">
        <f>'[1]Forward Ranks'!CJ265</f>
        <v>0.48689956331877732</v>
      </c>
      <c r="AU265" s="1">
        <f>'[1]Forward Ranks'!CK265</f>
        <v>0.68340611353711789</v>
      </c>
    </row>
    <row r="266" spans="1:47" x14ac:dyDescent="0.3">
      <c r="A266" t="str">
        <f>'[1]Forward Ranks'!A266</f>
        <v>Mason Appleton</v>
      </c>
      <c r="B266">
        <f>'[1]Forward Ranks'!D266</f>
        <v>0</v>
      </c>
      <c r="C266" s="1">
        <f>'[1]Forward Ranks'!I266</f>
        <v>0.83187772925764192</v>
      </c>
      <c r="D266" s="1">
        <f>'[1]Forward Ranks'!J266</f>
        <v>0.94104803493449785</v>
      </c>
      <c r="E266" s="1">
        <f>'[1]Forward Ranks'!K266</f>
        <v>0.39519650655021832</v>
      </c>
      <c r="F266" s="1">
        <f>'[1]Forward Ranks'!L266</f>
        <v>0.8973799126637555</v>
      </c>
      <c r="G266">
        <f>'[1]Forward Ranks'!N266</f>
        <v>0</v>
      </c>
      <c r="H266" s="1">
        <f>'[1]Forward Ranks'!S266</f>
        <v>8.9519650655021835E-2</v>
      </c>
      <c r="I266" s="1">
        <f>'[1]Forward Ranks'!T266</f>
        <v>0.56986899563318782</v>
      </c>
      <c r="J266" s="1">
        <f>'[1]Forward Ranks'!U266</f>
        <v>0.36244541484716158</v>
      </c>
      <c r="K266" s="1">
        <f>'[1]Forward Ranks'!V266</f>
        <v>0.28602620087336245</v>
      </c>
      <c r="L266">
        <f>'[1]Forward Ranks'!X266</f>
        <v>0</v>
      </c>
      <c r="M266" s="1">
        <f>'[1]Forward Ranks'!AC266</f>
        <v>0.388646288209607</v>
      </c>
      <c r="N266" s="1">
        <f>'[1]Forward Ranks'!AD266</f>
        <v>0.31441048034934499</v>
      </c>
      <c r="O266" s="1">
        <f>'[1]Forward Ranks'!AE266</f>
        <v>0.69213973799126638</v>
      </c>
      <c r="P266" s="1">
        <f>'[1]Forward Ranks'!AF266</f>
        <v>0.52838427947598254</v>
      </c>
      <c r="Q266">
        <f>'[1]Forward Ranks'!AH266</f>
        <v>0</v>
      </c>
      <c r="R266" s="1">
        <f>'[1]Forward Ranks'!AM266</f>
        <v>0.80131004366812231</v>
      </c>
      <c r="S266" s="1">
        <f>'[1]Forward Ranks'!AN266</f>
        <v>0.96288209606986896</v>
      </c>
      <c r="T266" s="1">
        <f>'[1]Forward Ranks'!AO266</f>
        <v>0.68777292576419213</v>
      </c>
      <c r="U266" s="1">
        <f>'[1]Forward Ranks'!AP266</f>
        <v>0.91484716157205237</v>
      </c>
      <c r="V266">
        <f>'[1]Forward Ranks'!AR266</f>
        <v>0</v>
      </c>
      <c r="W266" s="1">
        <f>'[1]Forward Ranks'!AW266</f>
        <v>0.11353711790393013</v>
      </c>
      <c r="X266" s="1">
        <f>'[1]Forward Ranks'!AX266</f>
        <v>0.14410480349344978</v>
      </c>
      <c r="Y266" s="1">
        <f>'[1]Forward Ranks'!AY266</f>
        <v>0.33406113537117904</v>
      </c>
      <c r="Z266" s="1">
        <f>'[1]Forward Ranks'!AZ266</f>
        <v>0.36462882096069871</v>
      </c>
      <c r="AA266">
        <f>'[1]Forward Ranks'!BB266</f>
        <v>0</v>
      </c>
      <c r="AB266" s="1">
        <f>'[1]Forward Ranks'!BG266</f>
        <v>0.70742358078602618</v>
      </c>
      <c r="AC266" s="1">
        <f>'[1]Forward Ranks'!BH266</f>
        <v>0.50873362445414849</v>
      </c>
      <c r="AD266" s="1">
        <f>'[1]Forward Ranks'!BI266</f>
        <v>0.22707423580786026</v>
      </c>
      <c r="AE266" s="1">
        <f>'[1]Forward Ranks'!BJ266</f>
        <v>0.46288209606986902</v>
      </c>
      <c r="AF266">
        <f>'[1]Forward Ranks'!BL266</f>
        <v>0</v>
      </c>
      <c r="AG266" s="1">
        <f>'[1]Forward Ranks'!BQ266</f>
        <v>0.6746724890829694</v>
      </c>
      <c r="AH266" s="1">
        <f>'[1]Forward Ranks'!BR266</f>
        <v>0.83187772925764192</v>
      </c>
      <c r="AI266" s="1">
        <f>'[1]Forward Ranks'!BS266</f>
        <v>0.55895196506550215</v>
      </c>
      <c r="AJ266" s="1">
        <f>'[1]Forward Ranks'!BT266</f>
        <v>0.8733624454148472</v>
      </c>
      <c r="AL266" s="2">
        <f>'[1]Forward Ranks'!BX266</f>
        <v>0.63973799126637554</v>
      </c>
      <c r="AN266" t="str">
        <f>'[1]Forward Ranks'!B266</f>
        <v>WPG</v>
      </c>
      <c r="AO266">
        <f>'[1]F on ice'!E266</f>
        <v>41</v>
      </c>
      <c r="AP266" s="2">
        <f>'[1]Impact Score Math'!E266</f>
        <v>0.71543086172344694</v>
      </c>
      <c r="AQ266">
        <f>'[1]Impact Score Math'!G266</f>
        <v>143</v>
      </c>
      <c r="AT266" s="1">
        <f>'[1]Forward Ranks'!CJ266</f>
        <v>0.78602620087336239</v>
      </c>
      <c r="AU266" s="1">
        <f>'[1]Forward Ranks'!CK266</f>
        <v>0.66375545851528384</v>
      </c>
    </row>
    <row r="267" spans="1:47" x14ac:dyDescent="0.3">
      <c r="A267" t="str">
        <f>'[1]Forward Ranks'!A267</f>
        <v>Mason Marchment</v>
      </c>
      <c r="B267">
        <f>'[1]Forward Ranks'!D267</f>
        <v>0</v>
      </c>
      <c r="C267" s="1">
        <f>'[1]Forward Ranks'!I267</f>
        <v>0.63755458515283847</v>
      </c>
      <c r="D267" s="1">
        <f>'[1]Forward Ranks'!J267</f>
        <v>0.4126637554585153</v>
      </c>
      <c r="E267" s="1">
        <f>'[1]Forward Ranks'!K267</f>
        <v>0.23799126637554585</v>
      </c>
      <c r="F267" s="1">
        <f>'[1]Forward Ranks'!L267</f>
        <v>0.46943231441048033</v>
      </c>
      <c r="G267">
        <f>'[1]Forward Ranks'!N267</f>
        <v>0</v>
      </c>
      <c r="H267" s="1">
        <f>'[1]Forward Ranks'!S267</f>
        <v>0.30786026200873362</v>
      </c>
      <c r="I267" s="1">
        <f>'[1]Forward Ranks'!T267</f>
        <v>0.55021834061135366</v>
      </c>
      <c r="J267" s="1">
        <f>'[1]Forward Ranks'!U267</f>
        <v>0.54803493449781659</v>
      </c>
      <c r="K267" s="1">
        <f>'[1]Forward Ranks'!V267</f>
        <v>0.41484716157205243</v>
      </c>
      <c r="L267">
        <f>'[1]Forward Ranks'!X267</f>
        <v>0</v>
      </c>
      <c r="M267" s="1">
        <f>'[1]Forward Ranks'!AC267</f>
        <v>0.23580786026200873</v>
      </c>
      <c r="N267" s="1">
        <f>'[1]Forward Ranks'!AD267</f>
        <v>0.45414847161572053</v>
      </c>
      <c r="O267" s="1">
        <f>'[1]Forward Ranks'!AE267</f>
        <v>0.48908296943231439</v>
      </c>
      <c r="P267" s="1">
        <f>'[1]Forward Ranks'!AF267</f>
        <v>0.43013100436681223</v>
      </c>
      <c r="Q267">
        <f>'[1]Forward Ranks'!AH267</f>
        <v>0</v>
      </c>
      <c r="R267" s="1">
        <f>'[1]Forward Ranks'!AM267</f>
        <v>0.52838427947598254</v>
      </c>
      <c r="S267" s="1">
        <f>'[1]Forward Ranks'!AN267</f>
        <v>0.15720524017467249</v>
      </c>
      <c r="T267" s="1">
        <f>'[1]Forward Ranks'!AO267</f>
        <v>0.1222707423580786</v>
      </c>
      <c r="U267" s="1">
        <f>'[1]Forward Ranks'!AP267</f>
        <v>0.32532751091703055</v>
      </c>
      <c r="V267">
        <f>'[1]Forward Ranks'!AR267</f>
        <v>0</v>
      </c>
      <c r="W267" s="1">
        <f>'[1]Forward Ranks'!AW267</f>
        <v>0.13100436681222707</v>
      </c>
      <c r="X267" s="1">
        <f>'[1]Forward Ranks'!AX267</f>
        <v>0.16157205240174671</v>
      </c>
      <c r="Y267" s="1">
        <f>'[1]Forward Ranks'!AY267</f>
        <v>0.14628820960698691</v>
      </c>
      <c r="Z267" s="1">
        <f>'[1]Forward Ranks'!AZ267</f>
        <v>0.16375545851528384</v>
      </c>
      <c r="AA267">
        <f>'[1]Forward Ranks'!BB267</f>
        <v>0</v>
      </c>
      <c r="AB267" s="1">
        <f>'[1]Forward Ranks'!BG267</f>
        <v>0.81004366812227069</v>
      </c>
      <c r="AC267" s="1">
        <f>'[1]Forward Ranks'!BH267</f>
        <v>0.5240174672489083</v>
      </c>
      <c r="AD267" s="1">
        <f>'[1]Forward Ranks'!BI267</f>
        <v>0.1703056768558952</v>
      </c>
      <c r="AE267" s="1">
        <f>'[1]Forward Ranks'!BJ267</f>
        <v>0.34061135371179041</v>
      </c>
      <c r="AF267">
        <f>'[1]Forward Ranks'!BL267</f>
        <v>0</v>
      </c>
      <c r="AG267" s="1">
        <f>'[1]Forward Ranks'!BQ267</f>
        <v>0.45196506550218341</v>
      </c>
      <c r="AH267" s="1">
        <f>'[1]Forward Ranks'!BR267</f>
        <v>0.3930131004366812</v>
      </c>
      <c r="AI267" s="1">
        <f>'[1]Forward Ranks'!BS267</f>
        <v>0.27074235807860264</v>
      </c>
      <c r="AJ267" s="1">
        <f>'[1]Forward Ranks'!BT267</f>
        <v>0.43449781659388648</v>
      </c>
      <c r="AL267" s="2">
        <f>'[1]Forward Ranks'!BX267</f>
        <v>0.28384279475982532</v>
      </c>
      <c r="AN267" t="str">
        <f>'[1]Forward Ranks'!B267</f>
        <v>DAL</v>
      </c>
      <c r="AO267">
        <f>'[1]F on ice'!E267</f>
        <v>68</v>
      </c>
      <c r="AP267" s="2">
        <f>'[1]Impact Score Math'!E267</f>
        <v>0.4529058116232465</v>
      </c>
      <c r="AQ267">
        <f>'[1]Impact Score Math'!G267</f>
        <v>274</v>
      </c>
      <c r="AT267" s="1">
        <f>'[1]Forward Ranks'!CJ267</f>
        <v>0.12882096069868995</v>
      </c>
      <c r="AU267" s="1">
        <f>'[1]Forward Ranks'!CK267</f>
        <v>0.9126637554585153</v>
      </c>
    </row>
    <row r="268" spans="1:47" x14ac:dyDescent="0.3">
      <c r="A268" t="str">
        <f>'[1]Forward Ranks'!A268</f>
        <v>Mason McTavish</v>
      </c>
      <c r="B268">
        <f>'[1]Forward Ranks'!D268</f>
        <v>0</v>
      </c>
      <c r="C268" s="1">
        <f>'[1]Forward Ranks'!I268</f>
        <v>0.1703056768558952</v>
      </c>
      <c r="D268" s="1">
        <f>'[1]Forward Ranks'!J268</f>
        <v>0.3930131004366812</v>
      </c>
      <c r="E268" s="1">
        <f>'[1]Forward Ranks'!K268</f>
        <v>0.23144104803493451</v>
      </c>
      <c r="F268" s="1">
        <f>'[1]Forward Ranks'!L268</f>
        <v>0.3056768558951965</v>
      </c>
      <c r="G268">
        <f>'[1]Forward Ranks'!N268</f>
        <v>0</v>
      </c>
      <c r="H268" s="1">
        <f>'[1]Forward Ranks'!S268</f>
        <v>0.25545851528384278</v>
      </c>
      <c r="I268" s="1">
        <f>'[1]Forward Ranks'!T268</f>
        <v>0.54148471615720528</v>
      </c>
      <c r="J268" s="1">
        <f>'[1]Forward Ranks'!U268</f>
        <v>0.70305676855895194</v>
      </c>
      <c r="K268" s="1">
        <f>'[1]Forward Ranks'!V268</f>
        <v>0.36244541484716158</v>
      </c>
      <c r="L268">
        <f>'[1]Forward Ranks'!X268</f>
        <v>0</v>
      </c>
      <c r="M268" s="1">
        <f>'[1]Forward Ranks'!AC268</f>
        <v>3.2751091703056769E-2</v>
      </c>
      <c r="N268" s="1">
        <f>'[1]Forward Ranks'!AD268</f>
        <v>2.4017467248908297E-2</v>
      </c>
      <c r="O268" s="1">
        <f>'[1]Forward Ranks'!AE268</f>
        <v>0.14847161572052403</v>
      </c>
      <c r="P268" s="1">
        <f>'[1]Forward Ranks'!AF268</f>
        <v>3.2751091703056769E-2</v>
      </c>
      <c r="Q268">
        <f>'[1]Forward Ranks'!AH268</f>
        <v>0</v>
      </c>
      <c r="R268" s="1">
        <f>'[1]Forward Ranks'!AM268</f>
        <v>0.50655021834061131</v>
      </c>
      <c r="S268" s="1">
        <f>'[1]Forward Ranks'!AN268</f>
        <v>0.74235807860262004</v>
      </c>
      <c r="T268" s="1">
        <f>'[1]Forward Ranks'!AO268</f>
        <v>0.4759825327510917</v>
      </c>
      <c r="U268" s="1">
        <f>'[1]Forward Ranks'!AP268</f>
        <v>0.66375545851528384</v>
      </c>
      <c r="V268">
        <f>'[1]Forward Ranks'!AR268</f>
        <v>0</v>
      </c>
      <c r="W268" s="1">
        <f>'[1]Forward Ranks'!AW268</f>
        <v>0.60698689956331875</v>
      </c>
      <c r="X268" s="1">
        <f>'[1]Forward Ranks'!AX268</f>
        <v>0.49781659388646288</v>
      </c>
      <c r="Y268" s="1">
        <f>'[1]Forward Ranks'!AY268</f>
        <v>0.65938864628820959</v>
      </c>
      <c r="Z268" s="1">
        <f>'[1]Forward Ranks'!AZ268</f>
        <v>0.67903930131004364</v>
      </c>
      <c r="AA268">
        <f>'[1]Forward Ranks'!BB268</f>
        <v>0</v>
      </c>
      <c r="AB268" s="1">
        <f>'[1]Forward Ranks'!BG268</f>
        <v>0.56986899563318782</v>
      </c>
      <c r="AC268" s="1">
        <f>'[1]Forward Ranks'!BH268</f>
        <v>0.28602620087336245</v>
      </c>
      <c r="AD268" s="1">
        <f>'[1]Forward Ranks'!BI268</f>
        <v>0.30786026200873362</v>
      </c>
      <c r="AE268" s="1">
        <f>'[1]Forward Ranks'!BJ268</f>
        <v>0.34061135371179041</v>
      </c>
      <c r="AF268">
        <f>'[1]Forward Ranks'!BL268</f>
        <v>0</v>
      </c>
      <c r="AG268" s="1">
        <f>'[1]Forward Ranks'!BQ268</f>
        <v>4.8034934497816595E-2</v>
      </c>
      <c r="AH268" s="1">
        <f>'[1]Forward Ranks'!BR268</f>
        <v>0.10480349344978165</v>
      </c>
      <c r="AI268" s="1">
        <f>'[1]Forward Ranks'!BS268</f>
        <v>0.1091703056768559</v>
      </c>
      <c r="AJ268" s="1">
        <f>'[1]Forward Ranks'!BT268</f>
        <v>9.1703056768558958E-2</v>
      </c>
      <c r="AL268" s="2">
        <f>'[1]Forward Ranks'!BX268</f>
        <v>0.20742358078602621</v>
      </c>
      <c r="AN268" t="str">
        <f>'[1]Forward Ranks'!B268</f>
        <v>ANA</v>
      </c>
      <c r="AO268">
        <f>'[1]F on ice'!E268</f>
        <v>80</v>
      </c>
      <c r="AP268" s="2">
        <f>'[1]Impact Score Math'!E268</f>
        <v>0.31663326653306612</v>
      </c>
      <c r="AQ268">
        <f>'[1]Impact Score Math'!G268</f>
        <v>342</v>
      </c>
      <c r="AT268" s="1">
        <f>'[1]Forward Ranks'!CJ268</f>
        <v>0.28820960698689957</v>
      </c>
      <c r="AU268" s="1">
        <f>'[1]Forward Ranks'!CK268</f>
        <v>0.80131004366812231</v>
      </c>
    </row>
    <row r="269" spans="1:47" x14ac:dyDescent="0.3">
      <c r="A269" t="str">
        <f>'[1]Forward Ranks'!A269</f>
        <v>Mason Shaw</v>
      </c>
      <c r="B269">
        <f>'[1]Forward Ranks'!D269</f>
        <v>0</v>
      </c>
      <c r="C269" s="1">
        <f>'[1]Forward Ranks'!I269</f>
        <v>0.26855895196506552</v>
      </c>
      <c r="D269" s="1">
        <f>'[1]Forward Ranks'!J269</f>
        <v>0.18340611353711792</v>
      </c>
      <c r="E269" s="1">
        <f>'[1]Forward Ranks'!K269</f>
        <v>0.11353711790393013</v>
      </c>
      <c r="F269" s="1">
        <f>'[1]Forward Ranks'!L269</f>
        <v>0.12882096069868995</v>
      </c>
      <c r="G269">
        <f>'[1]Forward Ranks'!N269</f>
        <v>0</v>
      </c>
      <c r="H269" s="1">
        <f>'[1]Forward Ranks'!S269</f>
        <v>0.45414847161572053</v>
      </c>
      <c r="I269" s="1">
        <f>'[1]Forward Ranks'!T269</f>
        <v>0.42139737991266374</v>
      </c>
      <c r="J269" s="1">
        <f>'[1]Forward Ranks'!U269</f>
        <v>0.19213973799126638</v>
      </c>
      <c r="K269" s="1">
        <f>'[1]Forward Ranks'!V269</f>
        <v>0.41484716157205243</v>
      </c>
      <c r="L269">
        <f>'[1]Forward Ranks'!X269</f>
        <v>0</v>
      </c>
      <c r="M269" s="1">
        <f>'[1]Forward Ranks'!AC269</f>
        <v>0.60917030567685593</v>
      </c>
      <c r="N269" s="1">
        <f>'[1]Forward Ranks'!AD269</f>
        <v>0.98689956331877726</v>
      </c>
      <c r="O269" s="1">
        <f>'[1]Forward Ranks'!AE269</f>
        <v>0.82314410480349343</v>
      </c>
      <c r="P269" s="1">
        <f>'[1]Forward Ranks'!AF269</f>
        <v>0.92139737991266379</v>
      </c>
      <c r="Q269">
        <f>'[1]Forward Ranks'!AH269</f>
        <v>0</v>
      </c>
      <c r="R269" s="1">
        <f>'[1]Forward Ranks'!AM269</f>
        <v>0.17248908296943233</v>
      </c>
      <c r="S269" s="1">
        <f>'[1]Forward Ranks'!AN269</f>
        <v>0.26637554585152839</v>
      </c>
      <c r="T269" s="1">
        <f>'[1]Forward Ranks'!AO269</f>
        <v>0.17248908296943233</v>
      </c>
      <c r="U269" s="1">
        <f>'[1]Forward Ranks'!AP269</f>
        <v>0.17248908296943233</v>
      </c>
      <c r="V269">
        <f>'[1]Forward Ranks'!AR269</f>
        <v>0</v>
      </c>
      <c r="W269" s="1">
        <f>'[1]Forward Ranks'!AW269</f>
        <v>0.53056768558951961</v>
      </c>
      <c r="X269" s="1">
        <f>'[1]Forward Ranks'!AX269</f>
        <v>0.76637554585152834</v>
      </c>
      <c r="Y269" s="1">
        <f>'[1]Forward Ranks'!AY269</f>
        <v>0.28602620087336245</v>
      </c>
      <c r="Z269" s="1">
        <f>'[1]Forward Ranks'!AZ269</f>
        <v>0.76200873362445409</v>
      </c>
      <c r="AA269">
        <f>'[1]Forward Ranks'!BB269</f>
        <v>0</v>
      </c>
      <c r="AB269" s="1">
        <f>'[1]Forward Ranks'!BG269</f>
        <v>0.10480349344978165</v>
      </c>
      <c r="AC269" s="1">
        <f>'[1]Forward Ranks'!BH269</f>
        <v>0.1222707423580786</v>
      </c>
      <c r="AD269" s="1">
        <f>'[1]Forward Ranks'!BI269</f>
        <v>0.14628820960698691</v>
      </c>
      <c r="AE269" s="1">
        <f>'[1]Forward Ranks'!BJ269</f>
        <v>0.46288209606986902</v>
      </c>
      <c r="AF269">
        <f>'[1]Forward Ranks'!BL269</f>
        <v>0</v>
      </c>
      <c r="AG269" s="1">
        <f>'[1]Forward Ranks'!BQ269</f>
        <v>0.38427947598253276</v>
      </c>
      <c r="AH269" s="1">
        <f>'[1]Forward Ranks'!BR269</f>
        <v>0.64847161572052403</v>
      </c>
      <c r="AI269" s="1">
        <f>'[1]Forward Ranks'!BS269</f>
        <v>0.32096069868995636</v>
      </c>
      <c r="AJ269" s="1">
        <f>'[1]Forward Ranks'!BT269</f>
        <v>0.41484716157205243</v>
      </c>
      <c r="AL269" s="2">
        <f>'[1]Forward Ranks'!BX269</f>
        <v>0.34934497816593885</v>
      </c>
      <c r="AN269" t="str">
        <f>'[1]Forward Ranks'!B269</f>
        <v>MIN</v>
      </c>
      <c r="AO269">
        <f>'[1]F on ice'!E269</f>
        <v>59</v>
      </c>
      <c r="AP269" s="2">
        <f>'[1]Impact Score Math'!E269</f>
        <v>0.30260521042084171</v>
      </c>
      <c r="AQ269">
        <f>'[1]Impact Score Math'!G269</f>
        <v>349</v>
      </c>
      <c r="AT269" s="1">
        <f>'[1]Forward Ranks'!CJ269</f>
        <v>3.7117903930131008E-2</v>
      </c>
      <c r="AU269" s="1">
        <f>'[1]Forward Ranks'!CK269</f>
        <v>0.94323144104803491</v>
      </c>
    </row>
    <row r="270" spans="1:47" x14ac:dyDescent="0.3">
      <c r="A270" t="str">
        <f>'[1]Forward Ranks'!A270</f>
        <v>Mathew Barzal</v>
      </c>
      <c r="B270">
        <f>'[1]Forward Ranks'!D270</f>
        <v>0</v>
      </c>
      <c r="C270" s="1">
        <f>'[1]Forward Ranks'!I270</f>
        <v>0.84279475982532748</v>
      </c>
      <c r="D270" s="1">
        <f>'[1]Forward Ranks'!J270</f>
        <v>0.66812227074235808</v>
      </c>
      <c r="E270" s="1">
        <f>'[1]Forward Ranks'!K270</f>
        <v>0.69868995633187769</v>
      </c>
      <c r="F270" s="1">
        <f>'[1]Forward Ranks'!L270</f>
        <v>0.70960698689956336</v>
      </c>
      <c r="G270">
        <f>'[1]Forward Ranks'!N270</f>
        <v>0</v>
      </c>
      <c r="H270" s="1">
        <f>'[1]Forward Ranks'!S270</f>
        <v>0.50218340611353707</v>
      </c>
      <c r="I270" s="1">
        <f>'[1]Forward Ranks'!T270</f>
        <v>0.92576419213973804</v>
      </c>
      <c r="J270" s="1">
        <f>'[1]Forward Ranks'!U270</f>
        <v>0.9759825327510917</v>
      </c>
      <c r="K270" s="1">
        <f>'[1]Forward Ranks'!V270</f>
        <v>0.83624454148471616</v>
      </c>
      <c r="L270">
        <f>'[1]Forward Ranks'!X270</f>
        <v>0</v>
      </c>
      <c r="M270" s="1">
        <f>'[1]Forward Ranks'!AC270</f>
        <v>0.67030567685589515</v>
      </c>
      <c r="N270" s="1">
        <f>'[1]Forward Ranks'!AD270</f>
        <v>0.40174672489082969</v>
      </c>
      <c r="O270" s="1">
        <f>'[1]Forward Ranks'!AE270</f>
        <v>0.94759825327510916</v>
      </c>
      <c r="P270" s="1">
        <f>'[1]Forward Ranks'!AF270</f>
        <v>0.63755458515283847</v>
      </c>
      <c r="Q270">
        <f>'[1]Forward Ranks'!AH270</f>
        <v>0</v>
      </c>
      <c r="R270" s="1">
        <f>'[1]Forward Ranks'!AM270</f>
        <v>0.93231441048034935</v>
      </c>
      <c r="S270" s="1">
        <f>'[1]Forward Ranks'!AN270</f>
        <v>0.50655021834061131</v>
      </c>
      <c r="T270" s="1">
        <f>'[1]Forward Ranks'!AO270</f>
        <v>0.67685589519650657</v>
      </c>
      <c r="U270" s="1">
        <f>'[1]Forward Ranks'!AP270</f>
        <v>0.67248908296943233</v>
      </c>
      <c r="V270">
        <f>'[1]Forward Ranks'!AR270</f>
        <v>0</v>
      </c>
      <c r="W270" s="1">
        <f>'[1]Forward Ranks'!AW270</f>
        <v>0.96288209606986896</v>
      </c>
      <c r="X270" s="1">
        <f>'[1]Forward Ranks'!AX270</f>
        <v>0.85152838427947597</v>
      </c>
      <c r="Y270" s="1">
        <f>'[1]Forward Ranks'!AY270</f>
        <v>0.91921397379912662</v>
      </c>
      <c r="Z270" s="1">
        <f>'[1]Forward Ranks'!AZ270</f>
        <v>0.93231441048034935</v>
      </c>
      <c r="AA270">
        <f>'[1]Forward Ranks'!BB270</f>
        <v>0</v>
      </c>
      <c r="AB270" s="1">
        <f>'[1]Forward Ranks'!BG270</f>
        <v>0.89519650655021832</v>
      </c>
      <c r="AC270" s="1">
        <f>'[1]Forward Ranks'!BH270</f>
        <v>0.99563318777292575</v>
      </c>
      <c r="AD270" s="1">
        <f>'[1]Forward Ranks'!BI270</f>
        <v>0.51091703056768556</v>
      </c>
      <c r="AE270" s="1">
        <f>'[1]Forward Ranks'!BJ270</f>
        <v>0.86026200873362446</v>
      </c>
      <c r="AF270">
        <f>'[1]Forward Ranks'!BL270</f>
        <v>0</v>
      </c>
      <c r="AG270" s="1">
        <f>'[1]Forward Ranks'!BQ270</f>
        <v>0.83624454148471616</v>
      </c>
      <c r="AH270" s="1">
        <f>'[1]Forward Ranks'!BR270</f>
        <v>0.54148471615720528</v>
      </c>
      <c r="AI270" s="1">
        <f>'[1]Forward Ranks'!BS270</f>
        <v>0.9606986899563319</v>
      </c>
      <c r="AJ270" s="1">
        <f>'[1]Forward Ranks'!BT270</f>
        <v>0.73362445414847166</v>
      </c>
      <c r="AL270" s="2">
        <f>'[1]Forward Ranks'!BX270</f>
        <v>0.9366812227074236</v>
      </c>
      <c r="AN270" t="str">
        <f>'[1]Forward Ranks'!B270</f>
        <v>NYI</v>
      </c>
      <c r="AO270">
        <f>'[1]F on ice'!E270</f>
        <v>58</v>
      </c>
      <c r="AP270" s="2">
        <f>'[1]Impact Score Math'!E270</f>
        <v>0.96593186372745488</v>
      </c>
      <c r="AQ270">
        <f>'[1]Impact Score Math'!G270</f>
        <v>18</v>
      </c>
      <c r="AT270" s="1">
        <f>'[1]Forward Ranks'!CJ270</f>
        <v>0.61572052401746724</v>
      </c>
      <c r="AU270" s="1">
        <f>'[1]Forward Ranks'!CK270</f>
        <v>0.17903930131004367</v>
      </c>
    </row>
    <row r="271" spans="1:47" x14ac:dyDescent="0.3">
      <c r="A271" t="str">
        <f>'[1]Forward Ranks'!A271</f>
        <v>Mathieu Joseph</v>
      </c>
      <c r="B271">
        <f>'[1]Forward Ranks'!D271</f>
        <v>0</v>
      </c>
      <c r="C271" s="1">
        <f>'[1]Forward Ranks'!I271</f>
        <v>0.49563318777292575</v>
      </c>
      <c r="D271" s="1">
        <f>'[1]Forward Ranks'!J271</f>
        <v>0.41921397379912662</v>
      </c>
      <c r="E271" s="1">
        <f>'[1]Forward Ranks'!K271</f>
        <v>0.55676855895196509</v>
      </c>
      <c r="F271" s="1">
        <f>'[1]Forward Ranks'!L271</f>
        <v>0.4366812227074236</v>
      </c>
      <c r="G271">
        <f>'[1]Forward Ranks'!N271</f>
        <v>0</v>
      </c>
      <c r="H271" s="1">
        <f>'[1]Forward Ranks'!S271</f>
        <v>2.1834061135371178E-3</v>
      </c>
      <c r="I271" s="1">
        <f>'[1]Forward Ranks'!T271</f>
        <v>0.73580786026200873</v>
      </c>
      <c r="J271" s="1">
        <f>'[1]Forward Ranks'!U271</f>
        <v>0.81441048034934493</v>
      </c>
      <c r="K271" s="1">
        <f>'[1]Forward Ranks'!V271</f>
        <v>0.1965065502183406</v>
      </c>
      <c r="L271">
        <f>'[1]Forward Ranks'!X271</f>
        <v>0</v>
      </c>
      <c r="M271" s="1">
        <f>'[1]Forward Ranks'!AC271</f>
        <v>0.36681222707423583</v>
      </c>
      <c r="N271" s="1">
        <f>'[1]Forward Ranks'!AD271</f>
        <v>0.63318777292576423</v>
      </c>
      <c r="O271" s="1">
        <f>'[1]Forward Ranks'!AE271</f>
        <v>0.57205240174672489</v>
      </c>
      <c r="P271" s="1">
        <f>'[1]Forward Ranks'!AF271</f>
        <v>0.60917030567685593</v>
      </c>
      <c r="Q271">
        <f>'[1]Forward Ranks'!AH271</f>
        <v>0</v>
      </c>
      <c r="R271" s="1">
        <f>'[1]Forward Ranks'!AM271</f>
        <v>9.3886462882096067E-2</v>
      </c>
      <c r="S271" s="1">
        <f>'[1]Forward Ranks'!AN271</f>
        <v>0.11790393013100436</v>
      </c>
      <c r="T271" s="1">
        <f>'[1]Forward Ranks'!AO271</f>
        <v>0.48471615720524019</v>
      </c>
      <c r="U271" s="1">
        <f>'[1]Forward Ranks'!AP271</f>
        <v>0.14192139737991266</v>
      </c>
      <c r="V271">
        <f>'[1]Forward Ranks'!AR271</f>
        <v>0</v>
      </c>
      <c r="W271" s="1">
        <f>'[1]Forward Ranks'!AW271</f>
        <v>0.29694323144104806</v>
      </c>
      <c r="X271" s="1">
        <f>'[1]Forward Ranks'!AX271</f>
        <v>0.72052401746724892</v>
      </c>
      <c r="Y271" s="1">
        <f>'[1]Forward Ranks'!AY271</f>
        <v>0.66157205240174677</v>
      </c>
      <c r="Z271" s="1">
        <f>'[1]Forward Ranks'!AZ271</f>
        <v>0.55240174672489084</v>
      </c>
      <c r="AA271">
        <f>'[1]Forward Ranks'!BB271</f>
        <v>0</v>
      </c>
      <c r="AB271" s="1">
        <f>'[1]Forward Ranks'!BG271</f>
        <v>0.22489082969432314</v>
      </c>
      <c r="AC271" s="1">
        <f>'[1]Forward Ranks'!BH271</f>
        <v>0.16593886462882096</v>
      </c>
      <c r="AD271" s="1">
        <f>'[1]Forward Ranks'!BI271</f>
        <v>0.68558951965065507</v>
      </c>
      <c r="AE271" s="1">
        <f>'[1]Forward Ranks'!BJ271</f>
        <v>0.78820960698689957</v>
      </c>
      <c r="AF271">
        <f>'[1]Forward Ranks'!BL271</f>
        <v>0</v>
      </c>
      <c r="AG271" s="1">
        <f>'[1]Forward Ranks'!BQ271</f>
        <v>0.42794759825327511</v>
      </c>
      <c r="AH271" s="1">
        <f>'[1]Forward Ranks'!BR271</f>
        <v>0.48689956331877732</v>
      </c>
      <c r="AI271" s="1">
        <f>'[1]Forward Ranks'!BS271</f>
        <v>0.5873362445414847</v>
      </c>
      <c r="AJ271" s="1">
        <f>'[1]Forward Ranks'!BT271</f>
        <v>0.51965065502183405</v>
      </c>
      <c r="AL271" s="2">
        <f>'[1]Forward Ranks'!BX271</f>
        <v>0.26419213973799127</v>
      </c>
      <c r="AN271" t="str">
        <f>'[1]Forward Ranks'!B271</f>
        <v>OTT</v>
      </c>
      <c r="AO271">
        <f>'[1]F on ice'!E271</f>
        <v>56</v>
      </c>
      <c r="AP271" s="2">
        <f>'[1]Impact Score Math'!E271</f>
        <v>0.29458917835671344</v>
      </c>
      <c r="AQ271">
        <f>'[1]Impact Score Math'!G271</f>
        <v>353</v>
      </c>
      <c r="AT271" s="1">
        <f>'[1]Forward Ranks'!CJ271</f>
        <v>0.20305676855895197</v>
      </c>
      <c r="AU271" s="1">
        <f>'[1]Forward Ranks'!CK271</f>
        <v>0.86681222707423577</v>
      </c>
    </row>
    <row r="272" spans="1:47" x14ac:dyDescent="0.3">
      <c r="A272" t="str">
        <f>'[1]Forward Ranks'!A272</f>
        <v>Mathieu Olivier</v>
      </c>
      <c r="B272">
        <f>'[1]Forward Ranks'!D272</f>
        <v>0</v>
      </c>
      <c r="C272" s="1">
        <f>'[1]Forward Ranks'!I272</f>
        <v>0.25982532751091703</v>
      </c>
      <c r="D272" s="1">
        <f>'[1]Forward Ranks'!J272</f>
        <v>0.53711790393013104</v>
      </c>
      <c r="E272" s="1">
        <f>'[1]Forward Ranks'!K272</f>
        <v>0.14628820960698691</v>
      </c>
      <c r="F272" s="1">
        <f>'[1]Forward Ranks'!L272</f>
        <v>0.40611353711790393</v>
      </c>
      <c r="G272">
        <f>'[1]Forward Ranks'!N272</f>
        <v>0</v>
      </c>
      <c r="H272" s="1">
        <f>'[1]Forward Ranks'!S272</f>
        <v>0.18340611353711792</v>
      </c>
      <c r="I272" s="1">
        <f>'[1]Forward Ranks'!T272</f>
        <v>0.24454148471615719</v>
      </c>
      <c r="J272" s="1">
        <f>'[1]Forward Ranks'!U272</f>
        <v>0.44104803493449779</v>
      </c>
      <c r="K272" s="1">
        <f>'[1]Forward Ranks'!V272</f>
        <v>0.13100436681222707</v>
      </c>
      <c r="L272">
        <f>'[1]Forward Ranks'!X272</f>
        <v>0</v>
      </c>
      <c r="M272" s="1">
        <f>'[1]Forward Ranks'!AC272</f>
        <v>4.3668122270742356E-2</v>
      </c>
      <c r="N272" s="1">
        <f>'[1]Forward Ranks'!AD272</f>
        <v>0.11572052401746726</v>
      </c>
      <c r="O272" s="1">
        <f>'[1]Forward Ranks'!AE272</f>
        <v>4.8034934497816595E-2</v>
      </c>
      <c r="P272" s="1">
        <f>'[1]Forward Ranks'!AF272</f>
        <v>0.11353711790393013</v>
      </c>
      <c r="Q272">
        <f>'[1]Forward Ranks'!AH272</f>
        <v>0</v>
      </c>
      <c r="R272" s="1">
        <f>'[1]Forward Ranks'!AM272</f>
        <v>0.35371179039301309</v>
      </c>
      <c r="S272" s="1">
        <f>'[1]Forward Ranks'!AN272</f>
        <v>0.86026200873362446</v>
      </c>
      <c r="T272" s="1">
        <f>'[1]Forward Ranks'!AO272</f>
        <v>0.25109170305676853</v>
      </c>
      <c r="U272" s="1">
        <f>'[1]Forward Ranks'!AP272</f>
        <v>0.6026200873362445</v>
      </c>
      <c r="V272">
        <f>'[1]Forward Ranks'!AR272</f>
        <v>0</v>
      </c>
      <c r="W272" s="1">
        <f>'[1]Forward Ranks'!AW272</f>
        <v>0.23144104803493451</v>
      </c>
      <c r="X272" s="1">
        <f>'[1]Forward Ranks'!AX272</f>
        <v>0.2205240174672489</v>
      </c>
      <c r="Y272" s="1">
        <f>'[1]Forward Ranks'!AY272</f>
        <v>0.26855895196506552</v>
      </c>
      <c r="Z272" s="1">
        <f>'[1]Forward Ranks'!AZ272</f>
        <v>0.26637554585152839</v>
      </c>
      <c r="AA272">
        <f>'[1]Forward Ranks'!BB272</f>
        <v>0</v>
      </c>
      <c r="AB272" s="1">
        <f>'[1]Forward Ranks'!BG272</f>
        <v>0.27947598253275108</v>
      </c>
      <c r="AC272" s="1">
        <f>'[1]Forward Ranks'!BH272</f>
        <v>5.2401746724890827E-2</v>
      </c>
      <c r="AD272" s="1">
        <f>'[1]Forward Ranks'!BI272</f>
        <v>0.12882096069868995</v>
      </c>
      <c r="AE272" s="1">
        <f>'[1]Forward Ranks'!BJ272</f>
        <v>7.8602620087336247E-2</v>
      </c>
      <c r="AF272">
        <f>'[1]Forward Ranks'!BL272</f>
        <v>0</v>
      </c>
      <c r="AG272" s="1">
        <f>'[1]Forward Ranks'!BQ272</f>
        <v>8.9519650655021835E-2</v>
      </c>
      <c r="AH272" s="1">
        <f>'[1]Forward Ranks'!BR272</f>
        <v>0.28820960698689957</v>
      </c>
      <c r="AI272" s="1">
        <f>'[1]Forward Ranks'!BS272</f>
        <v>4.8034934497816595E-2</v>
      </c>
      <c r="AJ272" s="1">
        <f>'[1]Forward Ranks'!BT272</f>
        <v>0.21179039301310043</v>
      </c>
      <c r="AL272" s="2">
        <f>'[1]Forward Ranks'!BX272</f>
        <v>0.10698689956331878</v>
      </c>
      <c r="AN272" t="str">
        <f>'[1]Forward Ranks'!B272</f>
        <v>CBJ</v>
      </c>
      <c r="AO272">
        <f>'[1]F on ice'!E272</f>
        <v>66</v>
      </c>
      <c r="AP272" s="2">
        <f>'[1]Impact Score Math'!E272</f>
        <v>0.18236472945891782</v>
      </c>
      <c r="AQ272">
        <f>'[1]Impact Score Math'!G272</f>
        <v>409</v>
      </c>
      <c r="AT272" s="1">
        <f>'[1]Forward Ranks'!CJ272</f>
        <v>3.2751091703056769E-2</v>
      </c>
      <c r="AU272" s="1">
        <f>'[1]Forward Ranks'!CK272</f>
        <v>0.82751091703056767</v>
      </c>
    </row>
    <row r="273" spans="1:47" x14ac:dyDescent="0.3">
      <c r="A273" t="str">
        <f>'[1]Forward Ranks'!A273</f>
        <v>Matias Maccelli</v>
      </c>
      <c r="B273">
        <f>'[1]Forward Ranks'!D273</f>
        <v>0</v>
      </c>
      <c r="C273" s="1">
        <f>'[1]Forward Ranks'!I273</f>
        <v>0.26637554585152839</v>
      </c>
      <c r="D273" s="1">
        <f>'[1]Forward Ranks'!J273</f>
        <v>0.24890829694323144</v>
      </c>
      <c r="E273" s="1">
        <f>'[1]Forward Ranks'!K273</f>
        <v>0.58296943231441045</v>
      </c>
      <c r="F273" s="1">
        <f>'[1]Forward Ranks'!L273</f>
        <v>0.31659388646288211</v>
      </c>
      <c r="G273">
        <f>'[1]Forward Ranks'!N273</f>
        <v>0</v>
      </c>
      <c r="H273" s="1">
        <f>'[1]Forward Ranks'!S273</f>
        <v>0.37991266375545851</v>
      </c>
      <c r="I273" s="1">
        <f>'[1]Forward Ranks'!T273</f>
        <v>0.94759825327510916</v>
      </c>
      <c r="J273" s="1">
        <f>'[1]Forward Ranks'!U273</f>
        <v>0.90829694323144106</v>
      </c>
      <c r="K273" s="1">
        <f>'[1]Forward Ranks'!V273</f>
        <v>0.84061135371179041</v>
      </c>
      <c r="L273">
        <f>'[1]Forward Ranks'!X273</f>
        <v>0</v>
      </c>
      <c r="M273" s="1">
        <f>'[1]Forward Ranks'!AC273</f>
        <v>0.18558951965065501</v>
      </c>
      <c r="N273" s="1">
        <f>'[1]Forward Ranks'!AD273</f>
        <v>0.57423580786026196</v>
      </c>
      <c r="O273" s="1">
        <f>'[1]Forward Ranks'!AE273</f>
        <v>0.56113537117903933</v>
      </c>
      <c r="P273" s="1">
        <f>'[1]Forward Ranks'!AF273</f>
        <v>0.5873362445414847</v>
      </c>
      <c r="Q273">
        <f>'[1]Forward Ranks'!AH273</f>
        <v>0</v>
      </c>
      <c r="R273" s="1">
        <f>'[1]Forward Ranks'!AM273</f>
        <v>0.69213973799126638</v>
      </c>
      <c r="S273" s="1">
        <f>'[1]Forward Ranks'!AN273</f>
        <v>0.61353711790393017</v>
      </c>
      <c r="T273" s="1">
        <f>'[1]Forward Ranks'!AO273</f>
        <v>0.69868995633187769</v>
      </c>
      <c r="U273" s="1">
        <f>'[1]Forward Ranks'!AP273</f>
        <v>0.69650655021834063</v>
      </c>
      <c r="V273">
        <f>'[1]Forward Ranks'!AR273</f>
        <v>0</v>
      </c>
      <c r="W273" s="1">
        <f>'[1]Forward Ranks'!AW273</f>
        <v>0.35152838427947597</v>
      </c>
      <c r="X273" s="1">
        <f>'[1]Forward Ranks'!AX273</f>
        <v>0.81877729257641918</v>
      </c>
      <c r="Y273" s="1">
        <f>'[1]Forward Ranks'!AY273</f>
        <v>0.81222707423580787</v>
      </c>
      <c r="Z273" s="1">
        <f>'[1]Forward Ranks'!AZ273</f>
        <v>0.81004366812227069</v>
      </c>
      <c r="AA273">
        <f>'[1]Forward Ranks'!BB273</f>
        <v>0</v>
      </c>
      <c r="AB273" s="1">
        <f>'[1]Forward Ranks'!BG273</f>
        <v>0.60698689956331875</v>
      </c>
      <c r="AC273" s="1">
        <f>'[1]Forward Ranks'!BH273</f>
        <v>0.23362445414847161</v>
      </c>
      <c r="AD273" s="1">
        <f>'[1]Forward Ranks'!BI273</f>
        <v>0.8253275109170306</v>
      </c>
      <c r="AE273" s="1">
        <f>'[1]Forward Ranks'!BJ273</f>
        <v>0.8493449781659389</v>
      </c>
      <c r="AF273">
        <f>'[1]Forward Ranks'!BL273</f>
        <v>0</v>
      </c>
      <c r="AG273" s="1">
        <f>'[1]Forward Ranks'!BQ273</f>
        <v>0.19213973799126638</v>
      </c>
      <c r="AH273" s="1">
        <f>'[1]Forward Ranks'!BR273</f>
        <v>0.34279475982532753</v>
      </c>
      <c r="AI273" s="1">
        <f>'[1]Forward Ranks'!BS273</f>
        <v>0.59606986899563319</v>
      </c>
      <c r="AJ273" s="1">
        <f>'[1]Forward Ranks'!BT273</f>
        <v>0.39082969432314413</v>
      </c>
      <c r="AL273" s="2">
        <f>'[1]Forward Ranks'!BX273</f>
        <v>0.53275109170305679</v>
      </c>
      <c r="AN273" t="str">
        <f>'[1]Forward Ranks'!B273</f>
        <v>ARI</v>
      </c>
      <c r="AO273">
        <f>'[1]F on ice'!E273</f>
        <v>64</v>
      </c>
      <c r="AP273" s="2">
        <f>'[1]Impact Score Math'!E273</f>
        <v>0.6232464929859719</v>
      </c>
      <c r="AQ273">
        <f>'[1]Impact Score Math'!G273</f>
        <v>189</v>
      </c>
      <c r="AT273" s="1">
        <f>'[1]Forward Ranks'!CJ273</f>
        <v>0.55458515283842791</v>
      </c>
      <c r="AU273" s="1">
        <f>'[1]Forward Ranks'!CK273</f>
        <v>0.38646288209606988</v>
      </c>
    </row>
    <row r="274" spans="1:47" x14ac:dyDescent="0.3">
      <c r="A274" t="str">
        <f>'[1]Forward Ranks'!A274</f>
        <v>Mats Zuccarello</v>
      </c>
      <c r="B274">
        <f>'[1]Forward Ranks'!D274</f>
        <v>0</v>
      </c>
      <c r="C274" s="1">
        <f>'[1]Forward Ranks'!I274</f>
        <v>0.72707423580786024</v>
      </c>
      <c r="D274" s="1">
        <f>'[1]Forward Ranks'!J274</f>
        <v>0.39956331877729256</v>
      </c>
      <c r="E274" s="1">
        <f>'[1]Forward Ranks'!K274</f>
        <v>0.32096069868995636</v>
      </c>
      <c r="F274" s="1">
        <f>'[1]Forward Ranks'!L274</f>
        <v>0.48689956331877732</v>
      </c>
      <c r="G274">
        <f>'[1]Forward Ranks'!N274</f>
        <v>0</v>
      </c>
      <c r="H274" s="1">
        <f>'[1]Forward Ranks'!S274</f>
        <v>0.23144104803493451</v>
      </c>
      <c r="I274" s="1">
        <f>'[1]Forward Ranks'!T274</f>
        <v>0.63755458515283847</v>
      </c>
      <c r="J274" s="1">
        <f>'[1]Forward Ranks'!U274</f>
        <v>0.88209606986899558</v>
      </c>
      <c r="K274" s="1">
        <f>'[1]Forward Ranks'!V274</f>
        <v>0.4606986899563319</v>
      </c>
      <c r="L274">
        <f>'[1]Forward Ranks'!X274</f>
        <v>0</v>
      </c>
      <c r="M274" s="1">
        <f>'[1]Forward Ranks'!AC274</f>
        <v>0.58515283842794763</v>
      </c>
      <c r="N274" s="1">
        <f>'[1]Forward Ranks'!AD274</f>
        <v>0.79257641921397382</v>
      </c>
      <c r="O274" s="1">
        <f>'[1]Forward Ranks'!AE274</f>
        <v>0.66812227074235808</v>
      </c>
      <c r="P274" s="1">
        <f>'[1]Forward Ranks'!AF274</f>
        <v>0.50436681222707425</v>
      </c>
      <c r="Q274">
        <f>'[1]Forward Ranks'!AH274</f>
        <v>0</v>
      </c>
      <c r="R274" s="1">
        <f>'[1]Forward Ranks'!AM274</f>
        <v>0.81877729257641918</v>
      </c>
      <c r="S274" s="1">
        <f>'[1]Forward Ranks'!AN274</f>
        <v>0.54803493449781659</v>
      </c>
      <c r="T274" s="1">
        <f>'[1]Forward Ranks'!AO274</f>
        <v>0.53056768558951961</v>
      </c>
      <c r="U274" s="1">
        <f>'[1]Forward Ranks'!AP274</f>
        <v>0.67248908296943233</v>
      </c>
      <c r="V274">
        <f>'[1]Forward Ranks'!AR274</f>
        <v>0</v>
      </c>
      <c r="W274" s="1">
        <f>'[1]Forward Ranks'!AW274</f>
        <v>0.57205240174672489</v>
      </c>
      <c r="X274" s="1">
        <f>'[1]Forward Ranks'!AX274</f>
        <v>0.44541484716157204</v>
      </c>
      <c r="Y274" s="1">
        <f>'[1]Forward Ranks'!AY274</f>
        <v>0.34716157205240172</v>
      </c>
      <c r="Z274" s="1">
        <f>'[1]Forward Ranks'!AZ274</f>
        <v>0.21179039301310043</v>
      </c>
      <c r="AA274">
        <f>'[1]Forward Ranks'!BB274</f>
        <v>0</v>
      </c>
      <c r="AB274" s="1">
        <f>'[1]Forward Ranks'!BG274</f>
        <v>0.95633187772925765</v>
      </c>
      <c r="AC274" s="1">
        <f>'[1]Forward Ranks'!BH274</f>
        <v>0.98689956331877726</v>
      </c>
      <c r="AD274" s="1">
        <f>'[1]Forward Ranks'!BI274</f>
        <v>0.2576419213973799</v>
      </c>
      <c r="AE274" s="1">
        <f>'[1]Forward Ranks'!BJ274</f>
        <v>0.42794759825327511</v>
      </c>
      <c r="AF274">
        <f>'[1]Forward Ranks'!BL274</f>
        <v>0</v>
      </c>
      <c r="AG274" s="1">
        <f>'[1]Forward Ranks'!BQ274</f>
        <v>0.70524017467248912</v>
      </c>
      <c r="AH274" s="1">
        <f>'[1]Forward Ranks'!BR274</f>
        <v>0.5633187772925764</v>
      </c>
      <c r="AI274" s="1">
        <f>'[1]Forward Ranks'!BS274</f>
        <v>0.47816593886462883</v>
      </c>
      <c r="AJ274" s="1">
        <f>'[1]Forward Ranks'!BT274</f>
        <v>0.51091703056768556</v>
      </c>
      <c r="AL274" s="2">
        <f>'[1]Forward Ranks'!BX274</f>
        <v>0.611353711790393</v>
      </c>
      <c r="AN274" t="str">
        <f>'[1]Forward Ranks'!B274</f>
        <v>MIN</v>
      </c>
      <c r="AO274">
        <f>'[1]F on ice'!E274</f>
        <v>78</v>
      </c>
      <c r="AP274" s="2">
        <f>'[1]Impact Score Math'!E274</f>
        <v>0.78957915831663328</v>
      </c>
      <c r="AQ274">
        <f>'[1]Impact Score Math'!G274</f>
        <v>106</v>
      </c>
      <c r="AT274" s="1">
        <f>'[1]Forward Ranks'!CJ274</f>
        <v>0.66593886462882101</v>
      </c>
      <c r="AU274" s="1">
        <f>'[1]Forward Ranks'!CK274</f>
        <v>0.54366812227074235</v>
      </c>
    </row>
    <row r="275" spans="1:47" x14ac:dyDescent="0.3">
      <c r="A275" t="str">
        <f>'[1]Forward Ranks'!A275</f>
        <v>Matt Boldy</v>
      </c>
      <c r="B275">
        <f>'[1]Forward Ranks'!D275</f>
        <v>0</v>
      </c>
      <c r="C275" s="1">
        <f>'[1]Forward Ranks'!I275</f>
        <v>0.67248908296943233</v>
      </c>
      <c r="D275" s="1">
        <f>'[1]Forward Ranks'!J275</f>
        <v>0.40611353711790393</v>
      </c>
      <c r="E275" s="1">
        <f>'[1]Forward Ranks'!K275</f>
        <v>0.33842794759825329</v>
      </c>
      <c r="F275" s="1">
        <f>'[1]Forward Ranks'!L275</f>
        <v>0.42358078602620086</v>
      </c>
      <c r="G275">
        <f>'[1]Forward Ranks'!N275</f>
        <v>0</v>
      </c>
      <c r="H275" s="1">
        <f>'[1]Forward Ranks'!S275</f>
        <v>0.86244541484716153</v>
      </c>
      <c r="I275" s="1">
        <f>'[1]Forward Ranks'!T275</f>
        <v>8.0786026200873357E-2</v>
      </c>
      <c r="J275" s="1">
        <f>'[1]Forward Ranks'!U275</f>
        <v>7.2052401746724892E-2</v>
      </c>
      <c r="K275" s="1">
        <f>'[1]Forward Ranks'!V275</f>
        <v>0.47816593886462883</v>
      </c>
      <c r="L275">
        <f>'[1]Forward Ranks'!X275</f>
        <v>0</v>
      </c>
      <c r="M275" s="1">
        <f>'[1]Forward Ranks'!AC275</f>
        <v>0.61790393013100442</v>
      </c>
      <c r="N275" s="1">
        <f>'[1]Forward Ranks'!AD275</f>
        <v>0.93013100436681218</v>
      </c>
      <c r="O275" s="1">
        <f>'[1]Forward Ranks'!AE275</f>
        <v>0.90611353711790388</v>
      </c>
      <c r="P275" s="1">
        <f>'[1]Forward Ranks'!AF275</f>
        <v>0.85371179039301315</v>
      </c>
      <c r="Q275">
        <f>'[1]Forward Ranks'!AH275</f>
        <v>0</v>
      </c>
      <c r="R275" s="1">
        <f>'[1]Forward Ranks'!AM275</f>
        <v>0.72925764192139741</v>
      </c>
      <c r="S275" s="1">
        <f>'[1]Forward Ranks'!AN275</f>
        <v>0.58951965065502188</v>
      </c>
      <c r="T275" s="1">
        <f>'[1]Forward Ranks'!AO275</f>
        <v>0.55676855895196509</v>
      </c>
      <c r="U275" s="1">
        <f>'[1]Forward Ranks'!AP275</f>
        <v>0.61572052401746724</v>
      </c>
      <c r="V275">
        <f>'[1]Forward Ranks'!AR275</f>
        <v>0</v>
      </c>
      <c r="W275" s="1">
        <f>'[1]Forward Ranks'!AW275</f>
        <v>0.64847161572052403</v>
      </c>
      <c r="X275" s="1">
        <f>'[1]Forward Ranks'!AX275</f>
        <v>0.75109170305676853</v>
      </c>
      <c r="Y275" s="1">
        <f>'[1]Forward Ranks'!AY275</f>
        <v>0.74672489082969429</v>
      </c>
      <c r="Z275" s="1">
        <f>'[1]Forward Ranks'!AZ275</f>
        <v>0.77947598253275108</v>
      </c>
      <c r="AA275">
        <f>'[1]Forward Ranks'!BB275</f>
        <v>0</v>
      </c>
      <c r="AB275" s="1">
        <f>'[1]Forward Ranks'!BG275</f>
        <v>0.72925764192139741</v>
      </c>
      <c r="AC275" s="1">
        <f>'[1]Forward Ranks'!BH275</f>
        <v>0.47379912663755458</v>
      </c>
      <c r="AD275" s="1">
        <f>'[1]Forward Ranks'!BI275</f>
        <v>0.2816593886462882</v>
      </c>
      <c r="AE275" s="1">
        <f>'[1]Forward Ranks'!BJ275</f>
        <v>0.67685589519650657</v>
      </c>
      <c r="AF275">
        <f>'[1]Forward Ranks'!BL275</f>
        <v>0</v>
      </c>
      <c r="AG275" s="1">
        <f>'[1]Forward Ranks'!BQ275</f>
        <v>0.67903930131004364</v>
      </c>
      <c r="AH275" s="1">
        <f>'[1]Forward Ranks'!BR275</f>
        <v>0.71834061135371174</v>
      </c>
      <c r="AI275" s="1">
        <f>'[1]Forward Ranks'!BS275</f>
        <v>0.71615720524017468</v>
      </c>
      <c r="AJ275" s="1">
        <f>'[1]Forward Ranks'!BT275</f>
        <v>0.68995633187772931</v>
      </c>
      <c r="AL275" s="2">
        <f>'[1]Forward Ranks'!BX275</f>
        <v>0.74235807860262004</v>
      </c>
      <c r="AN275" t="str">
        <f>'[1]Forward Ranks'!B275</f>
        <v>MIN</v>
      </c>
      <c r="AO275">
        <f>'[1]F on ice'!E275</f>
        <v>81</v>
      </c>
      <c r="AP275" s="2">
        <f>'[1]Impact Score Math'!E275</f>
        <v>0.79158316633266534</v>
      </c>
      <c r="AQ275">
        <f>'[1]Impact Score Math'!G275</f>
        <v>105</v>
      </c>
      <c r="AT275" s="1">
        <f>'[1]Forward Ranks'!CJ275</f>
        <v>0.36899563318777295</v>
      </c>
      <c r="AU275" s="1">
        <f>'[1]Forward Ranks'!CK275</f>
        <v>0.42358078602620086</v>
      </c>
    </row>
    <row r="276" spans="1:47" x14ac:dyDescent="0.3">
      <c r="A276" t="str">
        <f>'[1]Forward Ranks'!A276</f>
        <v>Matt Duchene</v>
      </c>
      <c r="B276">
        <f>'[1]Forward Ranks'!D276</f>
        <v>0</v>
      </c>
      <c r="C276" s="1">
        <f>'[1]Forward Ranks'!I276</f>
        <v>0.6746724890829694</v>
      </c>
      <c r="D276" s="1">
        <f>'[1]Forward Ranks'!J276</f>
        <v>0.54585152838427953</v>
      </c>
      <c r="E276" s="1">
        <f>'[1]Forward Ranks'!K276</f>
        <v>0.79475982532751088</v>
      </c>
      <c r="F276" s="1">
        <f>'[1]Forward Ranks'!L276</f>
        <v>0.58296943231441045</v>
      </c>
      <c r="G276">
        <f>'[1]Forward Ranks'!N276</f>
        <v>0</v>
      </c>
      <c r="H276" s="1">
        <f>'[1]Forward Ranks'!S276</f>
        <v>0.5873362445414847</v>
      </c>
      <c r="I276" s="1">
        <f>'[1]Forward Ranks'!T276</f>
        <v>0.8253275109170306</v>
      </c>
      <c r="J276" s="1">
        <f>'[1]Forward Ranks'!U276</f>
        <v>0.64847161572052403</v>
      </c>
      <c r="K276" s="1">
        <f>'[1]Forward Ranks'!V276</f>
        <v>0.77510917030567683</v>
      </c>
      <c r="L276">
        <f>'[1]Forward Ranks'!X276</f>
        <v>0</v>
      </c>
      <c r="M276" s="1">
        <f>'[1]Forward Ranks'!AC276</f>
        <v>0.13537117903930132</v>
      </c>
      <c r="N276" s="1">
        <f>'[1]Forward Ranks'!AD276</f>
        <v>0.13973799126637554</v>
      </c>
      <c r="O276" s="1">
        <f>'[1]Forward Ranks'!AE276</f>
        <v>0.5</v>
      </c>
      <c r="P276" s="1">
        <f>'[1]Forward Ranks'!AF276</f>
        <v>0.15283842794759825</v>
      </c>
      <c r="Q276">
        <f>'[1]Forward Ranks'!AH276</f>
        <v>0</v>
      </c>
      <c r="R276" s="1">
        <f>'[1]Forward Ranks'!AM276</f>
        <v>0.78820960698689957</v>
      </c>
      <c r="S276" s="1">
        <f>'[1]Forward Ranks'!AN276</f>
        <v>0.53493449781659386</v>
      </c>
      <c r="T276" s="1">
        <f>'[1]Forward Ranks'!AO276</f>
        <v>0.92139737991266379</v>
      </c>
      <c r="U276" s="1">
        <f>'[1]Forward Ranks'!AP276</f>
        <v>0.55021834061135366</v>
      </c>
      <c r="V276">
        <f>'[1]Forward Ranks'!AR276</f>
        <v>0</v>
      </c>
      <c r="W276" s="1">
        <f>'[1]Forward Ranks'!AW276</f>
        <v>0.24454148471615719</v>
      </c>
      <c r="X276" s="1">
        <f>'[1]Forward Ranks'!AX276</f>
        <v>0.13973799126637554</v>
      </c>
      <c r="Y276" s="1">
        <f>'[1]Forward Ranks'!AY276</f>
        <v>0.33406113537117904</v>
      </c>
      <c r="Z276" s="1">
        <f>'[1]Forward Ranks'!AZ276</f>
        <v>0.26637554585152839</v>
      </c>
      <c r="AA276">
        <f>'[1]Forward Ranks'!BB276</f>
        <v>0</v>
      </c>
      <c r="AB276" s="1">
        <f>'[1]Forward Ranks'!BG276</f>
        <v>0.89082969432314407</v>
      </c>
      <c r="AC276" s="1">
        <f>'[1]Forward Ranks'!BH276</f>
        <v>0.84497816593886466</v>
      </c>
      <c r="AD276" s="1">
        <f>'[1]Forward Ranks'!BI276</f>
        <v>0.84279475982532748</v>
      </c>
      <c r="AE276" s="1">
        <f>'[1]Forward Ranks'!BJ276</f>
        <v>0.82969432314410485</v>
      </c>
      <c r="AF276">
        <f>'[1]Forward Ranks'!BL276</f>
        <v>0</v>
      </c>
      <c r="AG276" s="1">
        <f>'[1]Forward Ranks'!BQ276</f>
        <v>0.388646288209607</v>
      </c>
      <c r="AH276" s="1">
        <f>'[1]Forward Ranks'!BR276</f>
        <v>0.32314410480349343</v>
      </c>
      <c r="AI276" s="1">
        <f>'[1]Forward Ranks'!BS276</f>
        <v>0.72052401746724892</v>
      </c>
      <c r="AJ276" s="1">
        <f>'[1]Forward Ranks'!BT276</f>
        <v>0.34497816593886466</v>
      </c>
      <c r="AL276" s="2">
        <f>'[1]Forward Ranks'!BX276</f>
        <v>0.49781659388646288</v>
      </c>
      <c r="AN276" t="str">
        <f>'[1]Forward Ranks'!B276</f>
        <v>NSH</v>
      </c>
      <c r="AO276">
        <f>'[1]F on ice'!E276</f>
        <v>71</v>
      </c>
      <c r="AP276" s="2">
        <f>'[1]Impact Score Math'!E276</f>
        <v>0.65931863727454909</v>
      </c>
      <c r="AQ276">
        <f>'[1]Impact Score Math'!G276</f>
        <v>171</v>
      </c>
      <c r="AT276" s="1">
        <f>'[1]Forward Ranks'!CJ276</f>
        <v>0.75327510917030571</v>
      </c>
      <c r="AU276" s="1">
        <f>'[1]Forward Ranks'!CK276</f>
        <v>0.36244541484716158</v>
      </c>
    </row>
    <row r="277" spans="1:47" x14ac:dyDescent="0.3">
      <c r="A277" t="str">
        <f>'[1]Forward Ranks'!A277</f>
        <v>Matt Martin</v>
      </c>
      <c r="B277">
        <f>'[1]Forward Ranks'!D277</f>
        <v>0</v>
      </c>
      <c r="C277" s="1">
        <f>'[1]Forward Ranks'!I277</f>
        <v>0.29912663755458513</v>
      </c>
      <c r="D277" s="1">
        <f>'[1]Forward Ranks'!J277</f>
        <v>0.10480349344978165</v>
      </c>
      <c r="E277" s="1">
        <f>'[1]Forward Ranks'!K277</f>
        <v>0.20087336244541484</v>
      </c>
      <c r="F277" s="1">
        <f>'[1]Forward Ranks'!L277</f>
        <v>0.10043668122270742</v>
      </c>
      <c r="G277">
        <f>'[1]Forward Ranks'!N277</f>
        <v>0</v>
      </c>
      <c r="H277" s="1">
        <f>'[1]Forward Ranks'!S277</f>
        <v>0.25545851528384278</v>
      </c>
      <c r="I277" s="1">
        <f>'[1]Forward Ranks'!T277</f>
        <v>0.31877729257641924</v>
      </c>
      <c r="J277" s="1">
        <f>'[1]Forward Ranks'!U277</f>
        <v>0.41048034934497818</v>
      </c>
      <c r="K277" s="1">
        <f>'[1]Forward Ranks'!V277</f>
        <v>0.21397379912663755</v>
      </c>
      <c r="L277">
        <f>'[1]Forward Ranks'!X277</f>
        <v>0</v>
      </c>
      <c r="M277" s="1">
        <f>'[1]Forward Ranks'!AC277</f>
        <v>0.80131004366812231</v>
      </c>
      <c r="N277" s="1">
        <f>'[1]Forward Ranks'!AD277</f>
        <v>0.34279475982532753</v>
      </c>
      <c r="O277" s="1">
        <f>'[1]Forward Ranks'!AE277</f>
        <v>0.87117903930131002</v>
      </c>
      <c r="P277" s="1">
        <f>'[1]Forward Ranks'!AF277</f>
        <v>0.47816593886462883</v>
      </c>
      <c r="Q277">
        <f>'[1]Forward Ranks'!AH277</f>
        <v>0</v>
      </c>
      <c r="R277" s="1">
        <f>'[1]Forward Ranks'!AM277</f>
        <v>0.15502183406113537</v>
      </c>
      <c r="S277" s="1">
        <f>'[1]Forward Ranks'!AN277</f>
        <v>1.9650655021834062E-2</v>
      </c>
      <c r="T277" s="1">
        <f>'[1]Forward Ranks'!AO277</f>
        <v>0.12882096069868995</v>
      </c>
      <c r="U277" s="1">
        <f>'[1]Forward Ranks'!AP277</f>
        <v>4.5851528384279479E-2</v>
      </c>
      <c r="V277">
        <f>'[1]Forward Ranks'!AR277</f>
        <v>0</v>
      </c>
      <c r="W277" s="1">
        <f>'[1]Forward Ranks'!AW277</f>
        <v>0.95633187772925765</v>
      </c>
      <c r="X277" s="1">
        <f>'[1]Forward Ranks'!AX277</f>
        <v>0.53493449781659386</v>
      </c>
      <c r="Y277" s="1">
        <f>'[1]Forward Ranks'!AY277</f>
        <v>0.72052401746724892</v>
      </c>
      <c r="Z277" s="1">
        <f>'[1]Forward Ranks'!AZ277</f>
        <v>0.67903930131004364</v>
      </c>
      <c r="AA277">
        <f>'[1]Forward Ranks'!BB277</f>
        <v>0</v>
      </c>
      <c r="AB277" s="1">
        <f>'[1]Forward Ranks'!BG277</f>
        <v>0.26855895196506552</v>
      </c>
      <c r="AC277" s="1">
        <f>'[1]Forward Ranks'!BH277</f>
        <v>6.768558951965066E-2</v>
      </c>
      <c r="AD277" s="1">
        <f>'[1]Forward Ranks'!BI277</f>
        <v>0.2205240174672489</v>
      </c>
      <c r="AE277" s="1">
        <f>'[1]Forward Ranks'!BJ277</f>
        <v>0.50436681222707425</v>
      </c>
      <c r="AF277">
        <f>'[1]Forward Ranks'!BL277</f>
        <v>0</v>
      </c>
      <c r="AG277" s="1">
        <f>'[1]Forward Ranks'!BQ277</f>
        <v>0.50873362445414849</v>
      </c>
      <c r="AH277" s="1">
        <f>'[1]Forward Ranks'!BR277</f>
        <v>0.1331877729257642</v>
      </c>
      <c r="AI277" s="1">
        <f>'[1]Forward Ranks'!BS277</f>
        <v>0.48471615720524019</v>
      </c>
      <c r="AJ277" s="1">
        <f>'[1]Forward Ranks'!BT277</f>
        <v>0.16812227074235808</v>
      </c>
      <c r="AL277" s="2">
        <f>'[1]Forward Ranks'!BX277</f>
        <v>0.2576419213973799</v>
      </c>
      <c r="AN277" t="str">
        <f>'[1]Forward Ranks'!B277</f>
        <v>NYI</v>
      </c>
      <c r="AO277">
        <f>'[1]F on ice'!E277</f>
        <v>81</v>
      </c>
      <c r="AP277" s="2">
        <f>'[1]Impact Score Math'!E277</f>
        <v>0.29859719438877758</v>
      </c>
      <c r="AQ277">
        <f>'[1]Impact Score Math'!G277</f>
        <v>351</v>
      </c>
      <c r="AT277" s="1">
        <f>'[1]Forward Ranks'!CJ277</f>
        <v>0.22925764192139739</v>
      </c>
      <c r="AU277" s="1">
        <f>'[1]Forward Ranks'!CK277</f>
        <v>0.74235807860262004</v>
      </c>
    </row>
    <row r="278" spans="1:47" x14ac:dyDescent="0.3">
      <c r="A278" t="str">
        <f>'[1]Forward Ranks'!A278</f>
        <v>Matt Nieto</v>
      </c>
      <c r="B278">
        <f>'[1]Forward Ranks'!D278</f>
        <v>0</v>
      </c>
      <c r="C278" s="1">
        <f>'[1]Forward Ranks'!I278</f>
        <v>0.35371179039301309</v>
      </c>
      <c r="D278" s="1">
        <f>'[1]Forward Ranks'!J278</f>
        <v>0.64192139737991272</v>
      </c>
      <c r="E278" s="1">
        <f>'[1]Forward Ranks'!K278</f>
        <v>0.54803493449781659</v>
      </c>
      <c r="F278" s="1">
        <f>'[1]Forward Ranks'!L278</f>
        <v>0.59825327510917026</v>
      </c>
      <c r="G278">
        <f>'[1]Forward Ranks'!N278</f>
        <v>0</v>
      </c>
      <c r="H278" s="1">
        <f>'[1]Forward Ranks'!S278</f>
        <v>0.61572052401746724</v>
      </c>
      <c r="I278" s="1">
        <f>'[1]Forward Ranks'!T278</f>
        <v>0.30786026200873362</v>
      </c>
      <c r="J278" s="1">
        <f>'[1]Forward Ranks'!U278</f>
        <v>0.15065502183406113</v>
      </c>
      <c r="K278" s="1">
        <f>'[1]Forward Ranks'!V278</f>
        <v>0.39082969432314413</v>
      </c>
      <c r="L278">
        <f>'[1]Forward Ranks'!X278</f>
        <v>0</v>
      </c>
      <c r="M278" s="1">
        <f>'[1]Forward Ranks'!AC278</f>
        <v>0.48689956331877732</v>
      </c>
      <c r="N278" s="1">
        <f>'[1]Forward Ranks'!AD278</f>
        <v>0.58515283842794763</v>
      </c>
      <c r="O278" s="1">
        <f>'[1]Forward Ranks'!AE278</f>
        <v>0.13973799126637554</v>
      </c>
      <c r="P278" s="1">
        <f>'[1]Forward Ranks'!AF278</f>
        <v>0.52838427947598254</v>
      </c>
      <c r="Q278">
        <f>'[1]Forward Ranks'!AH278</f>
        <v>0</v>
      </c>
      <c r="R278" s="1">
        <f>'[1]Forward Ranks'!AM278</f>
        <v>0.31004366812227074</v>
      </c>
      <c r="S278" s="1">
        <f>'[1]Forward Ranks'!AN278</f>
        <v>0.46943231441048033</v>
      </c>
      <c r="T278" s="1">
        <f>'[1]Forward Ranks'!AO278</f>
        <v>0.35807860262008734</v>
      </c>
      <c r="U278" s="1">
        <f>'[1]Forward Ranks'!AP278</f>
        <v>0.46724890829694321</v>
      </c>
      <c r="V278">
        <f>'[1]Forward Ranks'!AR278</f>
        <v>0</v>
      </c>
      <c r="W278" s="1">
        <f>'[1]Forward Ranks'!AW278</f>
        <v>0.37772925764192139</v>
      </c>
      <c r="X278" s="1">
        <f>'[1]Forward Ranks'!AX278</f>
        <v>0.42358078602620086</v>
      </c>
      <c r="Y278" s="1">
        <f>'[1]Forward Ranks'!AY278</f>
        <v>0.23144104803493451</v>
      </c>
      <c r="Z278" s="1">
        <f>'[1]Forward Ranks'!AZ278</f>
        <v>0.34061135371179041</v>
      </c>
      <c r="AA278">
        <f>'[1]Forward Ranks'!BB278</f>
        <v>0</v>
      </c>
      <c r="AB278" s="1">
        <f>'[1]Forward Ranks'!BG278</f>
        <v>0.29475982532751094</v>
      </c>
      <c r="AC278" s="1">
        <f>'[1]Forward Ranks'!BH278</f>
        <v>0.24672489082969432</v>
      </c>
      <c r="AD278" s="1">
        <f>'[1]Forward Ranks'!BI278</f>
        <v>0.6506550218340611</v>
      </c>
      <c r="AE278" s="1">
        <f>'[1]Forward Ranks'!BJ278</f>
        <v>0.23799126637554585</v>
      </c>
      <c r="AF278">
        <f>'[1]Forward Ranks'!BL278</f>
        <v>0</v>
      </c>
      <c r="AG278" s="1">
        <f>'[1]Forward Ranks'!BQ278</f>
        <v>0.38646288209606988</v>
      </c>
      <c r="AH278" s="1">
        <f>'[1]Forward Ranks'!BR278</f>
        <v>0.61790393013100442</v>
      </c>
      <c r="AI278" s="1">
        <f>'[1]Forward Ranks'!BS278</f>
        <v>0.27729257641921395</v>
      </c>
      <c r="AJ278" s="1">
        <f>'[1]Forward Ranks'!BT278</f>
        <v>0.5873362445414847</v>
      </c>
      <c r="AL278" s="2">
        <f>'[1]Forward Ranks'!BX278</f>
        <v>0.40174672489082969</v>
      </c>
      <c r="AN278" t="str">
        <f>'[1]Forward Ranks'!B278</f>
        <v>COL, S.J</v>
      </c>
      <c r="AO278">
        <f>'[1]F on ice'!E278</f>
        <v>81</v>
      </c>
      <c r="AP278" s="2">
        <f>'[1]Impact Score Math'!E278</f>
        <v>0.42284569138276551</v>
      </c>
      <c r="AQ278">
        <f>'[1]Impact Score Math'!G278</f>
        <v>289</v>
      </c>
      <c r="AT278" s="1">
        <f>'[1]Forward Ranks'!CJ278</f>
        <v>0.68995633187772931</v>
      </c>
      <c r="AU278" s="1">
        <f>'[1]Forward Ranks'!CK278</f>
        <v>0.19213973799126638</v>
      </c>
    </row>
    <row r="279" spans="1:47" x14ac:dyDescent="0.3">
      <c r="A279" t="str">
        <f>'[1]Forward Ranks'!A279</f>
        <v>Matthew Tkachuk</v>
      </c>
      <c r="B279">
        <f>'[1]Forward Ranks'!D279</f>
        <v>0</v>
      </c>
      <c r="C279" s="1">
        <f>'[1]Forward Ranks'!I279</f>
        <v>1</v>
      </c>
      <c r="D279" s="1">
        <f>'[1]Forward Ranks'!J279</f>
        <v>1</v>
      </c>
      <c r="E279" s="1">
        <f>'[1]Forward Ranks'!K279</f>
        <v>1</v>
      </c>
      <c r="F279" s="1">
        <f>'[1]Forward Ranks'!L279</f>
        <v>1</v>
      </c>
      <c r="G279">
        <f>'[1]Forward Ranks'!N279</f>
        <v>0</v>
      </c>
      <c r="H279" s="1">
        <f>'[1]Forward Ranks'!S279</f>
        <v>0.91048034934497812</v>
      </c>
      <c r="I279" s="1">
        <f>'[1]Forward Ranks'!T279</f>
        <v>0.99344978165938869</v>
      </c>
      <c r="J279" s="1">
        <f>'[1]Forward Ranks'!U279</f>
        <v>0.98034934497816595</v>
      </c>
      <c r="K279" s="1">
        <f>'[1]Forward Ranks'!V279</f>
        <v>0.99344978165938869</v>
      </c>
      <c r="L279">
        <f>'[1]Forward Ranks'!X279</f>
        <v>0</v>
      </c>
      <c r="M279" s="1">
        <f>'[1]Forward Ranks'!AC279</f>
        <v>0.66593886462882101</v>
      </c>
      <c r="N279" s="1">
        <f>'[1]Forward Ranks'!AD279</f>
        <v>0.27729257641921395</v>
      </c>
      <c r="O279" s="1">
        <f>'[1]Forward Ranks'!AE279</f>
        <v>0.39956331877729256</v>
      </c>
      <c r="P279" s="1">
        <f>'[1]Forward Ranks'!AF279</f>
        <v>0.42358078602620086</v>
      </c>
      <c r="Q279">
        <f>'[1]Forward Ranks'!AH279</f>
        <v>0</v>
      </c>
      <c r="R279" s="1">
        <f>'[1]Forward Ranks'!AM279</f>
        <v>1</v>
      </c>
      <c r="S279" s="1">
        <f>'[1]Forward Ranks'!AN279</f>
        <v>1</v>
      </c>
      <c r="T279" s="1">
        <f>'[1]Forward Ranks'!AO279</f>
        <v>0.99781659388646293</v>
      </c>
      <c r="U279" s="1">
        <f>'[1]Forward Ranks'!AP279</f>
        <v>1</v>
      </c>
      <c r="V279">
        <f>'[1]Forward Ranks'!AR279</f>
        <v>0</v>
      </c>
      <c r="W279" s="1">
        <f>'[1]Forward Ranks'!AW279</f>
        <v>0.82314410480349343</v>
      </c>
      <c r="X279" s="1">
        <f>'[1]Forward Ranks'!AX279</f>
        <v>0.46506550218340609</v>
      </c>
      <c r="Y279" s="1">
        <f>'[1]Forward Ranks'!AY279</f>
        <v>0.388646288209607</v>
      </c>
      <c r="Z279" s="1">
        <f>'[1]Forward Ranks'!AZ279</f>
        <v>0.46288209606986902</v>
      </c>
      <c r="AA279">
        <f>'[1]Forward Ranks'!BB279</f>
        <v>0</v>
      </c>
      <c r="AB279" s="1">
        <f>'[1]Forward Ranks'!BG279</f>
        <v>0.90611353711790388</v>
      </c>
      <c r="AC279" s="1">
        <f>'[1]Forward Ranks'!BH279</f>
        <v>0.72052401746724892</v>
      </c>
      <c r="AD279" s="1">
        <f>'[1]Forward Ranks'!BI279</f>
        <v>0.88427947598253276</v>
      </c>
      <c r="AE279" s="1">
        <f>'[1]Forward Ranks'!BJ279</f>
        <v>0.73580786026200873</v>
      </c>
      <c r="AF279">
        <f>'[1]Forward Ranks'!BL279</f>
        <v>0</v>
      </c>
      <c r="AG279" s="1">
        <f>'[1]Forward Ranks'!BQ279</f>
        <v>0.98471615720524019</v>
      </c>
      <c r="AH279" s="1">
        <f>'[1]Forward Ranks'!BR279</f>
        <v>0.97379912663755464</v>
      </c>
      <c r="AI279" s="1">
        <f>'[1]Forward Ranks'!BS279</f>
        <v>0.96288209606986896</v>
      </c>
      <c r="AJ279" s="1">
        <f>'[1]Forward Ranks'!BT279</f>
        <v>0.98471615720524019</v>
      </c>
      <c r="AL279" s="2">
        <f>'[1]Forward Ranks'!BX279</f>
        <v>0.98471615720524019</v>
      </c>
      <c r="AN279" t="str">
        <f>'[1]Forward Ranks'!B279</f>
        <v>FLA</v>
      </c>
      <c r="AO279">
        <f>'[1]F on ice'!E279</f>
        <v>79</v>
      </c>
      <c r="AP279" s="2">
        <f>'[1]Impact Score Math'!E279</f>
        <v>0.9879759519038076</v>
      </c>
      <c r="AQ279">
        <f>'[1]Impact Score Math'!G279</f>
        <v>7</v>
      </c>
      <c r="AT279" s="1">
        <f>'[1]Forward Ranks'!CJ279</f>
        <v>0.1703056768558952</v>
      </c>
      <c r="AU279" s="1">
        <f>'[1]Forward Ranks'!CK279</f>
        <v>0.94759825327510916</v>
      </c>
    </row>
    <row r="280" spans="1:47" x14ac:dyDescent="0.3">
      <c r="A280" t="str">
        <f>'[1]Forward Ranks'!A280</f>
        <v>Mattias Janmark</v>
      </c>
      <c r="B280">
        <f>'[1]Forward Ranks'!D280</f>
        <v>0</v>
      </c>
      <c r="C280" s="1">
        <f>'[1]Forward Ranks'!I280</f>
        <v>0.15720524017467249</v>
      </c>
      <c r="D280" s="1">
        <f>'[1]Forward Ranks'!J280</f>
        <v>0.45633187772925765</v>
      </c>
      <c r="E280" s="1">
        <f>'[1]Forward Ranks'!K280</f>
        <v>0.32532751091703055</v>
      </c>
      <c r="F280" s="1">
        <f>'[1]Forward Ranks'!L280</f>
        <v>0.2576419213973799</v>
      </c>
      <c r="G280">
        <f>'[1]Forward Ranks'!N280</f>
        <v>0</v>
      </c>
      <c r="H280" s="1">
        <f>'[1]Forward Ranks'!S280</f>
        <v>0.1222707423580786</v>
      </c>
      <c r="I280" s="1">
        <f>'[1]Forward Ranks'!T280</f>
        <v>0.59606986899563319</v>
      </c>
      <c r="J280" s="1">
        <f>'[1]Forward Ranks'!U280</f>
        <v>0.64847161572052403</v>
      </c>
      <c r="K280" s="1">
        <f>'[1]Forward Ranks'!V280</f>
        <v>0.34497816593886466</v>
      </c>
      <c r="L280">
        <f>'[1]Forward Ranks'!X280</f>
        <v>0</v>
      </c>
      <c r="M280" s="1">
        <f>'[1]Forward Ranks'!AC280</f>
        <v>0.81877729257641918</v>
      </c>
      <c r="N280" s="1">
        <f>'[1]Forward Ranks'!AD280</f>
        <v>0.74454148471615722</v>
      </c>
      <c r="O280" s="1">
        <f>'[1]Forward Ranks'!AE280</f>
        <v>0.71179039301310043</v>
      </c>
      <c r="P280" s="1">
        <f>'[1]Forward Ranks'!AF280</f>
        <v>0.75109170305676853</v>
      </c>
      <c r="Q280">
        <f>'[1]Forward Ranks'!AH280</f>
        <v>0</v>
      </c>
      <c r="R280" s="1">
        <f>'[1]Forward Ranks'!AM280</f>
        <v>2.6200873362445413E-2</v>
      </c>
      <c r="S280" s="1">
        <f>'[1]Forward Ranks'!AN280</f>
        <v>7.4235807860262015E-2</v>
      </c>
      <c r="T280" s="1">
        <f>'[1]Forward Ranks'!AO280</f>
        <v>9.1703056768558958E-2</v>
      </c>
      <c r="U280" s="1">
        <f>'[1]Forward Ranks'!AP280</f>
        <v>2.6200873362445413E-2</v>
      </c>
      <c r="V280">
        <f>'[1]Forward Ranks'!AR280</f>
        <v>0</v>
      </c>
      <c r="W280" s="1">
        <f>'[1]Forward Ranks'!AW280</f>
        <v>0.6026200873362445</v>
      </c>
      <c r="X280" s="1">
        <f>'[1]Forward Ranks'!AX280</f>
        <v>0.34061135371179041</v>
      </c>
      <c r="Y280" s="1">
        <f>'[1]Forward Ranks'!AY280</f>
        <v>0.77074235807860259</v>
      </c>
      <c r="Z280" s="1">
        <f>'[1]Forward Ranks'!AZ280</f>
        <v>0.59825327510917026</v>
      </c>
      <c r="AA280">
        <f>'[1]Forward Ranks'!BB280</f>
        <v>0</v>
      </c>
      <c r="AB280" s="1">
        <f>'[1]Forward Ranks'!BG280</f>
        <v>0.53275109170305679</v>
      </c>
      <c r="AC280" s="1">
        <f>'[1]Forward Ranks'!BH280</f>
        <v>0.48471615720524019</v>
      </c>
      <c r="AD280" s="1">
        <f>'[1]Forward Ranks'!BI280</f>
        <v>0.45633187772925765</v>
      </c>
      <c r="AE280" s="1">
        <f>'[1]Forward Ranks'!BJ280</f>
        <v>0.59388646288209612</v>
      </c>
      <c r="AF280">
        <f>'[1]Forward Ranks'!BL280</f>
        <v>0</v>
      </c>
      <c r="AG280" s="1">
        <f>'[1]Forward Ranks'!BQ280</f>
        <v>0.40829694323144106</v>
      </c>
      <c r="AH280" s="1">
        <f>'[1]Forward Ranks'!BR280</f>
        <v>0.56986899563318782</v>
      </c>
      <c r="AI280" s="1">
        <f>'[1]Forward Ranks'!BS280</f>
        <v>0.48471615720524019</v>
      </c>
      <c r="AJ280" s="1">
        <f>'[1]Forward Ranks'!BT280</f>
        <v>0.4126637554585153</v>
      </c>
      <c r="AL280" s="2">
        <f>'[1]Forward Ranks'!BX280</f>
        <v>0.24672489082969432</v>
      </c>
      <c r="AN280" t="str">
        <f>'[1]Forward Ranks'!B280</f>
        <v>EDM</v>
      </c>
      <c r="AO280">
        <f>'[1]F on ice'!E280</f>
        <v>66</v>
      </c>
      <c r="AP280" s="2">
        <f>'[1]Impact Score Math'!E280</f>
        <v>0.35070140280561124</v>
      </c>
      <c r="AQ280">
        <f>'[1]Impact Score Math'!G280</f>
        <v>325</v>
      </c>
      <c r="AT280" s="1">
        <f>'[1]Forward Ranks'!CJ280</f>
        <v>0.27947598253275108</v>
      </c>
      <c r="AU280" s="1">
        <f>'[1]Forward Ranks'!CK280</f>
        <v>0.38646288209606988</v>
      </c>
    </row>
    <row r="281" spans="1:47" x14ac:dyDescent="0.3">
      <c r="A281" t="str">
        <f>'[1]Forward Ranks'!A281</f>
        <v>Matty Beniers</v>
      </c>
      <c r="B281">
        <f>'[1]Forward Ranks'!D281</f>
        <v>0</v>
      </c>
      <c r="C281" s="1">
        <f>'[1]Forward Ranks'!I281</f>
        <v>0.57860262008733621</v>
      </c>
      <c r="D281" s="1">
        <f>'[1]Forward Ranks'!J281</f>
        <v>0.23362445414847161</v>
      </c>
      <c r="E281" s="1">
        <f>'[1]Forward Ranks'!K281</f>
        <v>0.91921397379912662</v>
      </c>
      <c r="F281" s="1">
        <f>'[1]Forward Ranks'!L281</f>
        <v>0.4606986899563319</v>
      </c>
      <c r="G281">
        <f>'[1]Forward Ranks'!N281</f>
        <v>0</v>
      </c>
      <c r="H281" s="1">
        <f>'[1]Forward Ranks'!S281</f>
        <v>0.78820960698689957</v>
      </c>
      <c r="I281" s="1">
        <f>'[1]Forward Ranks'!T281</f>
        <v>0.78602620087336239</v>
      </c>
      <c r="J281" s="1">
        <f>'[1]Forward Ranks'!U281</f>
        <v>0.64847161572052403</v>
      </c>
      <c r="K281" s="1">
        <f>'[1]Forward Ranks'!V281</f>
        <v>0.84061135371179041</v>
      </c>
      <c r="L281">
        <f>'[1]Forward Ranks'!X281</f>
        <v>0</v>
      </c>
      <c r="M281" s="1">
        <f>'[1]Forward Ranks'!AC281</f>
        <v>0.72707423580786024</v>
      </c>
      <c r="N281" s="1">
        <f>'[1]Forward Ranks'!AD281</f>
        <v>0.79257641921397382</v>
      </c>
      <c r="O281" s="1">
        <f>'[1]Forward Ranks'!AE281</f>
        <v>0.66812227074235808</v>
      </c>
      <c r="P281" s="1">
        <f>'[1]Forward Ranks'!AF281</f>
        <v>0.83842794759825323</v>
      </c>
      <c r="Q281">
        <f>'[1]Forward Ranks'!AH281</f>
        <v>0</v>
      </c>
      <c r="R281" s="1">
        <f>'[1]Forward Ranks'!AM281</f>
        <v>0.43231441048034935</v>
      </c>
      <c r="S281" s="1">
        <f>'[1]Forward Ranks'!AN281</f>
        <v>0.40611353711790393</v>
      </c>
      <c r="T281" s="1">
        <f>'[1]Forward Ranks'!AO281</f>
        <v>0.74890829694323147</v>
      </c>
      <c r="U281" s="1">
        <f>'[1]Forward Ranks'!AP281</f>
        <v>0.5</v>
      </c>
      <c r="V281">
        <f>'[1]Forward Ranks'!AR281</f>
        <v>0</v>
      </c>
      <c r="W281" s="1">
        <f>'[1]Forward Ranks'!AW281</f>
        <v>0.23799126637554585</v>
      </c>
      <c r="X281" s="1">
        <f>'[1]Forward Ranks'!AX281</f>
        <v>0.56550218340611358</v>
      </c>
      <c r="Y281" s="1">
        <f>'[1]Forward Ranks'!AY281</f>
        <v>0.6026200873362445</v>
      </c>
      <c r="Z281" s="1">
        <f>'[1]Forward Ranks'!AZ281</f>
        <v>0.63100436681222705</v>
      </c>
      <c r="AA281">
        <f>'[1]Forward Ranks'!BB281</f>
        <v>0</v>
      </c>
      <c r="AB281" s="1">
        <f>'[1]Forward Ranks'!BG281</f>
        <v>0.81222707423580787</v>
      </c>
      <c r="AC281" s="1">
        <f>'[1]Forward Ranks'!BH281</f>
        <v>0.83842794759825323</v>
      </c>
      <c r="AD281" s="1">
        <f>'[1]Forward Ranks'!BI281</f>
        <v>0.96288209606986896</v>
      </c>
      <c r="AE281" s="1">
        <f>'[1]Forward Ranks'!BJ281</f>
        <v>0.91921397379912662</v>
      </c>
      <c r="AF281">
        <f>'[1]Forward Ranks'!BL281</f>
        <v>0</v>
      </c>
      <c r="AG281" s="1">
        <f>'[1]Forward Ranks'!BQ281</f>
        <v>0.66157205240174677</v>
      </c>
      <c r="AH281" s="1">
        <f>'[1]Forward Ranks'!BR281</f>
        <v>0.43013100436681223</v>
      </c>
      <c r="AI281" s="1">
        <f>'[1]Forward Ranks'!BS281</f>
        <v>0.90174672489082974</v>
      </c>
      <c r="AJ281" s="1">
        <f>'[1]Forward Ranks'!BT281</f>
        <v>0.70742358078602618</v>
      </c>
      <c r="AL281" s="2">
        <f>'[1]Forward Ranks'!BX281</f>
        <v>0.72489082969432317</v>
      </c>
      <c r="AN281" t="str">
        <f>'[1]Forward Ranks'!B281</f>
        <v>SEA</v>
      </c>
      <c r="AO281">
        <f>'[1]F on ice'!E281</f>
        <v>80</v>
      </c>
      <c r="AP281" s="2">
        <f>'[1]Impact Score Math'!E281</f>
        <v>0.80160320641282568</v>
      </c>
      <c r="AQ281">
        <f>'[1]Impact Score Math'!G281</f>
        <v>100</v>
      </c>
      <c r="AT281" s="1">
        <f>'[1]Forward Ranks'!CJ281</f>
        <v>0.99126637554585151</v>
      </c>
      <c r="AU281" s="1">
        <f>'[1]Forward Ranks'!CK281</f>
        <v>0.72707423580786024</v>
      </c>
    </row>
    <row r="282" spans="1:47" x14ac:dyDescent="0.3">
      <c r="A282" t="str">
        <f>'[1]Forward Ranks'!A282</f>
        <v>Max Comtois</v>
      </c>
      <c r="B282">
        <f>'[1]Forward Ranks'!D282</f>
        <v>0</v>
      </c>
      <c r="C282" s="1">
        <f>'[1]Forward Ranks'!I282</f>
        <v>0.2423580786026201</v>
      </c>
      <c r="D282" s="1">
        <f>'[1]Forward Ranks'!J282</f>
        <v>0.27510917030567683</v>
      </c>
      <c r="E282" s="1">
        <f>'[1]Forward Ranks'!K282</f>
        <v>0.36244541484716158</v>
      </c>
      <c r="F282" s="1">
        <f>'[1]Forward Ranks'!L282</f>
        <v>0.15283842794759825</v>
      </c>
      <c r="G282">
        <f>'[1]Forward Ranks'!N282</f>
        <v>0</v>
      </c>
      <c r="H282" s="1">
        <f>'[1]Forward Ranks'!S282</f>
        <v>0.53493449781659386</v>
      </c>
      <c r="I282" s="1">
        <f>'[1]Forward Ranks'!T282</f>
        <v>0.1703056768558952</v>
      </c>
      <c r="J282" s="1">
        <f>'[1]Forward Ranks'!U282</f>
        <v>0.26637554585152839</v>
      </c>
      <c r="K282" s="1">
        <f>'[1]Forward Ranks'!V282</f>
        <v>0.25327510917030566</v>
      </c>
      <c r="L282">
        <f>'[1]Forward Ranks'!X282</f>
        <v>0</v>
      </c>
      <c r="M282" s="1">
        <f>'[1]Forward Ranks'!AC282</f>
        <v>1.3100436681222707E-2</v>
      </c>
      <c r="N282" s="1">
        <f>'[1]Forward Ranks'!AD282</f>
        <v>3.4934497816593885E-2</v>
      </c>
      <c r="O282" s="1">
        <f>'[1]Forward Ranks'!AE282</f>
        <v>6.3318777292576414E-2</v>
      </c>
      <c r="P282" s="1">
        <f>'[1]Forward Ranks'!AF282</f>
        <v>2.6200873362445413E-2</v>
      </c>
      <c r="Q282">
        <f>'[1]Forward Ranks'!AH282</f>
        <v>0</v>
      </c>
      <c r="R282" s="1">
        <f>'[1]Forward Ranks'!AM282</f>
        <v>0.60043668122270744</v>
      </c>
      <c r="S282" s="1">
        <f>'[1]Forward Ranks'!AN282</f>
        <v>0.63973799126637554</v>
      </c>
      <c r="T282" s="1">
        <f>'[1]Forward Ranks'!AO282</f>
        <v>0.55021834061135366</v>
      </c>
      <c r="U282" s="1">
        <f>'[1]Forward Ranks'!AP282</f>
        <v>0.44541484716157204</v>
      </c>
      <c r="V282">
        <f>'[1]Forward Ranks'!AR282</f>
        <v>0</v>
      </c>
      <c r="W282" s="1">
        <f>'[1]Forward Ranks'!AW282</f>
        <v>0.34279475982532753</v>
      </c>
      <c r="X282" s="1">
        <f>'[1]Forward Ranks'!AX282</f>
        <v>0.72925764192139741</v>
      </c>
      <c r="Y282" s="1">
        <f>'[1]Forward Ranks'!AY282</f>
        <v>0.37117903930131002</v>
      </c>
      <c r="Z282" s="1">
        <f>'[1]Forward Ranks'!AZ282</f>
        <v>0.53493449781659386</v>
      </c>
      <c r="AA282">
        <f>'[1]Forward Ranks'!BB282</f>
        <v>0</v>
      </c>
      <c r="AB282" s="1">
        <f>'[1]Forward Ranks'!BG282</f>
        <v>0.54803493449781659</v>
      </c>
      <c r="AC282" s="1">
        <f>'[1]Forward Ranks'!BH282</f>
        <v>0.18558951965065501</v>
      </c>
      <c r="AD282" s="1">
        <f>'[1]Forward Ranks'!BI282</f>
        <v>0.36462882096069871</v>
      </c>
      <c r="AE282" s="1">
        <f>'[1]Forward Ranks'!BJ282</f>
        <v>0.33187772925764192</v>
      </c>
      <c r="AF282">
        <f>'[1]Forward Ranks'!BL282</f>
        <v>0</v>
      </c>
      <c r="AG282" s="1">
        <f>'[1]Forward Ranks'!BQ282</f>
        <v>4.5851528384279479E-2</v>
      </c>
      <c r="AH282" s="1">
        <f>'[1]Forward Ranks'!BR282</f>
        <v>8.296943231441048E-2</v>
      </c>
      <c r="AI282" s="1">
        <f>'[1]Forward Ranks'!BS282</f>
        <v>0.13100436681222707</v>
      </c>
      <c r="AJ282" s="1">
        <f>'[1]Forward Ranks'!BT282</f>
        <v>3.4934497816593885E-2</v>
      </c>
      <c r="AL282" s="2">
        <f>'[1]Forward Ranks'!BX282</f>
        <v>0.13100436681222707</v>
      </c>
      <c r="AN282" t="str">
        <f>'[1]Forward Ranks'!B282</f>
        <v>ANA</v>
      </c>
      <c r="AO282">
        <f>'[1]F on ice'!E282</f>
        <v>64</v>
      </c>
      <c r="AP282" s="2">
        <f>'[1]Impact Score Math'!E282</f>
        <v>0.24048096192384769</v>
      </c>
      <c r="AQ282">
        <f>'[1]Impact Score Math'!G282</f>
        <v>380</v>
      </c>
      <c r="AT282" s="1">
        <f>'[1]Forward Ranks'!CJ282</f>
        <v>0.1222707423580786</v>
      </c>
      <c r="AU282" s="1">
        <f>'[1]Forward Ranks'!CK282</f>
        <v>0.86681222707423577</v>
      </c>
    </row>
    <row r="283" spans="1:47" x14ac:dyDescent="0.3">
      <c r="A283" t="str">
        <f>'[1]Forward Ranks'!A283</f>
        <v>Max Domi</v>
      </c>
      <c r="B283">
        <f>'[1]Forward Ranks'!D283</f>
        <v>0</v>
      </c>
      <c r="C283" s="1">
        <f>'[1]Forward Ranks'!I283</f>
        <v>0.33187772925764192</v>
      </c>
      <c r="D283" s="1">
        <f>'[1]Forward Ranks'!J283</f>
        <v>0.38209606986899564</v>
      </c>
      <c r="E283" s="1">
        <f>'[1]Forward Ranks'!K283</f>
        <v>0.4606986899563319</v>
      </c>
      <c r="F283" s="1">
        <f>'[1]Forward Ranks'!L283</f>
        <v>0.31659388646288211</v>
      </c>
      <c r="G283">
        <f>'[1]Forward Ranks'!N283</f>
        <v>0</v>
      </c>
      <c r="H283" s="1">
        <f>'[1]Forward Ranks'!S283</f>
        <v>0.1222707423580786</v>
      </c>
      <c r="I283" s="1">
        <f>'[1]Forward Ranks'!T283</f>
        <v>0.79912663755458513</v>
      </c>
      <c r="J283" s="1">
        <f>'[1]Forward Ranks'!U283</f>
        <v>0.8733624454148472</v>
      </c>
      <c r="K283" s="1">
        <f>'[1]Forward Ranks'!V283</f>
        <v>0.53711790393013104</v>
      </c>
      <c r="L283">
        <f>'[1]Forward Ranks'!X283</f>
        <v>0</v>
      </c>
      <c r="M283" s="1">
        <f>'[1]Forward Ranks'!AC283</f>
        <v>8.7336244541484712E-2</v>
      </c>
      <c r="N283" s="1">
        <f>'[1]Forward Ranks'!AD283</f>
        <v>0.15065502183406113</v>
      </c>
      <c r="O283" s="1">
        <f>'[1]Forward Ranks'!AE283</f>
        <v>0.33624454148471616</v>
      </c>
      <c r="P283" s="1">
        <f>'[1]Forward Ranks'!AF283</f>
        <v>7.2052401746724892E-2</v>
      </c>
      <c r="Q283">
        <f>'[1]Forward Ranks'!AH283</f>
        <v>0</v>
      </c>
      <c r="R283" s="1">
        <f>'[1]Forward Ranks'!AM283</f>
        <v>0.78602620087336239</v>
      </c>
      <c r="S283" s="1">
        <f>'[1]Forward Ranks'!AN283</f>
        <v>0.81877729257641918</v>
      </c>
      <c r="T283" s="1">
        <f>'[1]Forward Ranks'!AO283</f>
        <v>0.68777292576419213</v>
      </c>
      <c r="U283" s="1">
        <f>'[1]Forward Ranks'!AP283</f>
        <v>0.78820960698689957</v>
      </c>
      <c r="V283">
        <f>'[1]Forward Ranks'!AR283</f>
        <v>0</v>
      </c>
      <c r="W283" s="1">
        <f>'[1]Forward Ranks'!AW283</f>
        <v>5.8951965065502182E-2</v>
      </c>
      <c r="X283" s="1">
        <f>'[1]Forward Ranks'!AX283</f>
        <v>8.5152838427947602E-2</v>
      </c>
      <c r="Y283" s="1">
        <f>'[1]Forward Ranks'!AY283</f>
        <v>0.67248908296943233</v>
      </c>
      <c r="Z283" s="1">
        <f>'[1]Forward Ranks'!AZ283</f>
        <v>3.0567685589519649E-2</v>
      </c>
      <c r="AA283">
        <f>'[1]Forward Ranks'!BB283</f>
        <v>0</v>
      </c>
      <c r="AB283" s="1">
        <f>'[1]Forward Ranks'!BG283</f>
        <v>0.88646288209606983</v>
      </c>
      <c r="AC283" s="1">
        <f>'[1]Forward Ranks'!BH283</f>
        <v>0.76637554585152834</v>
      </c>
      <c r="AD283" s="1">
        <f>'[1]Forward Ranks'!BI283</f>
        <v>0.55458515283842791</v>
      </c>
      <c r="AE283" s="1">
        <f>'[1]Forward Ranks'!BJ283</f>
        <v>0.61790393013100442</v>
      </c>
      <c r="AF283">
        <f>'[1]Forward Ranks'!BL283</f>
        <v>0</v>
      </c>
      <c r="AG283" s="1">
        <f>'[1]Forward Ranks'!BQ283</f>
        <v>0.15065502183406113</v>
      </c>
      <c r="AH283" s="1">
        <f>'[1]Forward Ranks'!BR283</f>
        <v>0.23144104803493451</v>
      </c>
      <c r="AI283" s="1">
        <f>'[1]Forward Ranks'!BS283</f>
        <v>0.388646288209607</v>
      </c>
      <c r="AJ283" s="1">
        <f>'[1]Forward Ranks'!BT283</f>
        <v>0.13973799126637554</v>
      </c>
      <c r="AL283" s="2">
        <f>'[1]Forward Ranks'!BX283</f>
        <v>0.19213973799126638</v>
      </c>
      <c r="AN283" t="str">
        <f>'[1]Forward Ranks'!B283</f>
        <v>CHI, DAL</v>
      </c>
      <c r="AO283">
        <f>'[1]F on ice'!E283</f>
        <v>80</v>
      </c>
      <c r="AP283" s="2">
        <f>'[1]Impact Score Math'!E283</f>
        <v>0.38276553106212424</v>
      </c>
      <c r="AQ283">
        <f>'[1]Impact Score Math'!G283</f>
        <v>309</v>
      </c>
      <c r="AT283" s="1">
        <f>'[1]Forward Ranks'!CJ283</f>
        <v>0.1943231441048035</v>
      </c>
      <c r="AU283" s="1">
        <f>'[1]Forward Ranks'!CK283</f>
        <v>0.44323144104803491</v>
      </c>
    </row>
    <row r="284" spans="1:47" x14ac:dyDescent="0.3">
      <c r="A284" t="str">
        <f>'[1]Forward Ranks'!A284</f>
        <v>Max Jones</v>
      </c>
      <c r="B284">
        <f>'[1]Forward Ranks'!D284</f>
        <v>0</v>
      </c>
      <c r="C284" s="1">
        <f>'[1]Forward Ranks'!I284</f>
        <v>7.6419213973799124E-2</v>
      </c>
      <c r="D284" s="1">
        <f>'[1]Forward Ranks'!J284</f>
        <v>0.27292576419213976</v>
      </c>
      <c r="E284" s="1">
        <f>'[1]Forward Ranks'!K284</f>
        <v>8.9519650655021835E-2</v>
      </c>
      <c r="F284" s="1">
        <f>'[1]Forward Ranks'!L284</f>
        <v>0.20087336244541484</v>
      </c>
      <c r="G284">
        <f>'[1]Forward Ranks'!N284</f>
        <v>0</v>
      </c>
      <c r="H284" s="1">
        <f>'[1]Forward Ranks'!S284</f>
        <v>0.46724890829694321</v>
      </c>
      <c r="I284" s="1">
        <f>'[1]Forward Ranks'!T284</f>
        <v>0.2816593886462882</v>
      </c>
      <c r="J284" s="1">
        <f>'[1]Forward Ranks'!U284</f>
        <v>0.16157205240174671</v>
      </c>
      <c r="K284" s="1">
        <f>'[1]Forward Ranks'!V284</f>
        <v>0.3056768558951965</v>
      </c>
      <c r="L284">
        <f>'[1]Forward Ranks'!X284</f>
        <v>0</v>
      </c>
      <c r="M284" s="1">
        <f>'[1]Forward Ranks'!AC284</f>
        <v>4.5851528384279479E-2</v>
      </c>
      <c r="N284" s="1">
        <f>'[1]Forward Ranks'!AD284</f>
        <v>7.2052401746724892E-2</v>
      </c>
      <c r="O284" s="1">
        <f>'[1]Forward Ranks'!AE284</f>
        <v>0.13100436681222707</v>
      </c>
      <c r="P284" s="1">
        <f>'[1]Forward Ranks'!AF284</f>
        <v>3.7117903930131008E-2</v>
      </c>
      <c r="Q284">
        <f>'[1]Forward Ranks'!AH284</f>
        <v>0</v>
      </c>
      <c r="R284" s="1">
        <f>'[1]Forward Ranks'!AM284</f>
        <v>0.32751091703056767</v>
      </c>
      <c r="S284" s="1">
        <f>'[1]Forward Ranks'!AN284</f>
        <v>0.55676855895196509</v>
      </c>
      <c r="T284" s="1">
        <f>'[1]Forward Ranks'!AO284</f>
        <v>0.17248908296943233</v>
      </c>
      <c r="U284" s="1">
        <f>'[1]Forward Ranks'!AP284</f>
        <v>0.48471615720524019</v>
      </c>
      <c r="V284">
        <f>'[1]Forward Ranks'!AR284</f>
        <v>0</v>
      </c>
      <c r="W284" s="1">
        <f>'[1]Forward Ranks'!AW284</f>
        <v>0.73144104803493448</v>
      </c>
      <c r="X284" s="1">
        <f>'[1]Forward Ranks'!AX284</f>
        <v>0.89519650655021832</v>
      </c>
      <c r="Y284" s="1">
        <f>'[1]Forward Ranks'!AY284</f>
        <v>0.55895196506550215</v>
      </c>
      <c r="Z284" s="1">
        <f>'[1]Forward Ranks'!AZ284</f>
        <v>0.79694323144104806</v>
      </c>
      <c r="AA284">
        <f>'[1]Forward Ranks'!BB284</f>
        <v>0</v>
      </c>
      <c r="AB284" s="1">
        <f>'[1]Forward Ranks'!BG284</f>
        <v>0.48471615720524019</v>
      </c>
      <c r="AC284" s="1">
        <f>'[1]Forward Ranks'!BH284</f>
        <v>0.17903930131004367</v>
      </c>
      <c r="AD284" s="1">
        <f>'[1]Forward Ranks'!BI284</f>
        <v>0.13973799126637554</v>
      </c>
      <c r="AE284" s="1">
        <f>'[1]Forward Ranks'!BJ284</f>
        <v>0.14628820960698691</v>
      </c>
      <c r="AF284">
        <f>'[1]Forward Ranks'!BL284</f>
        <v>0</v>
      </c>
      <c r="AG284" s="1">
        <f>'[1]Forward Ranks'!BQ284</f>
        <v>2.6200873362445413E-2</v>
      </c>
      <c r="AH284" s="1">
        <f>'[1]Forward Ranks'!BR284</f>
        <v>0.11135371179039301</v>
      </c>
      <c r="AI284" s="1">
        <f>'[1]Forward Ranks'!BS284</f>
        <v>5.2401746724890827E-2</v>
      </c>
      <c r="AJ284" s="1">
        <f>'[1]Forward Ranks'!BT284</f>
        <v>6.768558951965066E-2</v>
      </c>
      <c r="AL284" s="2">
        <f>'[1]Forward Ranks'!BX284</f>
        <v>0.13755458515283842</v>
      </c>
      <c r="AN284" t="str">
        <f>'[1]Forward Ranks'!B284</f>
        <v>ANA</v>
      </c>
      <c r="AO284">
        <f>'[1]F on ice'!E284</f>
        <v>69</v>
      </c>
      <c r="AP284" s="2">
        <f>'[1]Impact Score Math'!E284</f>
        <v>0.23647294589178355</v>
      </c>
      <c r="AQ284">
        <f>'[1]Impact Score Math'!G284</f>
        <v>382</v>
      </c>
      <c r="AT284" s="1">
        <f>'[1]Forward Ranks'!CJ284</f>
        <v>4.3668122270742356E-2</v>
      </c>
      <c r="AU284" s="1">
        <f>'[1]Forward Ranks'!CK284</f>
        <v>0.97161572052401746</v>
      </c>
    </row>
    <row r="285" spans="1:47" x14ac:dyDescent="0.3">
      <c r="A285" t="str">
        <f>'[1]Forward Ranks'!A285</f>
        <v>Michael Amadio</v>
      </c>
      <c r="B285">
        <f>'[1]Forward Ranks'!D285</f>
        <v>0</v>
      </c>
      <c r="C285" s="1">
        <f>'[1]Forward Ranks'!I285</f>
        <v>0.54148471615720528</v>
      </c>
      <c r="D285" s="1">
        <f>'[1]Forward Ranks'!J285</f>
        <v>0.47816593886462883</v>
      </c>
      <c r="E285" s="1">
        <f>'[1]Forward Ranks'!K285</f>
        <v>0.76855895196506552</v>
      </c>
      <c r="F285" s="1">
        <f>'[1]Forward Ranks'!L285</f>
        <v>0.52838427947598254</v>
      </c>
      <c r="G285">
        <f>'[1]Forward Ranks'!N285</f>
        <v>0</v>
      </c>
      <c r="H285" s="1">
        <f>'[1]Forward Ranks'!S285</f>
        <v>0.89519650655021832</v>
      </c>
      <c r="I285" s="1">
        <f>'[1]Forward Ranks'!T285</f>
        <v>0.34716157205240172</v>
      </c>
      <c r="J285" s="1">
        <f>'[1]Forward Ranks'!U285</f>
        <v>0.58078602620087338</v>
      </c>
      <c r="K285" s="1">
        <f>'[1]Forward Ranks'!V285</f>
        <v>0.69650655021834063</v>
      </c>
      <c r="L285">
        <f>'[1]Forward Ranks'!X285</f>
        <v>0</v>
      </c>
      <c r="M285" s="1">
        <f>'[1]Forward Ranks'!AC285</f>
        <v>0.54148471615720528</v>
      </c>
      <c r="N285" s="1">
        <f>'[1]Forward Ranks'!AD285</f>
        <v>0.65502183406113534</v>
      </c>
      <c r="O285" s="1">
        <f>'[1]Forward Ranks'!AE285</f>
        <v>0.33406113537117904</v>
      </c>
      <c r="P285" s="1">
        <f>'[1]Forward Ranks'!AF285</f>
        <v>0.63755458515283847</v>
      </c>
      <c r="Q285">
        <f>'[1]Forward Ranks'!AH285</f>
        <v>0</v>
      </c>
      <c r="R285" s="1">
        <f>'[1]Forward Ranks'!AM285</f>
        <v>0.60480349344978168</v>
      </c>
      <c r="S285" s="1">
        <f>'[1]Forward Ranks'!AN285</f>
        <v>0.35152838427947597</v>
      </c>
      <c r="T285" s="1">
        <f>'[1]Forward Ranks'!AO285</f>
        <v>0.70524017467248912</v>
      </c>
      <c r="U285" s="1">
        <f>'[1]Forward Ranks'!AP285</f>
        <v>0.5</v>
      </c>
      <c r="V285">
        <f>'[1]Forward Ranks'!AR285</f>
        <v>0</v>
      </c>
      <c r="W285" s="1">
        <f>'[1]Forward Ranks'!AW285</f>
        <v>0.68995633187772931</v>
      </c>
      <c r="X285" s="1">
        <f>'[1]Forward Ranks'!AX285</f>
        <v>0.42794759825327511</v>
      </c>
      <c r="Y285" s="1">
        <f>'[1]Forward Ranks'!AY285</f>
        <v>0.13755458515283842</v>
      </c>
      <c r="Z285" s="1">
        <f>'[1]Forward Ranks'!AZ285</f>
        <v>0.60917030567685593</v>
      </c>
      <c r="AA285">
        <f>'[1]Forward Ranks'!BB285</f>
        <v>0</v>
      </c>
      <c r="AB285" s="1">
        <f>'[1]Forward Ranks'!BG285</f>
        <v>0.38427947598253276</v>
      </c>
      <c r="AC285" s="1">
        <f>'[1]Forward Ranks'!BH285</f>
        <v>0.50218340611353707</v>
      </c>
      <c r="AD285" s="1">
        <f>'[1]Forward Ranks'!BI285</f>
        <v>0.84716157205240172</v>
      </c>
      <c r="AE285" s="1">
        <f>'[1]Forward Ranks'!BJ285</f>
        <v>0.61790393013100442</v>
      </c>
      <c r="AF285">
        <f>'[1]Forward Ranks'!BL285</f>
        <v>0</v>
      </c>
      <c r="AG285" s="1">
        <f>'[1]Forward Ranks'!BQ285</f>
        <v>0.52620087336244536</v>
      </c>
      <c r="AH285" s="1">
        <f>'[1]Forward Ranks'!BR285</f>
        <v>0.5393013100436681</v>
      </c>
      <c r="AI285" s="1">
        <f>'[1]Forward Ranks'!BS285</f>
        <v>0.5873362445414847</v>
      </c>
      <c r="AJ285" s="1">
        <f>'[1]Forward Ranks'!BT285</f>
        <v>0.60043668122270744</v>
      </c>
      <c r="AL285" s="2">
        <f>'[1]Forward Ranks'!BX285</f>
        <v>0.67248908296943233</v>
      </c>
      <c r="AN285" t="str">
        <f>'[1]Forward Ranks'!B285</f>
        <v>VGK</v>
      </c>
      <c r="AO285">
        <f>'[1]F on ice'!E285</f>
        <v>67</v>
      </c>
      <c r="AP285" s="2">
        <f>'[1]Impact Score Math'!E285</f>
        <v>0.65130260521042083</v>
      </c>
      <c r="AQ285">
        <f>'[1]Impact Score Math'!G285</f>
        <v>175</v>
      </c>
      <c r="AT285" s="1">
        <f>'[1]Forward Ranks'!CJ285</f>
        <v>0.76855895196506552</v>
      </c>
      <c r="AU285" s="1">
        <f>'[1]Forward Ranks'!CK285</f>
        <v>0.14847161572052403</v>
      </c>
    </row>
    <row r="286" spans="1:47" x14ac:dyDescent="0.3">
      <c r="A286" t="str">
        <f>'[1]Forward Ranks'!A286</f>
        <v>Michael Bunting</v>
      </c>
      <c r="B286">
        <f>'[1]Forward Ranks'!D286</f>
        <v>0</v>
      </c>
      <c r="C286" s="1">
        <f>'[1]Forward Ranks'!I286</f>
        <v>0.888646288209607</v>
      </c>
      <c r="D286" s="1">
        <f>'[1]Forward Ranks'!J286</f>
        <v>0.94541484716157209</v>
      </c>
      <c r="E286" s="1">
        <f>'[1]Forward Ranks'!K286</f>
        <v>0.92576419213973804</v>
      </c>
      <c r="F286" s="1">
        <f>'[1]Forward Ranks'!L286</f>
        <v>0.96506550218340614</v>
      </c>
      <c r="G286">
        <f>'[1]Forward Ranks'!N286</f>
        <v>0</v>
      </c>
      <c r="H286" s="1">
        <f>'[1]Forward Ranks'!S286</f>
        <v>0.62227074235807855</v>
      </c>
      <c r="I286" s="1">
        <f>'[1]Forward Ranks'!T286</f>
        <v>0.72052401746724892</v>
      </c>
      <c r="J286" s="1">
        <f>'[1]Forward Ranks'!U286</f>
        <v>0.8493449781659389</v>
      </c>
      <c r="K286" s="1">
        <f>'[1]Forward Ranks'!V286</f>
        <v>0.69650655021834063</v>
      </c>
      <c r="L286">
        <f>'[1]Forward Ranks'!X286</f>
        <v>0</v>
      </c>
      <c r="M286" s="1">
        <f>'[1]Forward Ranks'!AC286</f>
        <v>0.31222707423580787</v>
      </c>
      <c r="N286" s="1">
        <f>'[1]Forward Ranks'!AD286</f>
        <v>0.20960698689956331</v>
      </c>
      <c r="O286" s="1">
        <f>'[1]Forward Ranks'!AE286</f>
        <v>0.85807860262008728</v>
      </c>
      <c r="P286" s="1">
        <f>'[1]Forward Ranks'!AF286</f>
        <v>0.28384279475982532</v>
      </c>
      <c r="Q286">
        <f>'[1]Forward Ranks'!AH286</f>
        <v>0</v>
      </c>
      <c r="R286" s="1">
        <f>'[1]Forward Ranks'!AM286</f>
        <v>0.9366812227074236</v>
      </c>
      <c r="S286" s="1">
        <f>'[1]Forward Ranks'!AN286</f>
        <v>0.91703056768558955</v>
      </c>
      <c r="T286" s="1">
        <f>'[1]Forward Ranks'!AO286</f>
        <v>0.91703056768558955</v>
      </c>
      <c r="U286" s="1">
        <f>'[1]Forward Ranks'!AP286</f>
        <v>0.9759825327510917</v>
      </c>
      <c r="V286">
        <f>'[1]Forward Ranks'!AR286</f>
        <v>0</v>
      </c>
      <c r="W286" s="1">
        <f>'[1]Forward Ranks'!AW286</f>
        <v>7.4235807860262015E-2</v>
      </c>
      <c r="X286" s="1">
        <f>'[1]Forward Ranks'!AX286</f>
        <v>6.1135371179039298E-2</v>
      </c>
      <c r="Y286" s="1">
        <f>'[1]Forward Ranks'!AY286</f>
        <v>0.67903930131004364</v>
      </c>
      <c r="Z286" s="1">
        <f>'[1]Forward Ranks'!AZ286</f>
        <v>8.9519650655021835E-2</v>
      </c>
      <c r="AA286">
        <f>'[1]Forward Ranks'!BB286</f>
        <v>0</v>
      </c>
      <c r="AB286" s="1">
        <f>'[1]Forward Ranks'!BG286</f>
        <v>0.80786026200873362</v>
      </c>
      <c r="AC286" s="1">
        <f>'[1]Forward Ranks'!BH286</f>
        <v>0.95196506550218341</v>
      </c>
      <c r="AD286" s="1">
        <f>'[1]Forward Ranks'!BI286</f>
        <v>0.85152838427947597</v>
      </c>
      <c r="AE286" s="1">
        <f>'[1]Forward Ranks'!BJ286</f>
        <v>0.95196506550218341</v>
      </c>
      <c r="AF286">
        <f>'[1]Forward Ranks'!BL286</f>
        <v>0</v>
      </c>
      <c r="AG286" s="1">
        <f>'[1]Forward Ranks'!BQ286</f>
        <v>0.74235807860262004</v>
      </c>
      <c r="AH286" s="1">
        <f>'[1]Forward Ranks'!BR286</f>
        <v>0.77947598253275108</v>
      </c>
      <c r="AI286" s="1">
        <f>'[1]Forward Ranks'!BS286</f>
        <v>0.96724890829694321</v>
      </c>
      <c r="AJ286" s="1">
        <f>'[1]Forward Ranks'!BT286</f>
        <v>0.87554585152838427</v>
      </c>
      <c r="AL286" s="2">
        <f>'[1]Forward Ranks'!BX286</f>
        <v>0.77074235807860259</v>
      </c>
      <c r="AN286" t="str">
        <f>'[1]Forward Ranks'!B286</f>
        <v>TOR</v>
      </c>
      <c r="AO286">
        <f>'[1]F on ice'!E286</f>
        <v>82</v>
      </c>
      <c r="AP286" s="2">
        <f>'[1]Impact Score Math'!E286</f>
        <v>0.83567134268537069</v>
      </c>
      <c r="AQ286">
        <f>'[1]Impact Score Math'!G286</f>
        <v>83</v>
      </c>
      <c r="AT286" s="1">
        <f>'[1]Forward Ranks'!CJ286</f>
        <v>3.4934497816593885E-2</v>
      </c>
      <c r="AU286" s="1">
        <f>'[1]Forward Ranks'!CK286</f>
        <v>0.98253275109170302</v>
      </c>
    </row>
    <row r="287" spans="1:47" x14ac:dyDescent="0.3">
      <c r="A287" t="str">
        <f>'[1]Forward Ranks'!A287</f>
        <v>Michael Eyssimont</v>
      </c>
      <c r="B287">
        <f>'[1]Forward Ranks'!D287</f>
        <v>0</v>
      </c>
      <c r="C287" s="1">
        <f>'[1]Forward Ranks'!I287</f>
        <v>0.88646288209606983</v>
      </c>
      <c r="D287" s="1">
        <f>'[1]Forward Ranks'!J287</f>
        <v>0.9759825327510917</v>
      </c>
      <c r="E287" s="1">
        <f>'[1]Forward Ranks'!K287</f>
        <v>0.63100436681222705</v>
      </c>
      <c r="F287" s="1">
        <f>'[1]Forward Ranks'!L287</f>
        <v>0.93886462882096067</v>
      </c>
      <c r="G287">
        <f>'[1]Forward Ranks'!N287</f>
        <v>0</v>
      </c>
      <c r="H287" s="1">
        <f>'[1]Forward Ranks'!S287</f>
        <v>0.26419213973799127</v>
      </c>
      <c r="I287" s="1">
        <f>'[1]Forward Ranks'!T287</f>
        <v>0.44978165938864628</v>
      </c>
      <c r="J287" s="1">
        <f>'[1]Forward Ranks'!U287</f>
        <v>0.27947598253275108</v>
      </c>
      <c r="K287" s="1">
        <f>'[1]Forward Ranks'!V287</f>
        <v>0.31222707423580787</v>
      </c>
      <c r="L287">
        <f>'[1]Forward Ranks'!X287</f>
        <v>0</v>
      </c>
      <c r="M287" s="1">
        <f>'[1]Forward Ranks'!AC287</f>
        <v>0.64628820960698685</v>
      </c>
      <c r="N287" s="1">
        <f>'[1]Forward Ranks'!AD287</f>
        <v>0.82969432314410485</v>
      </c>
      <c r="O287" s="1">
        <f>'[1]Forward Ranks'!AE287</f>
        <v>0.55240174672489084</v>
      </c>
      <c r="P287" s="1">
        <f>'[1]Forward Ranks'!AF287</f>
        <v>0.65502183406113534</v>
      </c>
      <c r="Q287">
        <f>'[1]Forward Ranks'!AH287</f>
        <v>0</v>
      </c>
      <c r="R287" s="1">
        <f>'[1]Forward Ranks'!AM287</f>
        <v>0.91921397379912662</v>
      </c>
      <c r="S287" s="1">
        <f>'[1]Forward Ranks'!AN287</f>
        <v>0.95633187772925765</v>
      </c>
      <c r="T287" s="1">
        <f>'[1]Forward Ranks'!AO287</f>
        <v>0.75327510917030571</v>
      </c>
      <c r="U287" s="1">
        <f>'[1]Forward Ranks'!AP287</f>
        <v>0.94104803493449785</v>
      </c>
      <c r="V287">
        <f>'[1]Forward Ranks'!AR287</f>
        <v>0</v>
      </c>
      <c r="W287" s="1">
        <f>'[1]Forward Ranks'!AW287</f>
        <v>0.68777292576419213</v>
      </c>
      <c r="X287" s="1">
        <f>'[1]Forward Ranks'!AX287</f>
        <v>0.84716157205240172</v>
      </c>
      <c r="Y287" s="1">
        <f>'[1]Forward Ranks'!AY287</f>
        <v>0.63537117903930129</v>
      </c>
      <c r="Z287" s="1">
        <f>'[1]Forward Ranks'!AZ287</f>
        <v>0.60917030567685593</v>
      </c>
      <c r="AA287">
        <f>'[1]Forward Ranks'!BB287</f>
        <v>0</v>
      </c>
      <c r="AB287" s="1">
        <f>'[1]Forward Ranks'!BG287</f>
        <v>0.35152838427947597</v>
      </c>
      <c r="AC287" s="1">
        <f>'[1]Forward Ranks'!BH287</f>
        <v>0.41048034934497818</v>
      </c>
      <c r="AD287" s="1">
        <f>'[1]Forward Ranks'!BI287</f>
        <v>0.41048034934497818</v>
      </c>
      <c r="AE287" s="1">
        <f>'[1]Forward Ranks'!BJ287</f>
        <v>0.50436681222707425</v>
      </c>
      <c r="AF287">
        <f>'[1]Forward Ranks'!BL287</f>
        <v>0</v>
      </c>
      <c r="AG287" s="1">
        <f>'[1]Forward Ranks'!BQ287</f>
        <v>0.87117903930131002</v>
      </c>
      <c r="AH287" s="1">
        <f>'[1]Forward Ranks'!BR287</f>
        <v>0.98253275109170302</v>
      </c>
      <c r="AI287" s="1">
        <f>'[1]Forward Ranks'!BS287</f>
        <v>0.62008733624454149</v>
      </c>
      <c r="AJ287" s="1">
        <f>'[1]Forward Ranks'!BT287</f>
        <v>0.93449781659388642</v>
      </c>
      <c r="AL287" s="2">
        <f>'[1]Forward Ranks'!BX287</f>
        <v>0.86244541484716153</v>
      </c>
      <c r="AN287" t="str">
        <f>'[1]Forward Ranks'!B287</f>
        <v>S.J, T.B, WPG</v>
      </c>
      <c r="AO287">
        <f>'[1]F on ice'!E287</f>
        <v>54</v>
      </c>
      <c r="AP287" s="2">
        <f>'[1]Impact Score Math'!E287</f>
        <v>0.75150300601202402</v>
      </c>
      <c r="AQ287">
        <f>'[1]Impact Score Math'!G287</f>
        <v>125</v>
      </c>
      <c r="AT287" s="1">
        <f>'[1]Forward Ranks'!CJ287</f>
        <v>3.9301310043668124E-2</v>
      </c>
      <c r="AU287" s="1">
        <f>'[1]Forward Ranks'!CK287</f>
        <v>0.95196506550218341</v>
      </c>
    </row>
    <row r="288" spans="1:47" x14ac:dyDescent="0.3">
      <c r="A288" t="str">
        <f>'[1]Forward Ranks'!A288</f>
        <v>Michael McCarron</v>
      </c>
      <c r="B288">
        <f>'[1]Forward Ranks'!D288</f>
        <v>0</v>
      </c>
      <c r="C288" s="1">
        <f>'[1]Forward Ranks'!I288</f>
        <v>0.3930131004366812</v>
      </c>
      <c r="D288" s="1">
        <f>'[1]Forward Ranks'!J288</f>
        <v>0.75327510917030571</v>
      </c>
      <c r="E288" s="1">
        <f>'[1]Forward Ranks'!K288</f>
        <v>2.6200873362445413E-2</v>
      </c>
      <c r="F288" s="1">
        <f>'[1]Forward Ranks'!L288</f>
        <v>0.388646288209607</v>
      </c>
      <c r="G288">
        <f>'[1]Forward Ranks'!N288</f>
        <v>0</v>
      </c>
      <c r="H288" s="1">
        <f>'[1]Forward Ranks'!S288</f>
        <v>0.16812227074235808</v>
      </c>
      <c r="I288" s="1">
        <f>'[1]Forward Ranks'!T288</f>
        <v>2.6200873362445413E-2</v>
      </c>
      <c r="J288" s="1">
        <f>'[1]Forward Ranks'!U288</f>
        <v>9.606986899563319E-2</v>
      </c>
      <c r="K288" s="1">
        <f>'[1]Forward Ranks'!V288</f>
        <v>2.4017467248908297E-2</v>
      </c>
      <c r="L288">
        <f>'[1]Forward Ranks'!X288</f>
        <v>0</v>
      </c>
      <c r="M288" s="1">
        <f>'[1]Forward Ranks'!AC288</f>
        <v>6.5502183406113537E-2</v>
      </c>
      <c r="N288" s="1">
        <f>'[1]Forward Ranks'!AD288</f>
        <v>0.67030567685589515</v>
      </c>
      <c r="O288" s="1">
        <f>'[1]Forward Ranks'!AE288</f>
        <v>0.6506550218340611</v>
      </c>
      <c r="P288" s="1">
        <f>'[1]Forward Ranks'!AF288</f>
        <v>0.39082969432314413</v>
      </c>
      <c r="Q288">
        <f>'[1]Forward Ranks'!AH288</f>
        <v>0</v>
      </c>
      <c r="R288" s="1">
        <f>'[1]Forward Ranks'!AM288</f>
        <v>0.61790393013100442</v>
      </c>
      <c r="S288" s="1">
        <f>'[1]Forward Ranks'!AN288</f>
        <v>0.92358078602620086</v>
      </c>
      <c r="T288" s="1">
        <f>'[1]Forward Ranks'!AO288</f>
        <v>0.28384279475982532</v>
      </c>
      <c r="U288" s="1">
        <f>'[1]Forward Ranks'!AP288</f>
        <v>0.57641921397379914</v>
      </c>
      <c r="V288">
        <f>'[1]Forward Ranks'!AR288</f>
        <v>0</v>
      </c>
      <c r="W288" s="1">
        <f>'[1]Forward Ranks'!AW288</f>
        <v>0.1222707423580786</v>
      </c>
      <c r="X288" s="1">
        <f>'[1]Forward Ranks'!AX288</f>
        <v>0.78820960698689957</v>
      </c>
      <c r="Y288" s="1">
        <f>'[1]Forward Ranks'!AY288</f>
        <v>0.71179039301310043</v>
      </c>
      <c r="Z288" s="1">
        <f>'[1]Forward Ranks'!AZ288</f>
        <v>0.59825327510917026</v>
      </c>
      <c r="AA288">
        <f>'[1]Forward Ranks'!BB288</f>
        <v>0</v>
      </c>
      <c r="AB288" s="1">
        <f>'[1]Forward Ranks'!BG288</f>
        <v>5.2401746724890827E-2</v>
      </c>
      <c r="AC288" s="1">
        <f>'[1]Forward Ranks'!BH288</f>
        <v>1.0917030567685589E-2</v>
      </c>
      <c r="AD288" s="1">
        <f>'[1]Forward Ranks'!BI288</f>
        <v>2.1834061135371178E-2</v>
      </c>
      <c r="AE288" s="1">
        <f>'[1]Forward Ranks'!BJ288</f>
        <v>0.18122270742358079</v>
      </c>
      <c r="AF288">
        <f>'[1]Forward Ranks'!BL288</f>
        <v>0</v>
      </c>
      <c r="AG288" s="1">
        <f>'[1]Forward Ranks'!BQ288</f>
        <v>0.16157205240174671</v>
      </c>
      <c r="AH288" s="1">
        <f>'[1]Forward Ranks'!BR288</f>
        <v>0.77729257641921401</v>
      </c>
      <c r="AI288" s="1">
        <f>'[1]Forward Ranks'!BS288</f>
        <v>6.5502183406113537E-2</v>
      </c>
      <c r="AJ288" s="1">
        <f>'[1]Forward Ranks'!BT288</f>
        <v>0.36244541484716158</v>
      </c>
      <c r="AL288" s="2">
        <f>'[1]Forward Ranks'!BX288</f>
        <v>0.17685589519650655</v>
      </c>
      <c r="AN288" t="str">
        <f>'[1]Forward Ranks'!B288</f>
        <v>NSH</v>
      </c>
      <c r="AO288">
        <f>'[1]F on ice'!E288</f>
        <v>32</v>
      </c>
      <c r="AP288" s="2">
        <f>'[1]Impact Score Math'!E288</f>
        <v>0.19639278557114229</v>
      </c>
      <c r="AQ288">
        <f>'[1]Impact Score Math'!G288</f>
        <v>402</v>
      </c>
      <c r="AT288" s="1">
        <f>'[1]Forward Ranks'!CJ288</f>
        <v>5.6768558951965066E-2</v>
      </c>
      <c r="AU288" s="1">
        <f>'[1]Forward Ranks'!CK288</f>
        <v>0.74890829694323147</v>
      </c>
    </row>
    <row r="289" spans="1:47" x14ac:dyDescent="0.3">
      <c r="A289" t="str">
        <f>'[1]Forward Ranks'!A289</f>
        <v>Michael McLeod</v>
      </c>
      <c r="B289">
        <f>'[1]Forward Ranks'!D289</f>
        <v>0</v>
      </c>
      <c r="C289" s="1">
        <f>'[1]Forward Ranks'!I289</f>
        <v>0.64410480349344978</v>
      </c>
      <c r="D289" s="1">
        <f>'[1]Forward Ranks'!J289</f>
        <v>0.75327510917030571</v>
      </c>
      <c r="E289" s="1">
        <f>'[1]Forward Ranks'!K289</f>
        <v>0.41703056768558949</v>
      </c>
      <c r="F289" s="1">
        <f>'[1]Forward Ranks'!L289</f>
        <v>0.70960698689956336</v>
      </c>
      <c r="G289">
        <f>'[1]Forward Ranks'!N289</f>
        <v>0</v>
      </c>
      <c r="H289" s="1">
        <f>'[1]Forward Ranks'!S289</f>
        <v>3.2751091703056769E-2</v>
      </c>
      <c r="I289" s="1">
        <f>'[1]Forward Ranks'!T289</f>
        <v>0.888646288209607</v>
      </c>
      <c r="J289" s="1">
        <f>'[1]Forward Ranks'!U289</f>
        <v>0.76419213973799127</v>
      </c>
      <c r="K289" s="1">
        <f>'[1]Forward Ranks'!V289</f>
        <v>0.54366812227074235</v>
      </c>
      <c r="L289">
        <f>'[1]Forward Ranks'!X289</f>
        <v>0</v>
      </c>
      <c r="M289" s="1">
        <f>'[1]Forward Ranks'!AC289</f>
        <v>0.39737991266375544</v>
      </c>
      <c r="N289" s="1">
        <f>'[1]Forward Ranks'!AD289</f>
        <v>0.66157205240174677</v>
      </c>
      <c r="O289" s="1">
        <f>'[1]Forward Ranks'!AE289</f>
        <v>0.78384279475982532</v>
      </c>
      <c r="P289" s="1">
        <f>'[1]Forward Ranks'!AF289</f>
        <v>0.32532751091703055</v>
      </c>
      <c r="Q289">
        <f>'[1]Forward Ranks'!AH289</f>
        <v>0</v>
      </c>
      <c r="R289" s="1">
        <f>'[1]Forward Ranks'!AM289</f>
        <v>0.1965065502183406</v>
      </c>
      <c r="S289" s="1">
        <f>'[1]Forward Ranks'!AN289</f>
        <v>0.24672489082969432</v>
      </c>
      <c r="T289" s="1">
        <f>'[1]Forward Ranks'!AO289</f>
        <v>0.2183406113537118</v>
      </c>
      <c r="U289" s="1">
        <f>'[1]Forward Ranks'!AP289</f>
        <v>0.17903930131004367</v>
      </c>
      <c r="V289">
        <f>'[1]Forward Ranks'!AR289</f>
        <v>0</v>
      </c>
      <c r="W289" s="1">
        <f>'[1]Forward Ranks'!AW289</f>
        <v>8.5152838427947602E-2</v>
      </c>
      <c r="X289" s="1">
        <f>'[1]Forward Ranks'!AX289</f>
        <v>0.18995633187772926</v>
      </c>
      <c r="Y289" s="1">
        <f>'[1]Forward Ranks'!AY289</f>
        <v>0.63537117903930129</v>
      </c>
      <c r="Z289" s="1">
        <f>'[1]Forward Ranks'!AZ289</f>
        <v>5.6768558951965066E-2</v>
      </c>
      <c r="AA289">
        <f>'[1]Forward Ranks'!BB289</f>
        <v>0</v>
      </c>
      <c r="AB289" s="1">
        <f>'[1]Forward Ranks'!BG289</f>
        <v>0.24890829694323144</v>
      </c>
      <c r="AC289" s="1">
        <f>'[1]Forward Ranks'!BH289</f>
        <v>9.606986899563319E-2</v>
      </c>
      <c r="AD289" s="1">
        <f>'[1]Forward Ranks'!BI289</f>
        <v>0.34061135371179041</v>
      </c>
      <c r="AE289" s="1">
        <f>'[1]Forward Ranks'!BJ289</f>
        <v>0.61790393013100442</v>
      </c>
      <c r="AF289">
        <f>'[1]Forward Ranks'!BL289</f>
        <v>0</v>
      </c>
      <c r="AG289" s="1">
        <f>'[1]Forward Ranks'!BQ289</f>
        <v>0.54803493449781659</v>
      </c>
      <c r="AH289" s="1">
        <f>'[1]Forward Ranks'!BR289</f>
        <v>0.76637554585152834</v>
      </c>
      <c r="AI289" s="1">
        <f>'[1]Forward Ranks'!BS289</f>
        <v>0.63755458515283847</v>
      </c>
      <c r="AJ289" s="1">
        <f>'[1]Forward Ranks'!BT289</f>
        <v>0.55676855895196509</v>
      </c>
      <c r="AL289" s="2">
        <f>'[1]Forward Ranks'!BX289</f>
        <v>0.29912663755458513</v>
      </c>
      <c r="AN289" t="str">
        <f>'[1]Forward Ranks'!B289</f>
        <v>N.J</v>
      </c>
      <c r="AO289">
        <f>'[1]F on ice'!E289</f>
        <v>80</v>
      </c>
      <c r="AP289" s="2">
        <f>'[1]Impact Score Math'!E289</f>
        <v>0.33066132264529058</v>
      </c>
      <c r="AQ289">
        <f>'[1]Impact Score Math'!G289</f>
        <v>335</v>
      </c>
      <c r="AT289" s="1">
        <f>'[1]Forward Ranks'!CJ289</f>
        <v>0.36026200873362446</v>
      </c>
      <c r="AU289" s="1">
        <f>'[1]Forward Ranks'!CK289</f>
        <v>0.76200873362445409</v>
      </c>
    </row>
    <row r="290" spans="1:47" x14ac:dyDescent="0.3">
      <c r="A290" t="str">
        <f>'[1]Forward Ranks'!A290</f>
        <v>Michael Pezzetta</v>
      </c>
      <c r="B290">
        <f>'[1]Forward Ranks'!D290</f>
        <v>0</v>
      </c>
      <c r="C290" s="1">
        <f>'[1]Forward Ranks'!I290</f>
        <v>5.0218340611353711E-2</v>
      </c>
      <c r="D290" s="1">
        <f>'[1]Forward Ranks'!J290</f>
        <v>0.20524017467248909</v>
      </c>
      <c r="E290" s="1">
        <f>'[1]Forward Ranks'!K290</f>
        <v>0.66812227074235808</v>
      </c>
      <c r="F290" s="1">
        <f>'[1]Forward Ranks'!L290</f>
        <v>0.17685589519650655</v>
      </c>
      <c r="G290">
        <f>'[1]Forward Ranks'!N290</f>
        <v>0</v>
      </c>
      <c r="H290" s="1">
        <f>'[1]Forward Ranks'!S290</f>
        <v>0.63100436681222705</v>
      </c>
      <c r="I290" s="1">
        <f>'[1]Forward Ranks'!T290</f>
        <v>0.33624454148471616</v>
      </c>
      <c r="J290" s="1">
        <f>'[1]Forward Ranks'!U290</f>
        <v>0.75109170305676853</v>
      </c>
      <c r="K290" s="1">
        <f>'[1]Forward Ranks'!V290</f>
        <v>0.43886462882096072</v>
      </c>
      <c r="L290">
        <f>'[1]Forward Ranks'!X290</f>
        <v>0</v>
      </c>
      <c r="M290" s="1">
        <f>'[1]Forward Ranks'!AC290</f>
        <v>0.42576419213973798</v>
      </c>
      <c r="N290" s="1">
        <f>'[1]Forward Ranks'!AD290</f>
        <v>0.41048034934497818</v>
      </c>
      <c r="O290" s="1">
        <f>'[1]Forward Ranks'!AE290</f>
        <v>0.12882096069868995</v>
      </c>
      <c r="P290" s="1">
        <f>'[1]Forward Ranks'!AF290</f>
        <v>0.54585152838427953</v>
      </c>
      <c r="Q290">
        <f>'[1]Forward Ranks'!AH290</f>
        <v>0</v>
      </c>
      <c r="R290" s="1">
        <f>'[1]Forward Ranks'!AM290</f>
        <v>0.29694323144104806</v>
      </c>
      <c r="S290" s="1">
        <f>'[1]Forward Ranks'!AN290</f>
        <v>0.47161572052401746</v>
      </c>
      <c r="T290" s="1">
        <f>'[1]Forward Ranks'!AO290</f>
        <v>0.66812227074235808</v>
      </c>
      <c r="U290" s="1">
        <f>'[1]Forward Ranks'!AP290</f>
        <v>0.37117903930131002</v>
      </c>
      <c r="V290">
        <f>'[1]Forward Ranks'!AR290</f>
        <v>0</v>
      </c>
      <c r="W290" s="1">
        <f>'[1]Forward Ranks'!AW290</f>
        <v>0.75327510917030571</v>
      </c>
      <c r="X290" s="1">
        <f>'[1]Forward Ranks'!AX290</f>
        <v>0.92576419213973804</v>
      </c>
      <c r="Y290" s="1">
        <f>'[1]Forward Ranks'!AY290</f>
        <v>0.45851528384279477</v>
      </c>
      <c r="Z290" s="1">
        <f>'[1]Forward Ranks'!AZ290</f>
        <v>0.97161572052401746</v>
      </c>
      <c r="AA290">
        <f>'[1]Forward Ranks'!BB290</f>
        <v>0</v>
      </c>
      <c r="AB290" s="1">
        <f>'[1]Forward Ranks'!BG290</f>
        <v>2.6200873362445413E-2</v>
      </c>
      <c r="AC290" s="1">
        <f>'[1]Forward Ranks'!BH290</f>
        <v>0.32532751091703055</v>
      </c>
      <c r="AD290" s="1">
        <f>'[1]Forward Ranks'!BI290</f>
        <v>0.91048034934497812</v>
      </c>
      <c r="AE290" s="1">
        <f>'[1]Forward Ranks'!BJ290</f>
        <v>0.59388646288209612</v>
      </c>
      <c r="AF290">
        <f>'[1]Forward Ranks'!BL290</f>
        <v>0</v>
      </c>
      <c r="AG290" s="1">
        <f>'[1]Forward Ranks'!BQ290</f>
        <v>0.11790393013100436</v>
      </c>
      <c r="AH290" s="1">
        <f>'[1]Forward Ranks'!BR290</f>
        <v>0.22707423580786026</v>
      </c>
      <c r="AI290" s="1">
        <f>'[1]Forward Ranks'!BS290</f>
        <v>0.35589519650655022</v>
      </c>
      <c r="AJ290" s="1">
        <f>'[1]Forward Ranks'!BT290</f>
        <v>0.26200873362445415</v>
      </c>
      <c r="AL290" s="2">
        <f>'[1]Forward Ranks'!BX290</f>
        <v>0.34497816593886466</v>
      </c>
      <c r="AN290" t="str">
        <f>'[1]Forward Ranks'!B290</f>
        <v>MTL</v>
      </c>
      <c r="AO290">
        <f>'[1]F on ice'!E290</f>
        <v>63</v>
      </c>
      <c r="AP290" s="2">
        <f>'[1]Impact Score Math'!E290</f>
        <v>0.27254509018036072</v>
      </c>
      <c r="AQ290">
        <f>'[1]Impact Score Math'!G290</f>
        <v>364</v>
      </c>
      <c r="AT290" s="1">
        <f>'[1]Forward Ranks'!CJ290</f>
        <v>2.1834061135371178E-2</v>
      </c>
      <c r="AU290" s="1">
        <f>'[1]Forward Ranks'!CK290</f>
        <v>0.98034934497816595</v>
      </c>
    </row>
    <row r="291" spans="1:47" x14ac:dyDescent="0.3">
      <c r="A291" t="str">
        <f>'[1]Forward Ranks'!A291</f>
        <v>Michael Rasmussen</v>
      </c>
      <c r="B291">
        <f>'[1]Forward Ranks'!D291</f>
        <v>0</v>
      </c>
      <c r="C291" s="1">
        <f>'[1]Forward Ranks'!I291</f>
        <v>0.17248908296943233</v>
      </c>
      <c r="D291" s="1">
        <f>'[1]Forward Ranks'!J291</f>
        <v>0.40393013100436681</v>
      </c>
      <c r="E291" s="1">
        <f>'[1]Forward Ranks'!K291</f>
        <v>0.63973799126637554</v>
      </c>
      <c r="F291" s="1">
        <f>'[1]Forward Ranks'!L291</f>
        <v>0.29039301310043669</v>
      </c>
      <c r="G291">
        <f>'[1]Forward Ranks'!N291</f>
        <v>0</v>
      </c>
      <c r="H291" s="1">
        <f>'[1]Forward Ranks'!S291</f>
        <v>0.42358078602620086</v>
      </c>
      <c r="I291" s="1">
        <f>'[1]Forward Ranks'!T291</f>
        <v>0.76200873362445409</v>
      </c>
      <c r="J291" s="1">
        <f>'[1]Forward Ranks'!U291</f>
        <v>0.79912663755458513</v>
      </c>
      <c r="K291" s="1">
        <f>'[1]Forward Ranks'!V291</f>
        <v>0.64410480349344978</v>
      </c>
      <c r="L291">
        <f>'[1]Forward Ranks'!X291</f>
        <v>0</v>
      </c>
      <c r="M291" s="1">
        <f>'[1]Forward Ranks'!AC291</f>
        <v>0.50436681222707425</v>
      </c>
      <c r="N291" s="1">
        <f>'[1]Forward Ranks'!AD291</f>
        <v>0.64192139737991272</v>
      </c>
      <c r="O291" s="1">
        <f>'[1]Forward Ranks'!AE291</f>
        <v>0.35371179039301309</v>
      </c>
      <c r="P291" s="1">
        <f>'[1]Forward Ranks'!AF291</f>
        <v>0.78602620087336239</v>
      </c>
      <c r="Q291">
        <f>'[1]Forward Ranks'!AH291</f>
        <v>0</v>
      </c>
      <c r="R291" s="1">
        <f>'[1]Forward Ranks'!AM291</f>
        <v>0.48034934497816595</v>
      </c>
      <c r="S291" s="1">
        <f>'[1]Forward Ranks'!AN291</f>
        <v>0.81441048034934493</v>
      </c>
      <c r="T291" s="1">
        <f>'[1]Forward Ranks'!AO291</f>
        <v>0.74235807860262004</v>
      </c>
      <c r="U291" s="1">
        <f>'[1]Forward Ranks'!AP291</f>
        <v>0.65502183406113534</v>
      </c>
      <c r="V291">
        <f>'[1]Forward Ranks'!AR291</f>
        <v>0</v>
      </c>
      <c r="W291" s="1">
        <f>'[1]Forward Ranks'!AW291</f>
        <v>0.52838427947598254</v>
      </c>
      <c r="X291" s="1">
        <f>'[1]Forward Ranks'!AX291</f>
        <v>0.82969432314410485</v>
      </c>
      <c r="Y291" s="1">
        <f>'[1]Forward Ranks'!AY291</f>
        <v>0.22270742358078602</v>
      </c>
      <c r="Z291" s="1">
        <f>'[1]Forward Ranks'!AZ291</f>
        <v>0.85589519650655022</v>
      </c>
      <c r="AA291">
        <f>'[1]Forward Ranks'!BB291</f>
        <v>0</v>
      </c>
      <c r="AB291" s="1">
        <f>'[1]Forward Ranks'!BG291</f>
        <v>0.47161572052401746</v>
      </c>
      <c r="AC291" s="1">
        <f>'[1]Forward Ranks'!BH291</f>
        <v>0.51965065502183405</v>
      </c>
      <c r="AD291" s="1">
        <f>'[1]Forward Ranks'!BI291</f>
        <v>0.89519650655021832</v>
      </c>
      <c r="AE291" s="1">
        <f>'[1]Forward Ranks'!BJ291</f>
        <v>0.74672489082969429</v>
      </c>
      <c r="AF291">
        <f>'[1]Forward Ranks'!BL291</f>
        <v>0</v>
      </c>
      <c r="AG291" s="1">
        <f>'[1]Forward Ranks'!BQ291</f>
        <v>0.2576419213973799</v>
      </c>
      <c r="AH291" s="1">
        <f>'[1]Forward Ranks'!BR291</f>
        <v>0.47816593886462883</v>
      </c>
      <c r="AI291" s="1">
        <f>'[1]Forward Ranks'!BS291</f>
        <v>0.48471615720524019</v>
      </c>
      <c r="AJ291" s="1">
        <f>'[1]Forward Ranks'!BT291</f>
        <v>0.51528384279475981</v>
      </c>
      <c r="AL291" s="2">
        <f>'[1]Forward Ranks'!BX291</f>
        <v>0.56986899563318782</v>
      </c>
      <c r="AN291" t="str">
        <f>'[1]Forward Ranks'!B291</f>
        <v>DET</v>
      </c>
      <c r="AO291">
        <f>'[1]F on ice'!E291</f>
        <v>56</v>
      </c>
      <c r="AP291" s="2">
        <f>'[1]Impact Score Math'!E291</f>
        <v>0.60320641282565135</v>
      </c>
      <c r="AQ291">
        <f>'[1]Impact Score Math'!G291</f>
        <v>199</v>
      </c>
      <c r="AT291" s="1">
        <f>'[1]Forward Ranks'!CJ291</f>
        <v>9.1703056768558958E-2</v>
      </c>
      <c r="AU291" s="1">
        <f>'[1]Forward Ranks'!CK291</f>
        <v>0.96506550218340614</v>
      </c>
    </row>
    <row r="292" spans="1:47" x14ac:dyDescent="0.3">
      <c r="A292" t="str">
        <f>'[1]Forward Ranks'!A292</f>
        <v>Mika Zibanejad</v>
      </c>
      <c r="B292">
        <f>'[1]Forward Ranks'!D292</f>
        <v>0</v>
      </c>
      <c r="C292" s="1">
        <f>'[1]Forward Ranks'!I292</f>
        <v>0.55458515283842791</v>
      </c>
      <c r="D292" s="1">
        <f>'[1]Forward Ranks'!J292</f>
        <v>0.56986899563318782</v>
      </c>
      <c r="E292" s="1">
        <f>'[1]Forward Ranks'!K292</f>
        <v>0.65720524017467252</v>
      </c>
      <c r="F292" s="1">
        <f>'[1]Forward Ranks'!L292</f>
        <v>0.50436681222707425</v>
      </c>
      <c r="G292">
        <f>'[1]Forward Ranks'!N292</f>
        <v>0</v>
      </c>
      <c r="H292" s="1">
        <f>'[1]Forward Ranks'!S292</f>
        <v>0.74890829694323147</v>
      </c>
      <c r="I292" s="1">
        <f>'[1]Forward Ranks'!T292</f>
        <v>0.8253275109170306</v>
      </c>
      <c r="J292" s="1">
        <f>'[1]Forward Ranks'!U292</f>
        <v>0.89519650655021832</v>
      </c>
      <c r="K292" s="1">
        <f>'[1]Forward Ranks'!V292</f>
        <v>0.83406113537117899</v>
      </c>
      <c r="L292">
        <f>'[1]Forward Ranks'!X292</f>
        <v>0</v>
      </c>
      <c r="M292" s="1">
        <f>'[1]Forward Ranks'!AC292</f>
        <v>0.61353711790393017</v>
      </c>
      <c r="N292" s="1">
        <f>'[1]Forward Ranks'!AD292</f>
        <v>0.15283842794759825</v>
      </c>
      <c r="O292" s="1">
        <f>'[1]Forward Ranks'!AE292</f>
        <v>0.89956331877729256</v>
      </c>
      <c r="P292" s="1">
        <f>'[1]Forward Ranks'!AF292</f>
        <v>0.44104803493449779</v>
      </c>
      <c r="Q292">
        <f>'[1]Forward Ranks'!AH292</f>
        <v>0</v>
      </c>
      <c r="R292" s="1">
        <f>'[1]Forward Ranks'!AM292</f>
        <v>0.64628820960698685</v>
      </c>
      <c r="S292" s="1">
        <f>'[1]Forward Ranks'!AN292</f>
        <v>0.60043668122270744</v>
      </c>
      <c r="T292" s="1">
        <f>'[1]Forward Ranks'!AO292</f>
        <v>0.60480349344978168</v>
      </c>
      <c r="U292" s="1">
        <f>'[1]Forward Ranks'!AP292</f>
        <v>0.6026200873362445</v>
      </c>
      <c r="V292">
        <f>'[1]Forward Ranks'!AR292</f>
        <v>0</v>
      </c>
      <c r="W292" s="1">
        <f>'[1]Forward Ranks'!AW292</f>
        <v>0.42139737991266374</v>
      </c>
      <c r="X292" s="1">
        <f>'[1]Forward Ranks'!AX292</f>
        <v>0.14410480349344978</v>
      </c>
      <c r="Y292" s="1">
        <f>'[1]Forward Ranks'!AY292</f>
        <v>0.81222707423580787</v>
      </c>
      <c r="Z292" s="1">
        <f>'[1]Forward Ranks'!AZ292</f>
        <v>0.41921397379912662</v>
      </c>
      <c r="AA292">
        <f>'[1]Forward Ranks'!BB292</f>
        <v>0</v>
      </c>
      <c r="AB292" s="1">
        <f>'[1]Forward Ranks'!BG292</f>
        <v>0.74890829694323147</v>
      </c>
      <c r="AC292" s="1">
        <f>'[1]Forward Ranks'!BH292</f>
        <v>0.25109170305676853</v>
      </c>
      <c r="AD292" s="1">
        <f>'[1]Forward Ranks'!BI292</f>
        <v>0.70305676855895194</v>
      </c>
      <c r="AE292" s="1">
        <f>'[1]Forward Ranks'!BJ292</f>
        <v>0.87991266375545851</v>
      </c>
      <c r="AF292">
        <f>'[1]Forward Ranks'!BL292</f>
        <v>0</v>
      </c>
      <c r="AG292" s="1">
        <f>'[1]Forward Ranks'!BQ292</f>
        <v>0.59388646288209612</v>
      </c>
      <c r="AH292" s="1">
        <f>'[1]Forward Ranks'!BR292</f>
        <v>0.36026200873362446</v>
      </c>
      <c r="AI292" s="1">
        <f>'[1]Forward Ranks'!BS292</f>
        <v>0.88209606986899558</v>
      </c>
      <c r="AJ292" s="1">
        <f>'[1]Forward Ranks'!BT292</f>
        <v>0.48471615720524019</v>
      </c>
      <c r="AL292" s="2">
        <f>'[1]Forward Ranks'!BX292</f>
        <v>0.68122270742358082</v>
      </c>
      <c r="AN292" t="str">
        <f>'[1]Forward Ranks'!B292</f>
        <v>NYR</v>
      </c>
      <c r="AO292">
        <f>'[1]F on ice'!E292</f>
        <v>82</v>
      </c>
      <c r="AP292" s="2">
        <f>'[1]Impact Score Math'!E292</f>
        <v>0.75551102204408815</v>
      </c>
      <c r="AQ292">
        <f>'[1]Impact Score Math'!G292</f>
        <v>123</v>
      </c>
      <c r="AT292" s="1">
        <f>'[1]Forward Ranks'!CJ292</f>
        <v>0.84497816593886466</v>
      </c>
      <c r="AU292" s="1">
        <f>'[1]Forward Ranks'!CK292</f>
        <v>0.61572052401746724</v>
      </c>
    </row>
    <row r="293" spans="1:47" x14ac:dyDescent="0.3">
      <c r="A293" t="str">
        <f>'[1]Forward Ranks'!A293</f>
        <v>Mikael Backlund</v>
      </c>
      <c r="B293">
        <f>'[1]Forward Ranks'!D293</f>
        <v>0</v>
      </c>
      <c r="C293" s="1">
        <f>'[1]Forward Ranks'!I293</f>
        <v>0.96943231441048039</v>
      </c>
      <c r="D293" s="1">
        <f>'[1]Forward Ranks'!J293</f>
        <v>0.81659388646288211</v>
      </c>
      <c r="E293" s="1">
        <f>'[1]Forward Ranks'!K293</f>
        <v>0.74890829694323147</v>
      </c>
      <c r="F293" s="1">
        <f>'[1]Forward Ranks'!L293</f>
        <v>0.91703056768558955</v>
      </c>
      <c r="G293">
        <f>'[1]Forward Ranks'!N293</f>
        <v>0</v>
      </c>
      <c r="H293" s="1">
        <f>'[1]Forward Ranks'!S293</f>
        <v>0.5873362445414847</v>
      </c>
      <c r="I293" s="1">
        <f>'[1]Forward Ranks'!T293</f>
        <v>0.78602620087336239</v>
      </c>
      <c r="J293" s="1">
        <f>'[1]Forward Ranks'!U293</f>
        <v>0.76419213973799127</v>
      </c>
      <c r="K293" s="1">
        <f>'[1]Forward Ranks'!V293</f>
        <v>0.73580786026200873</v>
      </c>
      <c r="L293">
        <f>'[1]Forward Ranks'!X293</f>
        <v>0</v>
      </c>
      <c r="M293" s="1">
        <f>'[1]Forward Ranks'!AC293</f>
        <v>0.98034934497816595</v>
      </c>
      <c r="N293" s="1">
        <f>'[1]Forward Ranks'!AD293</f>
        <v>0.83842794759825323</v>
      </c>
      <c r="O293" s="1">
        <f>'[1]Forward Ranks'!AE293</f>
        <v>0.89519650655021832</v>
      </c>
      <c r="P293" s="1">
        <f>'[1]Forward Ranks'!AF293</f>
        <v>0.93886462882096067</v>
      </c>
      <c r="Q293">
        <f>'[1]Forward Ranks'!AH293</f>
        <v>0</v>
      </c>
      <c r="R293" s="1">
        <f>'[1]Forward Ranks'!AM293</f>
        <v>0.84716157205240172</v>
      </c>
      <c r="S293" s="1">
        <f>'[1]Forward Ranks'!AN293</f>
        <v>0.8733624454148472</v>
      </c>
      <c r="T293" s="1">
        <f>'[1]Forward Ranks'!AO293</f>
        <v>0.6506550218340611</v>
      </c>
      <c r="U293" s="1">
        <f>'[1]Forward Ranks'!AP293</f>
        <v>0.84716157205240172</v>
      </c>
      <c r="V293">
        <f>'[1]Forward Ranks'!AR293</f>
        <v>0</v>
      </c>
      <c r="W293" s="1">
        <f>'[1]Forward Ranks'!AW293</f>
        <v>0.88427947598253276</v>
      </c>
      <c r="X293" s="1">
        <f>'[1]Forward Ranks'!AX293</f>
        <v>0.63537117903930129</v>
      </c>
      <c r="Y293" s="1">
        <f>'[1]Forward Ranks'!AY293</f>
        <v>0.94978165938864634</v>
      </c>
      <c r="Z293" s="1">
        <f>'[1]Forward Ranks'!AZ293</f>
        <v>0.82969432314410485</v>
      </c>
      <c r="AA293">
        <f>'[1]Forward Ranks'!BB293</f>
        <v>0</v>
      </c>
      <c r="AB293" s="1">
        <f>'[1]Forward Ranks'!BG293</f>
        <v>0.73580786026200873</v>
      </c>
      <c r="AC293" s="1">
        <f>'[1]Forward Ranks'!BH293</f>
        <v>0.46288209606986902</v>
      </c>
      <c r="AD293" s="1">
        <f>'[1]Forward Ranks'!BI293</f>
        <v>0.35589519650655022</v>
      </c>
      <c r="AE293" s="1">
        <f>'[1]Forward Ranks'!BJ293</f>
        <v>0.50436681222707425</v>
      </c>
      <c r="AF293">
        <f>'[1]Forward Ranks'!BL293</f>
        <v>0</v>
      </c>
      <c r="AG293" s="1">
        <f>'[1]Forward Ranks'!BQ293</f>
        <v>0.99126637554585151</v>
      </c>
      <c r="AH293" s="1">
        <f>'[1]Forward Ranks'!BR293</f>
        <v>0.89519650655021832</v>
      </c>
      <c r="AI293" s="1">
        <f>'[1]Forward Ranks'!BS293</f>
        <v>0.9126637554585153</v>
      </c>
      <c r="AJ293" s="1">
        <f>'[1]Forward Ranks'!BT293</f>
        <v>0.97379912663755464</v>
      </c>
      <c r="AL293" s="2">
        <f>'[1]Forward Ranks'!BX293</f>
        <v>0.98689956331877726</v>
      </c>
      <c r="AN293" t="str">
        <f>'[1]Forward Ranks'!B293</f>
        <v>CGY</v>
      </c>
      <c r="AO293">
        <f>'[1]F on ice'!E293</f>
        <v>82</v>
      </c>
      <c r="AP293" s="2">
        <f>'[1]Impact Score Math'!E293</f>
        <v>0.98396793587174347</v>
      </c>
      <c r="AQ293">
        <f>'[1]Impact Score Math'!G293</f>
        <v>9</v>
      </c>
      <c r="AT293" s="1">
        <f>'[1]Forward Ranks'!CJ293</f>
        <v>0.46506550218340609</v>
      </c>
      <c r="AU293" s="1">
        <f>'[1]Forward Ranks'!CK293</f>
        <v>0.11353711790393013</v>
      </c>
    </row>
    <row r="294" spans="1:47" x14ac:dyDescent="0.3">
      <c r="A294" t="str">
        <f>'[1]Forward Ranks'!A294</f>
        <v>Mikael Granlund</v>
      </c>
      <c r="B294">
        <f>'[1]Forward Ranks'!D294</f>
        <v>0</v>
      </c>
      <c r="C294" s="1">
        <f>'[1]Forward Ranks'!I294</f>
        <v>0.43886462882096072</v>
      </c>
      <c r="D294" s="1">
        <f>'[1]Forward Ranks'!J294</f>
        <v>0.53056768558951961</v>
      </c>
      <c r="E294" s="1">
        <f>'[1]Forward Ranks'!K294</f>
        <v>0.28384279475982532</v>
      </c>
      <c r="F294" s="1">
        <f>'[1]Forward Ranks'!L294</f>
        <v>0.58296943231441045</v>
      </c>
      <c r="G294">
        <f>'[1]Forward Ranks'!N294</f>
        <v>0</v>
      </c>
      <c r="H294" s="1">
        <f>'[1]Forward Ranks'!S294</f>
        <v>0.11572052401746726</v>
      </c>
      <c r="I294" s="1">
        <f>'[1]Forward Ranks'!T294</f>
        <v>0.4606986899563319</v>
      </c>
      <c r="J294" s="1">
        <f>'[1]Forward Ranks'!U294</f>
        <v>0.39519650655021832</v>
      </c>
      <c r="K294" s="1">
        <f>'[1]Forward Ranks'!V294</f>
        <v>0.23144104803493451</v>
      </c>
      <c r="L294">
        <f>'[1]Forward Ranks'!X294</f>
        <v>0</v>
      </c>
      <c r="M294" s="1">
        <f>'[1]Forward Ranks'!AC294</f>
        <v>0.1222707423580786</v>
      </c>
      <c r="N294" s="1">
        <f>'[1]Forward Ranks'!AD294</f>
        <v>0.15720524017467249</v>
      </c>
      <c r="O294" s="1">
        <f>'[1]Forward Ranks'!AE294</f>
        <v>0.51965065502183405</v>
      </c>
      <c r="P294" s="1">
        <f>'[1]Forward Ranks'!AF294</f>
        <v>0.16157205240174671</v>
      </c>
      <c r="Q294">
        <f>'[1]Forward Ranks'!AH294</f>
        <v>0</v>
      </c>
      <c r="R294" s="1">
        <f>'[1]Forward Ranks'!AM294</f>
        <v>0.16593886462882096</v>
      </c>
      <c r="S294" s="1">
        <f>'[1]Forward Ranks'!AN294</f>
        <v>0.19213973799126638</v>
      </c>
      <c r="T294" s="1">
        <f>'[1]Forward Ranks'!AO294</f>
        <v>0.31877729257641924</v>
      </c>
      <c r="U294" s="1">
        <f>'[1]Forward Ranks'!AP294</f>
        <v>0.26200873362445415</v>
      </c>
      <c r="V294">
        <f>'[1]Forward Ranks'!AR294</f>
        <v>0</v>
      </c>
      <c r="W294" s="1">
        <f>'[1]Forward Ranks'!AW294</f>
        <v>0.10262008733624454</v>
      </c>
      <c r="X294" s="1">
        <f>'[1]Forward Ranks'!AX294</f>
        <v>0.12663755458515283</v>
      </c>
      <c r="Y294" s="1">
        <f>'[1]Forward Ranks'!AY294</f>
        <v>0.40611353711790393</v>
      </c>
      <c r="Z294" s="1">
        <f>'[1]Forward Ranks'!AZ294</f>
        <v>0.15720524017467249</v>
      </c>
      <c r="AA294">
        <f>'[1]Forward Ranks'!BB294</f>
        <v>0</v>
      </c>
      <c r="AB294" s="1">
        <f>'[1]Forward Ranks'!BG294</f>
        <v>0.62882096069868998</v>
      </c>
      <c r="AC294" s="1">
        <f>'[1]Forward Ranks'!BH294</f>
        <v>0.47816593886462883</v>
      </c>
      <c r="AD294" s="1">
        <f>'[1]Forward Ranks'!BI294</f>
        <v>0.30131004366812225</v>
      </c>
      <c r="AE294" s="1">
        <f>'[1]Forward Ranks'!BJ294</f>
        <v>0.52183406113537123</v>
      </c>
      <c r="AF294">
        <f>'[1]Forward Ranks'!BL294</f>
        <v>0</v>
      </c>
      <c r="AG294" s="1">
        <f>'[1]Forward Ranks'!BQ294</f>
        <v>0.24017467248908297</v>
      </c>
      <c r="AH294" s="1">
        <f>'[1]Forward Ranks'!BR294</f>
        <v>0.33842794759825329</v>
      </c>
      <c r="AI294" s="1">
        <f>'[1]Forward Ranks'!BS294</f>
        <v>0.33842794759825329</v>
      </c>
      <c r="AJ294" s="1">
        <f>'[1]Forward Ranks'!BT294</f>
        <v>0.34934497816593885</v>
      </c>
      <c r="AL294" s="2">
        <f>'[1]Forward Ranks'!BX294</f>
        <v>0.12008733624454149</v>
      </c>
      <c r="AN294" t="str">
        <f>'[1]Forward Ranks'!B294</f>
        <v>NSH, PIT</v>
      </c>
      <c r="AO294">
        <f>'[1]F on ice'!E294</f>
        <v>79</v>
      </c>
      <c r="AP294" s="2">
        <f>'[1]Impact Score Math'!E294</f>
        <v>0.24248496993987975</v>
      </c>
      <c r="AQ294">
        <f>'[1]Impact Score Math'!G294</f>
        <v>379</v>
      </c>
      <c r="AT294" s="1">
        <f>'[1]Forward Ranks'!CJ294</f>
        <v>0.76855895196506552</v>
      </c>
      <c r="AU294" s="1">
        <f>'[1]Forward Ranks'!CK294</f>
        <v>0.29039301310043669</v>
      </c>
    </row>
    <row r="295" spans="1:47" x14ac:dyDescent="0.3">
      <c r="A295" t="str">
        <f>'[1]Forward Ranks'!A295</f>
        <v>Mike Hoffman</v>
      </c>
      <c r="B295">
        <f>'[1]Forward Ranks'!D295</f>
        <v>0</v>
      </c>
      <c r="C295" s="1">
        <f>'[1]Forward Ranks'!I295</f>
        <v>9.606986899563319E-2</v>
      </c>
      <c r="D295" s="1">
        <f>'[1]Forward Ranks'!J295</f>
        <v>0.17467248908296942</v>
      </c>
      <c r="E295" s="1">
        <f>'[1]Forward Ranks'!K295</f>
        <v>0.33842794759825329</v>
      </c>
      <c r="F295" s="1">
        <f>'[1]Forward Ranks'!L295</f>
        <v>0.15283842794759825</v>
      </c>
      <c r="G295">
        <f>'[1]Forward Ranks'!N295</f>
        <v>0</v>
      </c>
      <c r="H295" s="1">
        <f>'[1]Forward Ranks'!S295</f>
        <v>0.65938864628820959</v>
      </c>
      <c r="I295" s="1">
        <f>'[1]Forward Ranks'!T295</f>
        <v>0.21615720524017468</v>
      </c>
      <c r="J295" s="1">
        <f>'[1]Forward Ranks'!U295</f>
        <v>0.23580786026200873</v>
      </c>
      <c r="K295" s="1">
        <f>'[1]Forward Ranks'!V295</f>
        <v>0.36244541484716158</v>
      </c>
      <c r="L295">
        <f>'[1]Forward Ranks'!X295</f>
        <v>0</v>
      </c>
      <c r="M295" s="1">
        <f>'[1]Forward Ranks'!AC295</f>
        <v>0.43886462882096072</v>
      </c>
      <c r="N295" s="1">
        <f>'[1]Forward Ranks'!AD295</f>
        <v>0.16375545851528384</v>
      </c>
      <c r="O295" s="1">
        <f>'[1]Forward Ranks'!AE295</f>
        <v>0.59825327510917026</v>
      </c>
      <c r="P295" s="1">
        <f>'[1]Forward Ranks'!AF295</f>
        <v>0.21179039301310043</v>
      </c>
      <c r="Q295">
        <f>'[1]Forward Ranks'!AH295</f>
        <v>0</v>
      </c>
      <c r="R295" s="1">
        <f>'[1]Forward Ranks'!AM295</f>
        <v>0.36462882096069871</v>
      </c>
      <c r="S295" s="1">
        <f>'[1]Forward Ranks'!AN295</f>
        <v>0.47379912663755458</v>
      </c>
      <c r="T295" s="1">
        <f>'[1]Forward Ranks'!AO295</f>
        <v>0.36244541484716158</v>
      </c>
      <c r="U295" s="1">
        <f>'[1]Forward Ranks'!AP295</f>
        <v>0.41048034934497818</v>
      </c>
      <c r="V295">
        <f>'[1]Forward Ranks'!AR295</f>
        <v>0</v>
      </c>
      <c r="W295" s="1">
        <f>'[1]Forward Ranks'!AW295</f>
        <v>0.81659388646288211</v>
      </c>
      <c r="X295" s="1">
        <f>'[1]Forward Ranks'!AX295</f>
        <v>0.63973799126637554</v>
      </c>
      <c r="Y295" s="1">
        <f>'[1]Forward Ranks'!AY295</f>
        <v>0.92576419213973804</v>
      </c>
      <c r="Z295" s="1">
        <f>'[1]Forward Ranks'!AZ295</f>
        <v>0.70960698689956336</v>
      </c>
      <c r="AA295">
        <f>'[1]Forward Ranks'!BB295</f>
        <v>0</v>
      </c>
      <c r="AB295" s="1">
        <f>'[1]Forward Ranks'!BG295</f>
        <v>0.55676855895196509</v>
      </c>
      <c r="AC295" s="1">
        <f>'[1]Forward Ranks'!BH295</f>
        <v>0.44978165938864628</v>
      </c>
      <c r="AD295" s="1">
        <f>'[1]Forward Ranks'!BI295</f>
        <v>0.54148471615720528</v>
      </c>
      <c r="AE295" s="1">
        <f>'[1]Forward Ranks'!BJ295</f>
        <v>0.68340611353711789</v>
      </c>
      <c r="AF295">
        <f>'[1]Forward Ranks'!BL295</f>
        <v>0</v>
      </c>
      <c r="AG295" s="1">
        <f>'[1]Forward Ranks'!BQ295</f>
        <v>0.15502183406113537</v>
      </c>
      <c r="AH295" s="1">
        <f>'[1]Forward Ranks'!BR295</f>
        <v>0.13100436681222707</v>
      </c>
      <c r="AI295" s="1">
        <f>'[1]Forward Ranks'!BS295</f>
        <v>0.42358078602620086</v>
      </c>
      <c r="AJ295" s="1">
        <f>'[1]Forward Ranks'!BT295</f>
        <v>0.14192139737991266</v>
      </c>
      <c r="AL295" s="2">
        <f>'[1]Forward Ranks'!BX295</f>
        <v>0.24454148471615719</v>
      </c>
      <c r="AN295" t="str">
        <f>'[1]Forward Ranks'!B295</f>
        <v>MTL</v>
      </c>
      <c r="AO295">
        <f>'[1]F on ice'!E295</f>
        <v>67</v>
      </c>
      <c r="AP295" s="2">
        <f>'[1]Impact Score Math'!E295</f>
        <v>0.3587174348697395</v>
      </c>
      <c r="AQ295">
        <f>'[1]Impact Score Math'!G295</f>
        <v>321</v>
      </c>
      <c r="AT295" s="1">
        <f>'[1]Forward Ranks'!CJ295</f>
        <v>0.38646288209606988</v>
      </c>
      <c r="AU295" s="1">
        <f>'[1]Forward Ranks'!CK295</f>
        <v>6.1135371179039298E-2</v>
      </c>
    </row>
    <row r="296" spans="1:47" x14ac:dyDescent="0.3">
      <c r="A296" t="str">
        <f>'[1]Forward Ranks'!A296</f>
        <v>Mikko Rantanen</v>
      </c>
      <c r="B296">
        <f>'[1]Forward Ranks'!D296</f>
        <v>0</v>
      </c>
      <c r="C296" s="1">
        <f>'[1]Forward Ranks'!I296</f>
        <v>0.90393013100436681</v>
      </c>
      <c r="D296" s="1">
        <f>'[1]Forward Ranks'!J296</f>
        <v>0.61572052401746724</v>
      </c>
      <c r="E296" s="1">
        <f>'[1]Forward Ranks'!K296</f>
        <v>0.8733624454148472</v>
      </c>
      <c r="F296" s="1">
        <f>'[1]Forward Ranks'!L296</f>
        <v>0.85371179039301315</v>
      </c>
      <c r="G296">
        <f>'[1]Forward Ranks'!N296</f>
        <v>0</v>
      </c>
      <c r="H296" s="1">
        <f>'[1]Forward Ranks'!S296</f>
        <v>0.9759825327510917</v>
      </c>
      <c r="I296" s="1">
        <f>'[1]Forward Ranks'!T296</f>
        <v>0.5</v>
      </c>
      <c r="J296" s="1">
        <f>'[1]Forward Ranks'!U296</f>
        <v>0.58078602620087338</v>
      </c>
      <c r="K296" s="1">
        <f>'[1]Forward Ranks'!V296</f>
        <v>0.88427947598253276</v>
      </c>
      <c r="L296">
        <f>'[1]Forward Ranks'!X296</f>
        <v>0</v>
      </c>
      <c r="M296" s="1">
        <f>'[1]Forward Ranks'!AC296</f>
        <v>0.18995633187772926</v>
      </c>
      <c r="N296" s="1">
        <f>'[1]Forward Ranks'!AD296</f>
        <v>0.25982532751091703</v>
      </c>
      <c r="O296" s="1">
        <f>'[1]Forward Ranks'!AE296</f>
        <v>0.3930131004366812</v>
      </c>
      <c r="P296" s="1">
        <f>'[1]Forward Ranks'!AF296</f>
        <v>0.31441048034934499</v>
      </c>
      <c r="Q296">
        <f>'[1]Forward Ranks'!AH296</f>
        <v>0</v>
      </c>
      <c r="R296" s="1">
        <f>'[1]Forward Ranks'!AM296</f>
        <v>0.97379912663755464</v>
      </c>
      <c r="S296" s="1">
        <f>'[1]Forward Ranks'!AN296</f>
        <v>0.76637554585152834</v>
      </c>
      <c r="T296" s="1">
        <f>'[1]Forward Ranks'!AO296</f>
        <v>0.93013100436681218</v>
      </c>
      <c r="U296" s="1">
        <f>'[1]Forward Ranks'!AP296</f>
        <v>0.94104803493449785</v>
      </c>
      <c r="V296">
        <f>'[1]Forward Ranks'!AR296</f>
        <v>0</v>
      </c>
      <c r="W296" s="1">
        <f>'[1]Forward Ranks'!AW296</f>
        <v>2.6200873362445413E-2</v>
      </c>
      <c r="X296" s="1">
        <f>'[1]Forward Ranks'!AX296</f>
        <v>7.8602620087336247E-2</v>
      </c>
      <c r="Y296" s="1">
        <f>'[1]Forward Ranks'!AY296</f>
        <v>7.4235807860262015E-2</v>
      </c>
      <c r="Z296" s="1">
        <f>'[1]Forward Ranks'!AZ296</f>
        <v>5.0218340611353711E-2</v>
      </c>
      <c r="AA296">
        <f>'[1]Forward Ranks'!BB296</f>
        <v>0</v>
      </c>
      <c r="AB296" s="1">
        <f>'[1]Forward Ranks'!BG296</f>
        <v>0.99781659388646293</v>
      </c>
      <c r="AC296" s="1">
        <f>'[1]Forward Ranks'!BH296</f>
        <v>0.93449781659388642</v>
      </c>
      <c r="AD296" s="1">
        <f>'[1]Forward Ranks'!BI296</f>
        <v>0.67903930131004364</v>
      </c>
      <c r="AE296" s="1">
        <f>'[1]Forward Ranks'!BJ296</f>
        <v>0.70960698689956336</v>
      </c>
      <c r="AF296">
        <f>'[1]Forward Ranks'!BL296</f>
        <v>0</v>
      </c>
      <c r="AG296" s="1">
        <f>'[1]Forward Ranks'!BQ296</f>
        <v>0.69868995633187769</v>
      </c>
      <c r="AH296" s="1">
        <f>'[1]Forward Ranks'!BR296</f>
        <v>0.43449781659388648</v>
      </c>
      <c r="AI296" s="1">
        <f>'[1]Forward Ranks'!BS296</f>
        <v>0.74454148471615722</v>
      </c>
      <c r="AJ296" s="1">
        <f>'[1]Forward Ranks'!BT296</f>
        <v>0.70305676855895194</v>
      </c>
      <c r="AL296" s="2">
        <f>'[1]Forward Ranks'!BX296</f>
        <v>0.72707423580786024</v>
      </c>
      <c r="AN296" t="str">
        <f>'[1]Forward Ranks'!B296</f>
        <v>COL</v>
      </c>
      <c r="AO296">
        <f>'[1]F on ice'!E296</f>
        <v>82</v>
      </c>
      <c r="AP296" s="2">
        <f>'[1]Impact Score Math'!E296</f>
        <v>0.93587174348697399</v>
      </c>
      <c r="AQ296">
        <f>'[1]Impact Score Math'!G296</f>
        <v>33</v>
      </c>
      <c r="AT296" s="1">
        <f>'[1]Forward Ranks'!CJ296</f>
        <v>0.13755458515283842</v>
      </c>
      <c r="AU296" s="1">
        <f>'[1]Forward Ranks'!CK296</f>
        <v>0.71179039301310043</v>
      </c>
    </row>
    <row r="297" spans="1:47" x14ac:dyDescent="0.3">
      <c r="A297" t="str">
        <f>'[1]Forward Ranks'!A297</f>
        <v>Milan Lucic</v>
      </c>
      <c r="B297">
        <f>'[1]Forward Ranks'!D297</f>
        <v>0</v>
      </c>
      <c r="C297" s="1">
        <f>'[1]Forward Ranks'!I297</f>
        <v>0.68340611353711789</v>
      </c>
      <c r="D297" s="1">
        <f>'[1]Forward Ranks'!J297</f>
        <v>0.31004366812227074</v>
      </c>
      <c r="E297" s="1">
        <f>'[1]Forward Ranks'!K297</f>
        <v>0.32532751091703055</v>
      </c>
      <c r="F297" s="1">
        <f>'[1]Forward Ranks'!L297</f>
        <v>0.42358078602620086</v>
      </c>
      <c r="G297">
        <f>'[1]Forward Ranks'!N297</f>
        <v>0</v>
      </c>
      <c r="H297" s="1">
        <f>'[1]Forward Ranks'!S297</f>
        <v>0.27510917030567683</v>
      </c>
      <c r="I297" s="1">
        <f>'[1]Forward Ranks'!T297</f>
        <v>0.27074235807860264</v>
      </c>
      <c r="J297" s="1">
        <f>'[1]Forward Ranks'!U297</f>
        <v>0.53711790393013104</v>
      </c>
      <c r="K297" s="1">
        <f>'[1]Forward Ranks'!V297</f>
        <v>0.1965065502183406</v>
      </c>
      <c r="L297">
        <f>'[1]Forward Ranks'!X297</f>
        <v>0</v>
      </c>
      <c r="M297" s="1">
        <f>'[1]Forward Ranks'!AC297</f>
        <v>0.68558951965065507</v>
      </c>
      <c r="N297" s="1">
        <f>'[1]Forward Ranks'!AD297</f>
        <v>0.64192139737991272</v>
      </c>
      <c r="O297" s="1">
        <f>'[1]Forward Ranks'!AE297</f>
        <v>0.16375545851528384</v>
      </c>
      <c r="P297" s="1">
        <f>'[1]Forward Ranks'!AF297</f>
        <v>0.57860262008733621</v>
      </c>
      <c r="Q297">
        <f>'[1]Forward Ranks'!AH297</f>
        <v>0</v>
      </c>
      <c r="R297" s="1">
        <f>'[1]Forward Ranks'!AM297</f>
        <v>7.2052401746724892E-2</v>
      </c>
      <c r="S297" s="1">
        <f>'[1]Forward Ranks'!AN297</f>
        <v>0.1331877729257642</v>
      </c>
      <c r="T297" s="1">
        <f>'[1]Forward Ranks'!AO297</f>
        <v>0.19213973799126638</v>
      </c>
      <c r="U297" s="1">
        <f>'[1]Forward Ranks'!AP297</f>
        <v>7.8602620087336247E-2</v>
      </c>
      <c r="V297">
        <f>'[1]Forward Ranks'!AR297</f>
        <v>0</v>
      </c>
      <c r="W297" s="1">
        <f>'[1]Forward Ranks'!AW297</f>
        <v>0.1222707423580786</v>
      </c>
      <c r="X297" s="1">
        <f>'[1]Forward Ranks'!AX297</f>
        <v>0.26855895196506552</v>
      </c>
      <c r="Y297" s="1">
        <f>'[1]Forward Ranks'!AY297</f>
        <v>5.0218340611353711E-2</v>
      </c>
      <c r="Z297" s="1">
        <f>'[1]Forward Ranks'!AZ297</f>
        <v>0.21179039301310043</v>
      </c>
      <c r="AA297">
        <f>'[1]Forward Ranks'!BB297</f>
        <v>0</v>
      </c>
      <c r="AB297" s="1">
        <f>'[1]Forward Ranks'!BG297</f>
        <v>0.2816593886462882</v>
      </c>
      <c r="AC297" s="1">
        <f>'[1]Forward Ranks'!BH297</f>
        <v>0.85589519650655022</v>
      </c>
      <c r="AD297" s="1">
        <f>'[1]Forward Ranks'!BI297</f>
        <v>0.22707423580786026</v>
      </c>
      <c r="AE297" s="1">
        <f>'[1]Forward Ranks'!BJ297</f>
        <v>4.3668122270742356E-2</v>
      </c>
      <c r="AF297">
        <f>'[1]Forward Ranks'!BL297</f>
        <v>0</v>
      </c>
      <c r="AG297" s="1">
        <f>'[1]Forward Ranks'!BQ297</f>
        <v>0.72489082969432317</v>
      </c>
      <c r="AH297" s="1">
        <f>'[1]Forward Ranks'!BR297</f>
        <v>0.42576419213973798</v>
      </c>
      <c r="AI297" s="1">
        <f>'[1]Forward Ranks'!BS297</f>
        <v>0.18558951965065501</v>
      </c>
      <c r="AJ297" s="1">
        <f>'[1]Forward Ranks'!BT297</f>
        <v>0.49126637554585151</v>
      </c>
      <c r="AL297" s="2">
        <f>'[1]Forward Ranks'!BX297</f>
        <v>0.27510917030567683</v>
      </c>
      <c r="AN297" t="str">
        <f>'[1]Forward Ranks'!B297</f>
        <v>CGY</v>
      </c>
      <c r="AO297">
        <f>'[1]F on ice'!E297</f>
        <v>77</v>
      </c>
      <c r="AP297" s="2">
        <f>'[1]Impact Score Math'!E297</f>
        <v>0.31462925851703405</v>
      </c>
      <c r="AQ297">
        <f>'[1]Impact Score Math'!G297</f>
        <v>343</v>
      </c>
      <c r="AT297" s="1">
        <f>'[1]Forward Ranks'!CJ297</f>
        <v>0.2423580786026201</v>
      </c>
      <c r="AU297" s="1">
        <f>'[1]Forward Ranks'!CK297</f>
        <v>0.10480349344978165</v>
      </c>
    </row>
    <row r="298" spans="1:47" x14ac:dyDescent="0.3">
      <c r="A298" t="str">
        <f>'[1]Forward Ranks'!A298</f>
        <v>Miles Wood</v>
      </c>
      <c r="B298">
        <f>'[1]Forward Ranks'!D298</f>
        <v>0</v>
      </c>
      <c r="C298" s="1">
        <f>'[1]Forward Ranks'!I298</f>
        <v>0.75764192139737996</v>
      </c>
      <c r="D298" s="1">
        <f>'[1]Forward Ranks'!J298</f>
        <v>0.77729257641921401</v>
      </c>
      <c r="E298" s="1">
        <f>'[1]Forward Ranks'!K298</f>
        <v>0.39519650655021832</v>
      </c>
      <c r="F298" s="1">
        <f>'[1]Forward Ranks'!L298</f>
        <v>0.72925764192139741</v>
      </c>
      <c r="G298">
        <f>'[1]Forward Ranks'!N298</f>
        <v>0</v>
      </c>
      <c r="H298" s="1">
        <f>'[1]Forward Ranks'!S298</f>
        <v>0.67685589519650657</v>
      </c>
      <c r="I298" s="1">
        <f>'[1]Forward Ranks'!T298</f>
        <v>0.53056768558951961</v>
      </c>
      <c r="J298" s="1">
        <f>'[1]Forward Ranks'!U298</f>
        <v>0.64847161572052403</v>
      </c>
      <c r="K298" s="1">
        <f>'[1]Forward Ranks'!V298</f>
        <v>0.60480349344978168</v>
      </c>
      <c r="L298">
        <f>'[1]Forward Ranks'!X298</f>
        <v>0</v>
      </c>
      <c r="M298" s="1">
        <f>'[1]Forward Ranks'!AC298</f>
        <v>0.34061135371179041</v>
      </c>
      <c r="N298" s="1">
        <f>'[1]Forward Ranks'!AD298</f>
        <v>0.64192139737991272</v>
      </c>
      <c r="O298" s="1">
        <f>'[1]Forward Ranks'!AE298</f>
        <v>0.83624454148471616</v>
      </c>
      <c r="P298" s="1">
        <f>'[1]Forward Ranks'!AF298</f>
        <v>0.21179039301310043</v>
      </c>
      <c r="Q298">
        <f>'[1]Forward Ranks'!AH298</f>
        <v>0</v>
      </c>
      <c r="R298" s="1">
        <f>'[1]Forward Ranks'!AM298</f>
        <v>0.38209606986899564</v>
      </c>
      <c r="S298" s="1">
        <f>'[1]Forward Ranks'!AN298</f>
        <v>0.32751091703056767</v>
      </c>
      <c r="T298" s="1">
        <f>'[1]Forward Ranks'!AO298</f>
        <v>0.18122270742358079</v>
      </c>
      <c r="U298" s="1">
        <f>'[1]Forward Ranks'!AP298</f>
        <v>0.21179039301310043</v>
      </c>
      <c r="V298">
        <f>'[1]Forward Ranks'!AR298</f>
        <v>0</v>
      </c>
      <c r="W298" s="1">
        <f>'[1]Forward Ranks'!AW298</f>
        <v>6.5502183406113537E-2</v>
      </c>
      <c r="X298" s="1">
        <f>'[1]Forward Ranks'!AX298</f>
        <v>0.1943231441048035</v>
      </c>
      <c r="Y298" s="1">
        <f>'[1]Forward Ranks'!AY298</f>
        <v>0.72052401746724892</v>
      </c>
      <c r="Z298" s="1">
        <f>'[1]Forward Ranks'!AZ298</f>
        <v>2.6200873362445413E-2</v>
      </c>
      <c r="AA298">
        <f>'[1]Forward Ranks'!BB298</f>
        <v>0</v>
      </c>
      <c r="AB298" s="1">
        <f>'[1]Forward Ranks'!BG298</f>
        <v>0.25327510917030566</v>
      </c>
      <c r="AC298" s="1">
        <f>'[1]Forward Ranks'!BH298</f>
        <v>0.27510917030567683</v>
      </c>
      <c r="AD298" s="1">
        <f>'[1]Forward Ranks'!BI298</f>
        <v>0.27947598253275108</v>
      </c>
      <c r="AE298" s="1">
        <f>'[1]Forward Ranks'!BJ298</f>
        <v>0.61790393013100442</v>
      </c>
      <c r="AF298">
        <f>'[1]Forward Ranks'!BL298</f>
        <v>0</v>
      </c>
      <c r="AG298" s="1">
        <f>'[1]Forward Ranks'!BQ298</f>
        <v>0.60917030567685593</v>
      </c>
      <c r="AH298" s="1">
        <f>'[1]Forward Ranks'!BR298</f>
        <v>0.79257641921397382</v>
      </c>
      <c r="AI298" s="1">
        <f>'[1]Forward Ranks'!BS298</f>
        <v>0.68340611353711789</v>
      </c>
      <c r="AJ298" s="1">
        <f>'[1]Forward Ranks'!BT298</f>
        <v>0.5</v>
      </c>
      <c r="AL298" s="2">
        <f>'[1]Forward Ranks'!BX298</f>
        <v>0.35807860262008734</v>
      </c>
      <c r="AN298" t="str">
        <f>'[1]Forward Ranks'!B298</f>
        <v>N.J</v>
      </c>
      <c r="AO298">
        <f>'[1]F on ice'!E298</f>
        <v>76</v>
      </c>
      <c r="AP298" s="2">
        <f>'[1]Impact Score Math'!E298</f>
        <v>0.38677354709418837</v>
      </c>
      <c r="AQ298">
        <f>'[1]Impact Score Math'!G298</f>
        <v>307</v>
      </c>
      <c r="AT298" s="1">
        <f>'[1]Forward Ranks'!CJ298</f>
        <v>6.3318777292576414E-2</v>
      </c>
      <c r="AU298" s="1">
        <f>'[1]Forward Ranks'!CK298</f>
        <v>0.91921397379912662</v>
      </c>
    </row>
    <row r="299" spans="1:47" x14ac:dyDescent="0.3">
      <c r="A299" t="str">
        <f>'[1]Forward Ranks'!A299</f>
        <v>Mitchell Marner</v>
      </c>
      <c r="B299">
        <f>'[1]Forward Ranks'!D299</f>
        <v>0</v>
      </c>
      <c r="C299" s="1">
        <f>'[1]Forward Ranks'!I299</f>
        <v>0.71179039301310043</v>
      </c>
      <c r="D299" s="1">
        <f>'[1]Forward Ranks'!J299</f>
        <v>0.84061135371179041</v>
      </c>
      <c r="E299" s="1">
        <f>'[1]Forward Ranks'!K299</f>
        <v>0.88646288209606983</v>
      </c>
      <c r="F299" s="1">
        <f>'[1]Forward Ranks'!L299</f>
        <v>0.82096069868995636</v>
      </c>
      <c r="G299">
        <f>'[1]Forward Ranks'!N299</f>
        <v>0</v>
      </c>
      <c r="H299" s="1">
        <f>'[1]Forward Ranks'!S299</f>
        <v>0.65938864628820959</v>
      </c>
      <c r="I299" s="1">
        <f>'[1]Forward Ranks'!T299</f>
        <v>0.99781659388646293</v>
      </c>
      <c r="J299" s="1">
        <f>'[1]Forward Ranks'!U299</f>
        <v>0.99781659388646293</v>
      </c>
      <c r="K299" s="1">
        <f>'[1]Forward Ranks'!V299</f>
        <v>0.96724890829694321</v>
      </c>
      <c r="L299">
        <f>'[1]Forward Ranks'!X299</f>
        <v>0</v>
      </c>
      <c r="M299" s="1">
        <f>'[1]Forward Ranks'!AC299</f>
        <v>0.73144104803493448</v>
      </c>
      <c r="N299" s="1">
        <f>'[1]Forward Ranks'!AD299</f>
        <v>0.59170305676855894</v>
      </c>
      <c r="O299" s="1">
        <f>'[1]Forward Ranks'!AE299</f>
        <v>0.80349344978165937</v>
      </c>
      <c r="P299" s="1">
        <f>'[1]Forward Ranks'!AF299</f>
        <v>0.74017467248908297</v>
      </c>
      <c r="Q299">
        <f>'[1]Forward Ranks'!AH299</f>
        <v>0</v>
      </c>
      <c r="R299" s="1">
        <f>'[1]Forward Ranks'!AM299</f>
        <v>0.62445414847161573</v>
      </c>
      <c r="S299" s="1">
        <f>'[1]Forward Ranks'!AN299</f>
        <v>0.64847161572052403</v>
      </c>
      <c r="T299" s="1">
        <f>'[1]Forward Ranks'!AO299</f>
        <v>0.83624454148471616</v>
      </c>
      <c r="U299" s="1">
        <f>'[1]Forward Ranks'!AP299</f>
        <v>0.62445414847161573</v>
      </c>
      <c r="V299">
        <f>'[1]Forward Ranks'!AR299</f>
        <v>0</v>
      </c>
      <c r="W299" s="1">
        <f>'[1]Forward Ranks'!AW299</f>
        <v>0.5873362445414847</v>
      </c>
      <c r="X299" s="1">
        <f>'[1]Forward Ranks'!AX299</f>
        <v>0.55458515283842791</v>
      </c>
      <c r="Y299" s="1">
        <f>'[1]Forward Ranks'!AY299</f>
        <v>0.55021834061135366</v>
      </c>
      <c r="Z299" s="1">
        <f>'[1]Forward Ranks'!AZ299</f>
        <v>0.65502183406113534</v>
      </c>
      <c r="AA299">
        <f>'[1]Forward Ranks'!BB299</f>
        <v>0</v>
      </c>
      <c r="AB299" s="1">
        <f>'[1]Forward Ranks'!BG299</f>
        <v>0.91484716157205237</v>
      </c>
      <c r="AC299" s="1">
        <f>'[1]Forward Ranks'!BH299</f>
        <v>0.86681222707423577</v>
      </c>
      <c r="AD299" s="1">
        <f>'[1]Forward Ranks'!BI299</f>
        <v>0.87554585152838427</v>
      </c>
      <c r="AE299" s="1">
        <f>'[1]Forward Ranks'!BJ299</f>
        <v>0.91921397379912662</v>
      </c>
      <c r="AF299">
        <f>'[1]Forward Ranks'!BL299</f>
        <v>0</v>
      </c>
      <c r="AG299" s="1">
        <f>'[1]Forward Ranks'!BQ299</f>
        <v>0.77729257641921401</v>
      </c>
      <c r="AH299" s="1">
        <f>'[1]Forward Ranks'!BR299</f>
        <v>0.8253275109170306</v>
      </c>
      <c r="AI299" s="1">
        <f>'[1]Forward Ranks'!BS299</f>
        <v>0.9366812227074236</v>
      </c>
      <c r="AJ299" s="1">
        <f>'[1]Forward Ranks'!BT299</f>
        <v>0.8493449781659389</v>
      </c>
      <c r="AL299" s="2">
        <f>'[1]Forward Ranks'!BX299</f>
        <v>0.92139737991266379</v>
      </c>
      <c r="AN299" t="str">
        <f>'[1]Forward Ranks'!B299</f>
        <v>TOR</v>
      </c>
      <c r="AO299">
        <f>'[1]F on ice'!E299</f>
        <v>80</v>
      </c>
      <c r="AP299" s="2">
        <f>'[1]Impact Score Math'!E299</f>
        <v>0.95591182364729455</v>
      </c>
      <c r="AQ299">
        <f>'[1]Impact Score Math'!G299</f>
        <v>23</v>
      </c>
      <c r="AT299" s="1">
        <f>'[1]Forward Ranks'!CJ299</f>
        <v>0.63100436681222705</v>
      </c>
      <c r="AU299" s="1">
        <f>'[1]Forward Ranks'!CK299</f>
        <v>0.54803493449781659</v>
      </c>
    </row>
    <row r="300" spans="1:47" x14ac:dyDescent="0.3">
      <c r="A300" t="str">
        <f>'[1]Forward Ranks'!A300</f>
        <v>Morgan Barron</v>
      </c>
      <c r="B300">
        <f>'[1]Forward Ranks'!D300</f>
        <v>0</v>
      </c>
      <c r="C300" s="1">
        <f>'[1]Forward Ranks'!I300</f>
        <v>0.44323144104803491</v>
      </c>
      <c r="D300" s="1">
        <f>'[1]Forward Ranks'!J300</f>
        <v>0.81877729257641918</v>
      </c>
      <c r="E300" s="1">
        <f>'[1]Forward Ranks'!K300</f>
        <v>0.16593886462882096</v>
      </c>
      <c r="F300" s="1">
        <f>'[1]Forward Ranks'!L300</f>
        <v>0.80786026200873362</v>
      </c>
      <c r="G300">
        <f>'[1]Forward Ranks'!N300</f>
        <v>0</v>
      </c>
      <c r="H300" s="1">
        <f>'[1]Forward Ranks'!S300</f>
        <v>0.23144104803493451</v>
      </c>
      <c r="I300" s="1">
        <f>'[1]Forward Ranks'!T300</f>
        <v>0.24890829694323144</v>
      </c>
      <c r="J300" s="1">
        <f>'[1]Forward Ranks'!U300</f>
        <v>0.26637554585152839</v>
      </c>
      <c r="K300" s="1">
        <f>'[1]Forward Ranks'!V300</f>
        <v>0.15938864628820962</v>
      </c>
      <c r="L300">
        <f>'[1]Forward Ranks'!X300</f>
        <v>0</v>
      </c>
      <c r="M300" s="1">
        <f>'[1]Forward Ranks'!AC300</f>
        <v>0.78384279475982532</v>
      </c>
      <c r="N300" s="1">
        <f>'[1]Forward Ranks'!AD300</f>
        <v>0.26419213973799127</v>
      </c>
      <c r="O300" s="1">
        <f>'[1]Forward Ranks'!AE300</f>
        <v>0.87554585152838427</v>
      </c>
      <c r="P300" s="1">
        <f>'[1]Forward Ranks'!AF300</f>
        <v>0.56550218340611358</v>
      </c>
      <c r="Q300">
        <f>'[1]Forward Ranks'!AH300</f>
        <v>0</v>
      </c>
      <c r="R300" s="1">
        <f>'[1]Forward Ranks'!AM300</f>
        <v>0.24454148471615719</v>
      </c>
      <c r="S300" s="1">
        <f>'[1]Forward Ranks'!AN300</f>
        <v>0.83187772925764192</v>
      </c>
      <c r="T300" s="1">
        <f>'[1]Forward Ranks'!AO300</f>
        <v>0.16812227074235808</v>
      </c>
      <c r="U300" s="1">
        <f>'[1]Forward Ranks'!AP300</f>
        <v>0.72707423580786024</v>
      </c>
      <c r="V300">
        <f>'[1]Forward Ranks'!AR300</f>
        <v>0</v>
      </c>
      <c r="W300" s="1">
        <f>'[1]Forward Ranks'!AW300</f>
        <v>0.79257641921397382</v>
      </c>
      <c r="X300" s="1">
        <f>'[1]Forward Ranks'!AX300</f>
        <v>0.1331877729257642</v>
      </c>
      <c r="Y300" s="1">
        <f>'[1]Forward Ranks'!AY300</f>
        <v>0.81222707423580787</v>
      </c>
      <c r="Z300" s="1">
        <f>'[1]Forward Ranks'!AZ300</f>
        <v>0.59825327510917026</v>
      </c>
      <c r="AA300">
        <f>'[1]Forward Ranks'!BB300</f>
        <v>0</v>
      </c>
      <c r="AB300" s="1">
        <f>'[1]Forward Ranks'!BG300</f>
        <v>0.33406113537117904</v>
      </c>
      <c r="AC300" s="1">
        <f>'[1]Forward Ranks'!BH300</f>
        <v>0.16375545851528384</v>
      </c>
      <c r="AD300" s="1">
        <f>'[1]Forward Ranks'!BI300</f>
        <v>0.15065502183406113</v>
      </c>
      <c r="AE300" s="1">
        <f>'[1]Forward Ranks'!BJ300</f>
        <v>0.50436681222707425</v>
      </c>
      <c r="AF300">
        <f>'[1]Forward Ranks'!BL300</f>
        <v>0</v>
      </c>
      <c r="AG300" s="1">
        <f>'[1]Forward Ranks'!BQ300</f>
        <v>0.61790393013100442</v>
      </c>
      <c r="AH300" s="1">
        <f>'[1]Forward Ranks'!BR300</f>
        <v>0.64410480349344978</v>
      </c>
      <c r="AI300" s="1">
        <f>'[1]Forward Ranks'!BS300</f>
        <v>0.45196506550218341</v>
      </c>
      <c r="AJ300" s="1">
        <f>'[1]Forward Ranks'!BT300</f>
        <v>0.77292576419213976</v>
      </c>
      <c r="AL300" s="2">
        <f>'[1]Forward Ranks'!BX300</f>
        <v>0.55676855895196509</v>
      </c>
      <c r="AN300" t="str">
        <f>'[1]Forward Ranks'!B300</f>
        <v>WPG</v>
      </c>
      <c r="AO300">
        <f>'[1]F on ice'!E300</f>
        <v>70</v>
      </c>
      <c r="AP300" s="2">
        <f>'[1]Impact Score Math'!E300</f>
        <v>0.54909819639278556</v>
      </c>
      <c r="AQ300">
        <f>'[1]Impact Score Math'!G300</f>
        <v>226</v>
      </c>
      <c r="AT300" s="1">
        <f>'[1]Forward Ranks'!CJ300</f>
        <v>0.31441048034934499</v>
      </c>
      <c r="AU300" s="1">
        <f>'[1]Forward Ranks'!CK300</f>
        <v>0.40174672489082969</v>
      </c>
    </row>
    <row r="301" spans="1:47" x14ac:dyDescent="0.3">
      <c r="A301" t="str">
        <f>'[1]Forward Ranks'!A301</f>
        <v>Morgan Frost</v>
      </c>
      <c r="B301">
        <f>'[1]Forward Ranks'!D301</f>
        <v>0</v>
      </c>
      <c r="C301" s="1">
        <f>'[1]Forward Ranks'!I301</f>
        <v>0.43231441048034935</v>
      </c>
      <c r="D301" s="1">
        <f>'[1]Forward Ranks'!J301</f>
        <v>0.46943231441048033</v>
      </c>
      <c r="E301" s="1">
        <f>'[1]Forward Ranks'!K301</f>
        <v>0.56113537117903933</v>
      </c>
      <c r="F301" s="1">
        <f>'[1]Forward Ranks'!L301</f>
        <v>0.31659388646288211</v>
      </c>
      <c r="G301">
        <f>'[1]Forward Ranks'!N301</f>
        <v>0</v>
      </c>
      <c r="H301" s="1">
        <f>'[1]Forward Ranks'!S301</f>
        <v>0.76200873362445409</v>
      </c>
      <c r="I301" s="1">
        <f>'[1]Forward Ranks'!T301</f>
        <v>0.66812227074235808</v>
      </c>
      <c r="J301" s="1">
        <f>'[1]Forward Ranks'!U301</f>
        <v>0.44104803493449779</v>
      </c>
      <c r="K301" s="1">
        <f>'[1]Forward Ranks'!V301</f>
        <v>0.75764192139737996</v>
      </c>
      <c r="L301">
        <f>'[1]Forward Ranks'!X301</f>
        <v>0</v>
      </c>
      <c r="M301" s="1">
        <f>'[1]Forward Ranks'!AC301</f>
        <v>0.41484716157205243</v>
      </c>
      <c r="N301" s="1">
        <f>'[1]Forward Ranks'!AD301</f>
        <v>0.52183406113537123</v>
      </c>
      <c r="O301" s="1">
        <f>'[1]Forward Ranks'!AE301</f>
        <v>0.36462882096069871</v>
      </c>
      <c r="P301" s="1">
        <f>'[1]Forward Ranks'!AF301</f>
        <v>0.52838427947598254</v>
      </c>
      <c r="Q301">
        <f>'[1]Forward Ranks'!AH301</f>
        <v>0</v>
      </c>
      <c r="R301" s="1">
        <f>'[1]Forward Ranks'!AM301</f>
        <v>0.52183406113537123</v>
      </c>
      <c r="S301" s="1">
        <f>'[1]Forward Ranks'!AN301</f>
        <v>0.62445414847161573</v>
      </c>
      <c r="T301" s="1">
        <f>'[1]Forward Ranks'!AO301</f>
        <v>0.74235807860262004</v>
      </c>
      <c r="U301" s="1">
        <f>'[1]Forward Ranks'!AP301</f>
        <v>0.47379912663755458</v>
      </c>
      <c r="V301">
        <f>'[1]Forward Ranks'!AR301</f>
        <v>0</v>
      </c>
      <c r="W301" s="1">
        <f>'[1]Forward Ranks'!AW301</f>
        <v>0.43231441048034935</v>
      </c>
      <c r="X301" s="1">
        <f>'[1]Forward Ranks'!AX301</f>
        <v>0.57205240174672489</v>
      </c>
      <c r="Y301" s="1">
        <f>'[1]Forward Ranks'!AY301</f>
        <v>0.34716157205240172</v>
      </c>
      <c r="Z301" s="1">
        <f>'[1]Forward Ranks'!AZ301</f>
        <v>0.57205240174672489</v>
      </c>
      <c r="AA301">
        <f>'[1]Forward Ranks'!BB301</f>
        <v>0</v>
      </c>
      <c r="AB301" s="1">
        <f>'[1]Forward Ranks'!BG301</f>
        <v>0.71834061135371174</v>
      </c>
      <c r="AC301" s="1">
        <f>'[1]Forward Ranks'!BH301</f>
        <v>0.79039301310043664</v>
      </c>
      <c r="AD301" s="1">
        <f>'[1]Forward Ranks'!BI301</f>
        <v>0.63318777292576423</v>
      </c>
      <c r="AE301" s="1">
        <f>'[1]Forward Ranks'!BJ301</f>
        <v>0.44323144104803491</v>
      </c>
      <c r="AF301">
        <f>'[1]Forward Ranks'!BL301</f>
        <v>0</v>
      </c>
      <c r="AG301" s="1">
        <f>'[1]Forward Ranks'!BQ301</f>
        <v>0.40829694323144106</v>
      </c>
      <c r="AH301" s="1">
        <f>'[1]Forward Ranks'!BR301</f>
        <v>0.45633187772925765</v>
      </c>
      <c r="AI301" s="1">
        <f>'[1]Forward Ranks'!BS301</f>
        <v>0.44978165938864628</v>
      </c>
      <c r="AJ301" s="1">
        <f>'[1]Forward Ranks'!BT301</f>
        <v>0.36899563318777295</v>
      </c>
      <c r="AL301" s="2">
        <f>'[1]Forward Ranks'!BX301</f>
        <v>0.51310043668122274</v>
      </c>
      <c r="AN301" t="str">
        <f>'[1]Forward Ranks'!B301</f>
        <v>PHI</v>
      </c>
      <c r="AO301">
        <f>'[1]F on ice'!E301</f>
        <v>81</v>
      </c>
      <c r="AP301" s="2">
        <f>'[1]Impact Score Math'!E301</f>
        <v>0.6412825651302605</v>
      </c>
      <c r="AQ301">
        <f>'[1]Impact Score Math'!G301</f>
        <v>180</v>
      </c>
      <c r="AT301" s="1">
        <f>'[1]Forward Ranks'!CJ301</f>
        <v>0.73362445414847166</v>
      </c>
      <c r="AU301" s="1">
        <f>'[1]Forward Ranks'!CK301</f>
        <v>0.37336244541484714</v>
      </c>
    </row>
    <row r="302" spans="1:47" x14ac:dyDescent="0.3">
      <c r="A302" t="str">
        <f>'[1]Forward Ranks'!A302</f>
        <v>Morgan Geekie</v>
      </c>
      <c r="B302">
        <f>'[1]Forward Ranks'!D302</f>
        <v>0</v>
      </c>
      <c r="C302" s="1">
        <f>'[1]Forward Ranks'!I302</f>
        <v>0.65720524017467252</v>
      </c>
      <c r="D302" s="1">
        <f>'[1]Forward Ranks'!J302</f>
        <v>0.49344978165938863</v>
      </c>
      <c r="E302" s="1">
        <f>'[1]Forward Ranks'!K302</f>
        <v>0.96724890829694321</v>
      </c>
      <c r="F302" s="1">
        <f>'[1]Forward Ranks'!L302</f>
        <v>0.55458515283842791</v>
      </c>
      <c r="G302">
        <f>'[1]Forward Ranks'!N302</f>
        <v>0</v>
      </c>
      <c r="H302" s="1">
        <f>'[1]Forward Ranks'!S302</f>
        <v>0.6026200873362445</v>
      </c>
      <c r="I302" s="1">
        <f>'[1]Forward Ranks'!T302</f>
        <v>0.97379912663755464</v>
      </c>
      <c r="J302" s="1">
        <f>'[1]Forward Ranks'!U302</f>
        <v>0.9366812227074236</v>
      </c>
      <c r="K302" s="1">
        <f>'[1]Forward Ranks'!V302</f>
        <v>0.93013100436681218</v>
      </c>
      <c r="L302">
        <f>'[1]Forward Ranks'!X302</f>
        <v>0</v>
      </c>
      <c r="M302" s="1">
        <f>'[1]Forward Ranks'!AC302</f>
        <v>0.79039301310043664</v>
      </c>
      <c r="N302" s="1">
        <f>'[1]Forward Ranks'!AD302</f>
        <v>0.20524017467248909</v>
      </c>
      <c r="O302" s="1">
        <f>'[1]Forward Ranks'!AE302</f>
        <v>0.41703056768558949</v>
      </c>
      <c r="P302" s="1">
        <f>'[1]Forward Ranks'!AF302</f>
        <v>0.47816593886462883</v>
      </c>
      <c r="Q302">
        <f>'[1]Forward Ranks'!AH302</f>
        <v>0</v>
      </c>
      <c r="R302" s="1">
        <f>'[1]Forward Ranks'!AM302</f>
        <v>0.58078602620087338</v>
      </c>
      <c r="S302" s="1">
        <f>'[1]Forward Ranks'!AN302</f>
        <v>0.75982532751091703</v>
      </c>
      <c r="T302" s="1">
        <f>'[1]Forward Ranks'!AO302</f>
        <v>0.79475982532751088</v>
      </c>
      <c r="U302" s="1">
        <f>'[1]Forward Ranks'!AP302</f>
        <v>0.63973799126637554</v>
      </c>
      <c r="V302">
        <f>'[1]Forward Ranks'!AR302</f>
        <v>0</v>
      </c>
      <c r="W302" s="1">
        <f>'[1]Forward Ranks'!AW302</f>
        <v>0.36899563318777295</v>
      </c>
      <c r="X302" s="1">
        <f>'[1]Forward Ranks'!AX302</f>
        <v>3.2751091703056769E-2</v>
      </c>
      <c r="Y302" s="1">
        <f>'[1]Forward Ranks'!AY302</f>
        <v>0.28602620087336245</v>
      </c>
      <c r="Z302" s="1">
        <f>'[1]Forward Ranks'!AZ302</f>
        <v>0.15283842794759825</v>
      </c>
      <c r="AA302">
        <f>'[1]Forward Ranks'!BB302</f>
        <v>0</v>
      </c>
      <c r="AB302" s="1">
        <f>'[1]Forward Ranks'!BG302</f>
        <v>9.8253275109170299E-2</v>
      </c>
      <c r="AC302" s="1">
        <f>'[1]Forward Ranks'!BH302</f>
        <v>0.83187772925764192</v>
      </c>
      <c r="AD302" s="1">
        <f>'[1]Forward Ranks'!BI302</f>
        <v>0.98253275109170302</v>
      </c>
      <c r="AE302" s="1">
        <f>'[1]Forward Ranks'!BJ302</f>
        <v>0.87117903930131002</v>
      </c>
      <c r="AF302">
        <f>'[1]Forward Ranks'!BL302</f>
        <v>0</v>
      </c>
      <c r="AG302" s="1">
        <f>'[1]Forward Ranks'!BQ302</f>
        <v>0.76419213973799127</v>
      </c>
      <c r="AH302" s="1">
        <f>'[1]Forward Ranks'!BR302</f>
        <v>0.3296943231441048</v>
      </c>
      <c r="AI302" s="1">
        <f>'[1]Forward Ranks'!BS302</f>
        <v>0.86681222707423577</v>
      </c>
      <c r="AJ302" s="1">
        <f>'[1]Forward Ranks'!BT302</f>
        <v>0.52838427947598254</v>
      </c>
      <c r="AL302" s="2">
        <f>'[1]Forward Ranks'!BX302</f>
        <v>0.70087336244541487</v>
      </c>
      <c r="AN302" t="str">
        <f>'[1]Forward Ranks'!B302</f>
        <v>SEA</v>
      </c>
      <c r="AO302">
        <f>'[1]F on ice'!E302</f>
        <v>69</v>
      </c>
      <c r="AP302" s="2">
        <f>'[1]Impact Score Math'!E302</f>
        <v>0.51703406813627251</v>
      </c>
      <c r="AQ302">
        <f>'[1]Impact Score Math'!G302</f>
        <v>242</v>
      </c>
      <c r="AT302" s="1">
        <f>'[1]Forward Ranks'!CJ302</f>
        <v>0.42794759825327511</v>
      </c>
      <c r="AU302" s="1">
        <f>'[1]Forward Ranks'!CK302</f>
        <v>0.37336244541484714</v>
      </c>
    </row>
    <row r="303" spans="1:47" x14ac:dyDescent="0.3">
      <c r="A303" t="str">
        <f>'[1]Forward Ranks'!A303</f>
        <v>Nathan Bastian</v>
      </c>
      <c r="B303">
        <f>'[1]Forward Ranks'!D303</f>
        <v>0</v>
      </c>
      <c r="C303" s="1">
        <f>'[1]Forward Ranks'!I303</f>
        <v>0.79475982532751088</v>
      </c>
      <c r="D303" s="1">
        <f>'[1]Forward Ranks'!J303</f>
        <v>0.86681222707423577</v>
      </c>
      <c r="E303" s="1">
        <f>'[1]Forward Ranks'!K303</f>
        <v>0.33842794759825329</v>
      </c>
      <c r="F303" s="1">
        <f>'[1]Forward Ranks'!L303</f>
        <v>0.75545851528384278</v>
      </c>
      <c r="G303">
        <f>'[1]Forward Ranks'!N303</f>
        <v>0</v>
      </c>
      <c r="H303" s="1">
        <f>'[1]Forward Ranks'!S303</f>
        <v>0.70960698689956336</v>
      </c>
      <c r="I303" s="1">
        <f>'[1]Forward Ranks'!T303</f>
        <v>0.66812227074235808</v>
      </c>
      <c r="J303" s="1">
        <f>'[1]Forward Ranks'!U303</f>
        <v>0.52183406113537123</v>
      </c>
      <c r="K303" s="1">
        <f>'[1]Forward Ranks'!V303</f>
        <v>0.71397379912663761</v>
      </c>
      <c r="L303">
        <f>'[1]Forward Ranks'!X303</f>
        <v>0</v>
      </c>
      <c r="M303" s="1">
        <f>'[1]Forward Ranks'!AC303</f>
        <v>0.5873362445414847</v>
      </c>
      <c r="N303" s="1">
        <f>'[1]Forward Ranks'!AD303</f>
        <v>0.97816593886462877</v>
      </c>
      <c r="O303" s="1">
        <f>'[1]Forward Ranks'!AE303</f>
        <v>0.95851528384279472</v>
      </c>
      <c r="P303" s="1">
        <f>'[1]Forward Ranks'!AF303</f>
        <v>0.77074235807860259</v>
      </c>
      <c r="Q303">
        <f>'[1]Forward Ranks'!AH303</f>
        <v>0</v>
      </c>
      <c r="R303" s="1">
        <f>'[1]Forward Ranks'!AM303</f>
        <v>0.37336244541484714</v>
      </c>
      <c r="S303" s="1">
        <f>'[1]Forward Ranks'!AN303</f>
        <v>0.55895196506550215</v>
      </c>
      <c r="T303" s="1">
        <f>'[1]Forward Ranks'!AO303</f>
        <v>6.768558951965066E-2</v>
      </c>
      <c r="U303" s="1">
        <f>'[1]Forward Ranks'!AP303</f>
        <v>0.24454148471615719</v>
      </c>
      <c r="V303">
        <f>'[1]Forward Ranks'!AR303</f>
        <v>0</v>
      </c>
      <c r="W303" s="1">
        <f>'[1]Forward Ranks'!AW303</f>
        <v>0.33842794759825329</v>
      </c>
      <c r="X303" s="1">
        <f>'[1]Forward Ranks'!AX303</f>
        <v>0.69868995633187769</v>
      </c>
      <c r="Y303" s="1">
        <f>'[1]Forward Ranks'!AY303</f>
        <v>0.82751091703056767</v>
      </c>
      <c r="Z303" s="1">
        <f>'[1]Forward Ranks'!AZ303</f>
        <v>0.51965065502183405</v>
      </c>
      <c r="AA303">
        <f>'[1]Forward Ranks'!BB303</f>
        <v>0</v>
      </c>
      <c r="AB303" s="1">
        <f>'[1]Forward Ranks'!BG303</f>
        <v>0.15065502183406113</v>
      </c>
      <c r="AC303" s="1">
        <f>'[1]Forward Ranks'!BH303</f>
        <v>0.13973799126637554</v>
      </c>
      <c r="AD303" s="1">
        <f>'[1]Forward Ranks'!BI303</f>
        <v>0.18777292576419213</v>
      </c>
      <c r="AE303" s="1">
        <f>'[1]Forward Ranks'!BJ303</f>
        <v>0.73580786026200873</v>
      </c>
      <c r="AF303">
        <f>'[1]Forward Ranks'!BL303</f>
        <v>0</v>
      </c>
      <c r="AG303" s="1">
        <f>'[1]Forward Ranks'!BQ303</f>
        <v>0.74235807860262004</v>
      </c>
      <c r="AH303" s="1">
        <f>'[1]Forward Ranks'!BR303</f>
        <v>0.98471615720524019</v>
      </c>
      <c r="AI303" s="1">
        <f>'[1]Forward Ranks'!BS303</f>
        <v>0.87554585152838427</v>
      </c>
      <c r="AJ303" s="1">
        <f>'[1]Forward Ranks'!BT303</f>
        <v>0.83187772925764192</v>
      </c>
      <c r="AL303" s="2">
        <f>'[1]Forward Ranks'!BX303</f>
        <v>0.69868995633187769</v>
      </c>
      <c r="AN303" t="str">
        <f>'[1]Forward Ranks'!B303</f>
        <v>N.J</v>
      </c>
      <c r="AO303">
        <f>'[1]F on ice'!E303</f>
        <v>43</v>
      </c>
      <c r="AP303" s="2">
        <f>'[1]Impact Score Math'!E303</f>
        <v>0.55511022044088176</v>
      </c>
      <c r="AQ303">
        <f>'[1]Impact Score Math'!G303</f>
        <v>223</v>
      </c>
      <c r="AT303" s="1">
        <f>'[1]Forward Ranks'!CJ303</f>
        <v>0.14410480349344978</v>
      </c>
      <c r="AU303" s="1">
        <f>'[1]Forward Ranks'!CK303</f>
        <v>0.87772925764192145</v>
      </c>
    </row>
    <row r="304" spans="1:47" x14ac:dyDescent="0.3">
      <c r="A304" t="str">
        <f>'[1]Forward Ranks'!A304</f>
        <v>Nathan MacKinnon</v>
      </c>
      <c r="B304">
        <f>'[1]Forward Ranks'!D304</f>
        <v>0</v>
      </c>
      <c r="C304" s="1">
        <f>'[1]Forward Ranks'!I304</f>
        <v>0.94541484716157209</v>
      </c>
      <c r="D304" s="1">
        <f>'[1]Forward Ranks'!J304</f>
        <v>0.78384279475982532</v>
      </c>
      <c r="E304" s="1">
        <f>'[1]Forward Ranks'!K304</f>
        <v>0.99344978165938869</v>
      </c>
      <c r="F304" s="1">
        <f>'[1]Forward Ranks'!L304</f>
        <v>0.86899563318777295</v>
      </c>
      <c r="G304">
        <f>'[1]Forward Ranks'!N304</f>
        <v>0</v>
      </c>
      <c r="H304" s="1">
        <f>'[1]Forward Ranks'!S304</f>
        <v>0.93886462882096067</v>
      </c>
      <c r="I304" s="1">
        <f>'[1]Forward Ranks'!T304</f>
        <v>1</v>
      </c>
      <c r="J304" s="1">
        <f>'[1]Forward Ranks'!U304</f>
        <v>1</v>
      </c>
      <c r="K304" s="1">
        <f>'[1]Forward Ranks'!V304</f>
        <v>1</v>
      </c>
      <c r="L304">
        <f>'[1]Forward Ranks'!X304</f>
        <v>0</v>
      </c>
      <c r="M304" s="1">
        <f>'[1]Forward Ranks'!AC304</f>
        <v>0.36681222707423583</v>
      </c>
      <c r="N304" s="1">
        <f>'[1]Forward Ranks'!AD304</f>
        <v>0.1965065502183406</v>
      </c>
      <c r="O304" s="1">
        <f>'[1]Forward Ranks'!AE304</f>
        <v>0.45851528384279477</v>
      </c>
      <c r="P304" s="1">
        <f>'[1]Forward Ranks'!AF304</f>
        <v>0.29694323144104806</v>
      </c>
      <c r="Q304">
        <f>'[1]Forward Ranks'!AH304</f>
        <v>0</v>
      </c>
      <c r="R304" s="1">
        <f>'[1]Forward Ranks'!AM304</f>
        <v>0.99344978165938869</v>
      </c>
      <c r="S304" s="1">
        <f>'[1]Forward Ranks'!AN304</f>
        <v>0.94978165938864634</v>
      </c>
      <c r="T304" s="1">
        <f>'[1]Forward Ranks'!AO304</f>
        <v>0.99344978165938869</v>
      </c>
      <c r="U304" s="1">
        <f>'[1]Forward Ranks'!AP304</f>
        <v>0.96288209606986896</v>
      </c>
      <c r="V304">
        <f>'[1]Forward Ranks'!AR304</f>
        <v>0</v>
      </c>
      <c r="W304" s="1">
        <f>'[1]Forward Ranks'!AW304</f>
        <v>0.1943231441048035</v>
      </c>
      <c r="X304" s="1">
        <f>'[1]Forward Ranks'!AX304</f>
        <v>0.12008733624454149</v>
      </c>
      <c r="Y304" s="1">
        <f>'[1]Forward Ranks'!AY304</f>
        <v>0.15938864628820962</v>
      </c>
      <c r="Z304" s="1">
        <f>'[1]Forward Ranks'!AZ304</f>
        <v>8.7336244541484712E-2</v>
      </c>
      <c r="AA304">
        <f>'[1]Forward Ranks'!BB304</f>
        <v>0</v>
      </c>
      <c r="AB304" s="1">
        <f>'[1]Forward Ranks'!BG304</f>
        <v>1</v>
      </c>
      <c r="AC304" s="1">
        <f>'[1]Forward Ranks'!BH304</f>
        <v>0.91048034934497812</v>
      </c>
      <c r="AD304" s="1">
        <f>'[1]Forward Ranks'!BI304</f>
        <v>0.90174672489082974</v>
      </c>
      <c r="AE304" s="1">
        <f>'[1]Forward Ranks'!BJ304</f>
        <v>0.90174672489082974</v>
      </c>
      <c r="AF304">
        <f>'[1]Forward Ranks'!BL304</f>
        <v>0</v>
      </c>
      <c r="AG304" s="1">
        <f>'[1]Forward Ranks'!BQ304</f>
        <v>0.83842794759825323</v>
      </c>
      <c r="AH304" s="1">
        <f>'[1]Forward Ranks'!BR304</f>
        <v>0.56113537117903933</v>
      </c>
      <c r="AI304" s="1">
        <f>'[1]Forward Ranks'!BS304</f>
        <v>0.9126637554585153</v>
      </c>
      <c r="AJ304" s="1">
        <f>'[1]Forward Ranks'!BT304</f>
        <v>0.74890829694323147</v>
      </c>
      <c r="AL304" s="2">
        <f>'[1]Forward Ranks'!BX304</f>
        <v>0.93231441048034935</v>
      </c>
      <c r="AN304" t="str">
        <f>'[1]Forward Ranks'!B304</f>
        <v>COL</v>
      </c>
      <c r="AO304">
        <f>'[1]F on ice'!E304</f>
        <v>71</v>
      </c>
      <c r="AP304" s="2">
        <f>'[1]Impact Score Math'!E304</f>
        <v>0.99599198396793587</v>
      </c>
      <c r="AQ304">
        <f>'[1]Impact Score Math'!G304</f>
        <v>3</v>
      </c>
      <c r="AT304" s="1">
        <f>'[1]Forward Ranks'!CJ304</f>
        <v>0.6026200873362445</v>
      </c>
      <c r="AU304" s="1">
        <f>'[1]Forward Ranks'!CK304</f>
        <v>0.81877729257641918</v>
      </c>
    </row>
    <row r="305" spans="1:47" x14ac:dyDescent="0.3">
      <c r="A305" t="str">
        <f>'[1]Forward Ranks'!A305</f>
        <v>Nathan Walker</v>
      </c>
      <c r="B305">
        <f>'[1]Forward Ranks'!D305</f>
        <v>0</v>
      </c>
      <c r="C305" s="1">
        <f>'[1]Forward Ranks'!I305</f>
        <v>1.5283842794759825E-2</v>
      </c>
      <c r="D305" s="1">
        <f>'[1]Forward Ranks'!J305</f>
        <v>3.4934497816593885E-2</v>
      </c>
      <c r="E305" s="1">
        <f>'[1]Forward Ranks'!K305</f>
        <v>0.51965065502183405</v>
      </c>
      <c r="F305" s="1">
        <f>'[1]Forward Ranks'!L305</f>
        <v>2.8384279475982533E-2</v>
      </c>
      <c r="G305">
        <f>'[1]Forward Ranks'!N305</f>
        <v>0</v>
      </c>
      <c r="H305" s="1">
        <f>'[1]Forward Ranks'!S305</f>
        <v>4.148471615720524E-2</v>
      </c>
      <c r="I305" s="1">
        <f>'[1]Forward Ranks'!T305</f>
        <v>0.4759825327510917</v>
      </c>
      <c r="J305" s="1">
        <f>'[1]Forward Ranks'!U305</f>
        <v>0.36244541484716158</v>
      </c>
      <c r="K305" s="1">
        <f>'[1]Forward Ranks'!V305</f>
        <v>0.15502183406113537</v>
      </c>
      <c r="L305">
        <f>'[1]Forward Ranks'!X305</f>
        <v>0</v>
      </c>
      <c r="M305" s="1">
        <f>'[1]Forward Ranks'!AC305</f>
        <v>0.41048034934497818</v>
      </c>
      <c r="N305" s="1">
        <f>'[1]Forward Ranks'!AD305</f>
        <v>0.74454148471615722</v>
      </c>
      <c r="O305" s="1">
        <f>'[1]Forward Ranks'!AE305</f>
        <v>0.94978165938864634</v>
      </c>
      <c r="P305" s="1">
        <f>'[1]Forward Ranks'!AF305</f>
        <v>0.29694323144104806</v>
      </c>
      <c r="Q305">
        <f>'[1]Forward Ranks'!AH305</f>
        <v>0</v>
      </c>
      <c r="R305" s="1">
        <f>'[1]Forward Ranks'!AM305</f>
        <v>3.0567685589519649E-2</v>
      </c>
      <c r="S305" s="1">
        <f>'[1]Forward Ranks'!AN305</f>
        <v>0.15938864628820962</v>
      </c>
      <c r="T305" s="1">
        <f>'[1]Forward Ranks'!AO305</f>
        <v>0.43231441048034935</v>
      </c>
      <c r="U305" s="1">
        <f>'[1]Forward Ranks'!AP305</f>
        <v>9.8253275109170299E-2</v>
      </c>
      <c r="V305">
        <f>'[1]Forward Ranks'!AR305</f>
        <v>0</v>
      </c>
      <c r="W305" s="1">
        <f>'[1]Forward Ranks'!AW305</f>
        <v>0.60043668122270744</v>
      </c>
      <c r="X305" s="1">
        <f>'[1]Forward Ranks'!AX305</f>
        <v>0.89301310043668125</v>
      </c>
      <c r="Y305" s="1">
        <f>'[1]Forward Ranks'!AY305</f>
        <v>0.98253275109170302</v>
      </c>
      <c r="Z305" s="1">
        <f>'[1]Forward Ranks'!AZ305</f>
        <v>0.67903930131004364</v>
      </c>
      <c r="AA305">
        <f>'[1]Forward Ranks'!BB305</f>
        <v>0</v>
      </c>
      <c r="AB305" s="1">
        <f>'[1]Forward Ranks'!BG305</f>
        <v>0.10698689956331878</v>
      </c>
      <c r="AC305" s="1">
        <f>'[1]Forward Ranks'!BH305</f>
        <v>0.12008733624454149</v>
      </c>
      <c r="AD305" s="1">
        <f>'[1]Forward Ranks'!BI305</f>
        <v>0.93231441048034935</v>
      </c>
      <c r="AE305" s="1">
        <f>'[1]Forward Ranks'!BJ305</f>
        <v>0.99126637554585151</v>
      </c>
      <c r="AF305">
        <f>'[1]Forward Ranks'!BL305</f>
        <v>0</v>
      </c>
      <c r="AG305" s="1">
        <f>'[1]Forward Ranks'!BQ305</f>
        <v>5.6768558951965066E-2</v>
      </c>
      <c r="AH305" s="1">
        <f>'[1]Forward Ranks'!BR305</f>
        <v>0.16593886462882096</v>
      </c>
      <c r="AI305" s="1">
        <f>'[1]Forward Ranks'!BS305</f>
        <v>0.93886462882096067</v>
      </c>
      <c r="AJ305" s="1">
        <f>'[1]Forward Ranks'!BT305</f>
        <v>3.9301310043668124E-2</v>
      </c>
      <c r="AL305" s="2">
        <f>'[1]Forward Ranks'!BX305</f>
        <v>3.9301310043668124E-2</v>
      </c>
      <c r="AN305" t="str">
        <f>'[1]Forward Ranks'!B305</f>
        <v>STL</v>
      </c>
      <c r="AO305">
        <f>'[1]F on ice'!E305</f>
        <v>56</v>
      </c>
      <c r="AP305" s="2">
        <f>'[1]Impact Score Math'!E305</f>
        <v>0.11222444889779559</v>
      </c>
      <c r="AQ305">
        <f>'[1]Impact Score Math'!G305</f>
        <v>444</v>
      </c>
      <c r="AT305" s="1">
        <f>'[1]Forward Ranks'!CJ305</f>
        <v>0.4606986899563319</v>
      </c>
      <c r="AU305" s="1">
        <f>'[1]Forward Ranks'!CK305</f>
        <v>0.84279475982532748</v>
      </c>
    </row>
    <row r="306" spans="1:47" x14ac:dyDescent="0.3">
      <c r="A306" t="str">
        <f>'[1]Forward Ranks'!A306</f>
        <v>Nazem Kadri</v>
      </c>
      <c r="B306">
        <f>'[1]Forward Ranks'!D306</f>
        <v>0</v>
      </c>
      <c r="C306" s="1">
        <f>'[1]Forward Ranks'!I306</f>
        <v>0.93449781659388642</v>
      </c>
      <c r="D306" s="1">
        <f>'[1]Forward Ranks'!J306</f>
        <v>0.72270742358078599</v>
      </c>
      <c r="E306" s="1">
        <f>'[1]Forward Ranks'!K306</f>
        <v>0.73144104803493448</v>
      </c>
      <c r="F306" s="1">
        <f>'[1]Forward Ranks'!L306</f>
        <v>0.86026200873362446</v>
      </c>
      <c r="G306">
        <f>'[1]Forward Ranks'!N306</f>
        <v>0</v>
      </c>
      <c r="H306" s="1">
        <f>'[1]Forward Ranks'!S306</f>
        <v>0.5873362445414847</v>
      </c>
      <c r="I306" s="1">
        <f>'[1]Forward Ranks'!T306</f>
        <v>0.83624454148471616</v>
      </c>
      <c r="J306" s="1">
        <f>'[1]Forward Ranks'!U306</f>
        <v>0.78165938864628826</v>
      </c>
      <c r="K306" s="1">
        <f>'[1]Forward Ranks'!V306</f>
        <v>0.78384279475982532</v>
      </c>
      <c r="L306">
        <f>'[1]Forward Ranks'!X306</f>
        <v>0</v>
      </c>
      <c r="M306" s="1">
        <f>'[1]Forward Ranks'!AC306</f>
        <v>0.85152838427947597</v>
      </c>
      <c r="N306" s="1">
        <f>'[1]Forward Ranks'!AD306</f>
        <v>0.5393013100436681</v>
      </c>
      <c r="O306" s="1">
        <f>'[1]Forward Ranks'!AE306</f>
        <v>0.18340611353711792</v>
      </c>
      <c r="P306" s="1">
        <f>'[1]Forward Ranks'!AF306</f>
        <v>0.45414847161572053</v>
      </c>
      <c r="Q306">
        <f>'[1]Forward Ranks'!AH306</f>
        <v>0</v>
      </c>
      <c r="R306" s="1">
        <f>'[1]Forward Ranks'!AM306</f>
        <v>0.63755458515283847</v>
      </c>
      <c r="S306" s="1">
        <f>'[1]Forward Ranks'!AN306</f>
        <v>0.6746724890829694</v>
      </c>
      <c r="T306" s="1">
        <f>'[1]Forward Ranks'!AO306</f>
        <v>0.63318777292576423</v>
      </c>
      <c r="U306" s="1">
        <f>'[1]Forward Ranks'!AP306</f>
        <v>0.62445414847161573</v>
      </c>
      <c r="V306">
        <f>'[1]Forward Ranks'!AR306</f>
        <v>0</v>
      </c>
      <c r="W306" s="1">
        <f>'[1]Forward Ranks'!AW306</f>
        <v>0.31877729257641924</v>
      </c>
      <c r="X306" s="1">
        <f>'[1]Forward Ranks'!AX306</f>
        <v>0.16375545851528384</v>
      </c>
      <c r="Y306" s="1">
        <f>'[1]Forward Ranks'!AY306</f>
        <v>8.296943231441048E-2</v>
      </c>
      <c r="Z306" s="1">
        <f>'[1]Forward Ranks'!AZ306</f>
        <v>0.11572052401746726</v>
      </c>
      <c r="AA306">
        <f>'[1]Forward Ranks'!BB306</f>
        <v>0</v>
      </c>
      <c r="AB306" s="1">
        <f>'[1]Forward Ranks'!BG306</f>
        <v>0.71397379912663761</v>
      </c>
      <c r="AC306" s="1">
        <f>'[1]Forward Ranks'!BH306</f>
        <v>0.90393013100436681</v>
      </c>
      <c r="AD306" s="1">
        <f>'[1]Forward Ranks'!BI306</f>
        <v>0.49126637554585151</v>
      </c>
      <c r="AE306" s="1">
        <f>'[1]Forward Ranks'!BJ306</f>
        <v>7.8602620087336247E-2</v>
      </c>
      <c r="AF306">
        <f>'[1]Forward Ranks'!BL306</f>
        <v>0</v>
      </c>
      <c r="AG306" s="1">
        <f>'[1]Forward Ranks'!BQ306</f>
        <v>0.94978165938864634</v>
      </c>
      <c r="AH306" s="1">
        <f>'[1]Forward Ranks'!BR306</f>
        <v>0.68122270742358082</v>
      </c>
      <c r="AI306" s="1">
        <f>'[1]Forward Ranks'!BS306</f>
        <v>0.43886462882096072</v>
      </c>
      <c r="AJ306" s="1">
        <f>'[1]Forward Ranks'!BT306</f>
        <v>0.78602620087336239</v>
      </c>
      <c r="AL306" s="2">
        <f>'[1]Forward Ranks'!BX306</f>
        <v>0.78384279475982532</v>
      </c>
      <c r="AN306" t="str">
        <f>'[1]Forward Ranks'!B306</f>
        <v>CGY</v>
      </c>
      <c r="AO306">
        <f>'[1]F on ice'!E306</f>
        <v>82</v>
      </c>
      <c r="AP306" s="2">
        <f>'[1]Impact Score Math'!E306</f>
        <v>0.8296593186372746</v>
      </c>
      <c r="AQ306">
        <f>'[1]Impact Score Math'!G306</f>
        <v>86</v>
      </c>
      <c r="AT306" s="1">
        <f>'[1]Forward Ranks'!CJ306</f>
        <v>0.33624454148471616</v>
      </c>
      <c r="AU306" s="1">
        <f>'[1]Forward Ranks'!CK306</f>
        <v>0.96724890829694321</v>
      </c>
    </row>
    <row r="307" spans="1:47" x14ac:dyDescent="0.3">
      <c r="A307" t="str">
        <f>'[1]Forward Ranks'!A307</f>
        <v>Nic Dowd</v>
      </c>
      <c r="B307">
        <f>'[1]Forward Ranks'!D307</f>
        <v>0</v>
      </c>
      <c r="C307" s="1">
        <f>'[1]Forward Ranks'!I307</f>
        <v>0.51746724890829698</v>
      </c>
      <c r="D307" s="1">
        <f>'[1]Forward Ranks'!J307</f>
        <v>0.48908296943231439</v>
      </c>
      <c r="E307" s="1">
        <f>'[1]Forward Ranks'!K307</f>
        <v>0.60043668122270744</v>
      </c>
      <c r="F307" s="1">
        <f>'[1]Forward Ranks'!L307</f>
        <v>0.42358078602620086</v>
      </c>
      <c r="G307">
        <f>'[1]Forward Ranks'!N307</f>
        <v>0</v>
      </c>
      <c r="H307" s="1">
        <f>'[1]Forward Ranks'!S307</f>
        <v>0.87554585152838427</v>
      </c>
      <c r="I307" s="1">
        <f>'[1]Forward Ranks'!T307</f>
        <v>0.43449781659388648</v>
      </c>
      <c r="J307" s="1">
        <f>'[1]Forward Ranks'!U307</f>
        <v>0.57205240174672489</v>
      </c>
      <c r="K307" s="1">
        <f>'[1]Forward Ranks'!V307</f>
        <v>0.74454148471615722</v>
      </c>
      <c r="L307">
        <f>'[1]Forward Ranks'!X307</f>
        <v>0</v>
      </c>
      <c r="M307" s="1">
        <f>'[1]Forward Ranks'!AC307</f>
        <v>0.86681222707423577</v>
      </c>
      <c r="N307" s="1">
        <f>'[1]Forward Ranks'!AD307</f>
        <v>0.85371179039301315</v>
      </c>
      <c r="O307" s="1">
        <f>'[1]Forward Ranks'!AE307</f>
        <v>0.61353711790393017</v>
      </c>
      <c r="P307" s="1">
        <f>'[1]Forward Ranks'!AF307</f>
        <v>0.83842794759825323</v>
      </c>
      <c r="Q307">
        <f>'[1]Forward Ranks'!AH307</f>
        <v>0</v>
      </c>
      <c r="R307" s="1">
        <f>'[1]Forward Ranks'!AM307</f>
        <v>0.41703056768558949</v>
      </c>
      <c r="S307" s="1">
        <f>'[1]Forward Ranks'!AN307</f>
        <v>0.48253275109170307</v>
      </c>
      <c r="T307" s="1">
        <f>'[1]Forward Ranks'!AO307</f>
        <v>0.55021834061135366</v>
      </c>
      <c r="U307" s="1">
        <f>'[1]Forward Ranks'!AP307</f>
        <v>0.36026200873362446</v>
      </c>
      <c r="V307">
        <f>'[1]Forward Ranks'!AR307</f>
        <v>0</v>
      </c>
      <c r="W307" s="1">
        <f>'[1]Forward Ranks'!AW307</f>
        <v>0.94323144104803491</v>
      </c>
      <c r="X307" s="1">
        <f>'[1]Forward Ranks'!AX307</f>
        <v>0.93449781659388642</v>
      </c>
      <c r="Y307" s="1">
        <f>'[1]Forward Ranks'!AY307</f>
        <v>0.77074235807860259</v>
      </c>
      <c r="Z307" s="1">
        <f>'[1]Forward Ranks'!AZ307</f>
        <v>0.91921397379912662</v>
      </c>
      <c r="AA307">
        <f>'[1]Forward Ranks'!BB307</f>
        <v>0</v>
      </c>
      <c r="AB307" s="1">
        <f>'[1]Forward Ranks'!BG307</f>
        <v>0.22925764192139739</v>
      </c>
      <c r="AC307" s="1">
        <f>'[1]Forward Ranks'!BH307</f>
        <v>4.3668122270742356E-3</v>
      </c>
      <c r="AD307" s="1">
        <f>'[1]Forward Ranks'!BI307</f>
        <v>0.67903930131004364</v>
      </c>
      <c r="AE307" s="1">
        <f>'[1]Forward Ranks'!BJ307</f>
        <v>0.50436681222707425</v>
      </c>
      <c r="AF307">
        <f>'[1]Forward Ranks'!BL307</f>
        <v>0</v>
      </c>
      <c r="AG307" s="1">
        <f>'[1]Forward Ranks'!BQ307</f>
        <v>0.69432314410480345</v>
      </c>
      <c r="AH307" s="1">
        <f>'[1]Forward Ranks'!BR307</f>
        <v>0.70742358078602618</v>
      </c>
      <c r="AI307" s="1">
        <f>'[1]Forward Ranks'!BS307</f>
        <v>0.6506550218340611</v>
      </c>
      <c r="AJ307" s="1">
        <f>'[1]Forward Ranks'!BT307</f>
        <v>0.68122270742358082</v>
      </c>
      <c r="AL307" s="2">
        <f>'[1]Forward Ranks'!BX307</f>
        <v>0.80131004366812231</v>
      </c>
      <c r="AN307" t="str">
        <f>'[1]Forward Ranks'!B307</f>
        <v>WSH</v>
      </c>
      <c r="AO307">
        <f>'[1]F on ice'!E307</f>
        <v>65</v>
      </c>
      <c r="AP307" s="2">
        <f>'[1]Impact Score Math'!E307</f>
        <v>0.67334669338677355</v>
      </c>
      <c r="AQ307">
        <f>'[1]Impact Score Math'!G307</f>
        <v>164</v>
      </c>
      <c r="AT307" s="1">
        <f>'[1]Forward Ranks'!CJ307</f>
        <v>0.32751091703056767</v>
      </c>
      <c r="AU307" s="1">
        <f>'[1]Forward Ranks'!CK307</f>
        <v>0.79257641921397382</v>
      </c>
    </row>
    <row r="308" spans="1:47" x14ac:dyDescent="0.3">
      <c r="A308" t="str">
        <f>'[1]Forward Ranks'!A308</f>
        <v>Nicholas Paul</v>
      </c>
      <c r="B308">
        <f>'[1]Forward Ranks'!D308</f>
        <v>0</v>
      </c>
      <c r="C308" s="1">
        <f>'[1]Forward Ranks'!I308</f>
        <v>0.48034934497816595</v>
      </c>
      <c r="D308" s="1">
        <f>'[1]Forward Ranks'!J308</f>
        <v>0.5633187772925764</v>
      </c>
      <c r="E308" s="1">
        <f>'[1]Forward Ranks'!K308</f>
        <v>0.46943231441048033</v>
      </c>
      <c r="F308" s="1">
        <f>'[1]Forward Ranks'!L308</f>
        <v>0.4126637554585153</v>
      </c>
      <c r="G308">
        <f>'[1]Forward Ranks'!N308</f>
        <v>0</v>
      </c>
      <c r="H308" s="1">
        <f>'[1]Forward Ranks'!S308</f>
        <v>0.30786026200873362</v>
      </c>
      <c r="I308" s="1">
        <f>'[1]Forward Ranks'!T308</f>
        <v>0.38427947598253276</v>
      </c>
      <c r="J308" s="1">
        <f>'[1]Forward Ranks'!U308</f>
        <v>0.29475982532751094</v>
      </c>
      <c r="K308" s="1">
        <f>'[1]Forward Ranks'!V308</f>
        <v>0.27947598253275108</v>
      </c>
      <c r="L308">
        <f>'[1]Forward Ranks'!X308</f>
        <v>0</v>
      </c>
      <c r="M308" s="1">
        <f>'[1]Forward Ranks'!AC308</f>
        <v>0.72052401746724892</v>
      </c>
      <c r="N308" s="1">
        <f>'[1]Forward Ranks'!AD308</f>
        <v>0.61572052401746724</v>
      </c>
      <c r="O308" s="1">
        <f>'[1]Forward Ranks'!AE308</f>
        <v>0.87554585152838427</v>
      </c>
      <c r="P308" s="1">
        <f>'[1]Forward Ranks'!AF308</f>
        <v>0.54585152838427953</v>
      </c>
      <c r="Q308">
        <f>'[1]Forward Ranks'!AH308</f>
        <v>0</v>
      </c>
      <c r="R308" s="1">
        <f>'[1]Forward Ranks'!AM308</f>
        <v>0.27292576419213976</v>
      </c>
      <c r="S308" s="1">
        <f>'[1]Forward Ranks'!AN308</f>
        <v>8.7336244541484712E-2</v>
      </c>
      <c r="T308" s="1">
        <f>'[1]Forward Ranks'!AO308</f>
        <v>0.42358078602620086</v>
      </c>
      <c r="U308" s="1">
        <f>'[1]Forward Ranks'!AP308</f>
        <v>0.13100436681222707</v>
      </c>
      <c r="V308">
        <f>'[1]Forward Ranks'!AR308</f>
        <v>0</v>
      </c>
      <c r="W308" s="1">
        <f>'[1]Forward Ranks'!AW308</f>
        <v>0.74017467248908297</v>
      </c>
      <c r="X308" s="1">
        <f>'[1]Forward Ranks'!AX308</f>
        <v>0.58078602620087338</v>
      </c>
      <c r="Y308" s="1">
        <f>'[1]Forward Ranks'!AY308</f>
        <v>0.92139737991266379</v>
      </c>
      <c r="Z308" s="1">
        <f>'[1]Forward Ranks'!AZ308</f>
        <v>0.57205240174672489</v>
      </c>
      <c r="AA308">
        <f>'[1]Forward Ranks'!BB308</f>
        <v>0</v>
      </c>
      <c r="AB308" s="1">
        <f>'[1]Forward Ranks'!BG308</f>
        <v>0.67248908296943233</v>
      </c>
      <c r="AC308" s="1">
        <f>'[1]Forward Ranks'!BH308</f>
        <v>0.22707423580786026</v>
      </c>
      <c r="AD308" s="1">
        <f>'[1]Forward Ranks'!BI308</f>
        <v>0.6026200873362445</v>
      </c>
      <c r="AE308" s="1">
        <f>'[1]Forward Ranks'!BJ308</f>
        <v>0.83406113537117899</v>
      </c>
      <c r="AF308">
        <f>'[1]Forward Ranks'!BL308</f>
        <v>0</v>
      </c>
      <c r="AG308" s="1">
        <f>'[1]Forward Ranks'!BQ308</f>
        <v>0.59825327510917026</v>
      </c>
      <c r="AH308" s="1">
        <f>'[1]Forward Ranks'!BR308</f>
        <v>0.58951965065502188</v>
      </c>
      <c r="AI308" s="1">
        <f>'[1]Forward Ranks'!BS308</f>
        <v>0.79475982532751088</v>
      </c>
      <c r="AJ308" s="1">
        <f>'[1]Forward Ranks'!BT308</f>
        <v>0.46288209606986902</v>
      </c>
      <c r="AL308" s="2">
        <f>'[1]Forward Ranks'!BX308</f>
        <v>0.39956331877729256</v>
      </c>
      <c r="AN308" t="str">
        <f>'[1]Forward Ranks'!B308</f>
        <v>T.B</v>
      </c>
      <c r="AO308">
        <f>'[1]F on ice'!E308</f>
        <v>80</v>
      </c>
      <c r="AP308" s="2">
        <f>'[1]Impact Score Math'!E308</f>
        <v>0.50300601202404804</v>
      </c>
      <c r="AQ308">
        <f>'[1]Impact Score Math'!G308</f>
        <v>249</v>
      </c>
      <c r="AT308" s="1">
        <f>'[1]Forward Ranks'!CJ308</f>
        <v>0.58078602620087338</v>
      </c>
      <c r="AU308" s="1">
        <f>'[1]Forward Ranks'!CK308</f>
        <v>0.5873362445414847</v>
      </c>
    </row>
    <row r="309" spans="1:47" x14ac:dyDescent="0.3">
      <c r="A309" t="str">
        <f>'[1]Forward Ranks'!A309</f>
        <v>Nick Bjugstad</v>
      </c>
      <c r="B309">
        <f>'[1]Forward Ranks'!D309</f>
        <v>0</v>
      </c>
      <c r="C309" s="1">
        <f>'[1]Forward Ranks'!I309</f>
        <v>0.2423580786026201</v>
      </c>
      <c r="D309" s="1">
        <f>'[1]Forward Ranks'!J309</f>
        <v>0.40174672489082969</v>
      </c>
      <c r="E309" s="1">
        <f>'[1]Forward Ranks'!K309</f>
        <v>0.51091703056768556</v>
      </c>
      <c r="F309" s="1">
        <f>'[1]Forward Ranks'!L309</f>
        <v>0.2576419213973799</v>
      </c>
      <c r="G309">
        <f>'[1]Forward Ranks'!N309</f>
        <v>0</v>
      </c>
      <c r="H309" s="1">
        <f>'[1]Forward Ranks'!S309</f>
        <v>0.75764192139737996</v>
      </c>
      <c r="I309" s="1">
        <f>'[1]Forward Ranks'!T309</f>
        <v>0.22707423580786026</v>
      </c>
      <c r="J309" s="1">
        <f>'[1]Forward Ranks'!U309</f>
        <v>0.23580786026200873</v>
      </c>
      <c r="K309" s="1">
        <f>'[1]Forward Ranks'!V309</f>
        <v>0.46943231441048033</v>
      </c>
      <c r="L309">
        <f>'[1]Forward Ranks'!X309</f>
        <v>0</v>
      </c>
      <c r="M309" s="1">
        <f>'[1]Forward Ranks'!AC309</f>
        <v>0.35371179039301309</v>
      </c>
      <c r="N309" s="1">
        <f>'[1]Forward Ranks'!AD309</f>
        <v>0.46724890829694321</v>
      </c>
      <c r="O309" s="1">
        <f>'[1]Forward Ranks'!AE309</f>
        <v>0.84061135371179041</v>
      </c>
      <c r="P309" s="1">
        <f>'[1]Forward Ranks'!AF309</f>
        <v>0.57860262008733621</v>
      </c>
      <c r="Q309">
        <f>'[1]Forward Ranks'!AH309</f>
        <v>0</v>
      </c>
      <c r="R309" s="1">
        <f>'[1]Forward Ranks'!AM309</f>
        <v>0.5393013100436681</v>
      </c>
      <c r="S309" s="1">
        <f>'[1]Forward Ranks'!AN309</f>
        <v>0.51091703056768556</v>
      </c>
      <c r="T309" s="1">
        <f>'[1]Forward Ranks'!AO309</f>
        <v>0.60043668122270744</v>
      </c>
      <c r="U309" s="1">
        <f>'[1]Forward Ranks'!AP309</f>
        <v>0.43231441048034935</v>
      </c>
      <c r="V309">
        <f>'[1]Forward Ranks'!AR309</f>
        <v>0</v>
      </c>
      <c r="W309" s="1">
        <f>'[1]Forward Ranks'!AW309</f>
        <v>0.5633187772925764</v>
      </c>
      <c r="X309" s="1">
        <f>'[1]Forward Ranks'!AX309</f>
        <v>0.78602620087336239</v>
      </c>
      <c r="Y309" s="1">
        <f>'[1]Forward Ranks'!AY309</f>
        <v>0.94759825327510916</v>
      </c>
      <c r="Z309" s="1">
        <f>'[1]Forward Ranks'!AZ309</f>
        <v>0.8733624454148472</v>
      </c>
      <c r="AA309">
        <f>'[1]Forward Ranks'!BB309</f>
        <v>0</v>
      </c>
      <c r="AB309" s="1">
        <f>'[1]Forward Ranks'!BG309</f>
        <v>0.64410480349344978</v>
      </c>
      <c r="AC309" s="1">
        <f>'[1]Forward Ranks'!BH309</f>
        <v>0.1943231441048035</v>
      </c>
      <c r="AD309" s="1">
        <f>'[1]Forward Ranks'!BI309</f>
        <v>0.74890829694323147</v>
      </c>
      <c r="AE309" s="1">
        <f>'[1]Forward Ranks'!BJ309</f>
        <v>0.90174672489082974</v>
      </c>
      <c r="AF309">
        <f>'[1]Forward Ranks'!BL309</f>
        <v>0</v>
      </c>
      <c r="AG309" s="1">
        <f>'[1]Forward Ranks'!BQ309</f>
        <v>0.25327510917030566</v>
      </c>
      <c r="AH309" s="1">
        <f>'[1]Forward Ranks'!BR309</f>
        <v>0.39082969432314413</v>
      </c>
      <c r="AI309" s="1">
        <f>'[1]Forward Ranks'!BS309</f>
        <v>0.79475982532751088</v>
      </c>
      <c r="AJ309" s="1">
        <f>'[1]Forward Ranks'!BT309</f>
        <v>0.33842794759825329</v>
      </c>
      <c r="AL309" s="2">
        <f>'[1]Forward Ranks'!BX309</f>
        <v>0.42794759825327511</v>
      </c>
      <c r="AN309" t="str">
        <f>'[1]Forward Ranks'!B309</f>
        <v>ARI, EDM</v>
      </c>
      <c r="AO309">
        <f>'[1]F on ice'!E309</f>
        <v>78</v>
      </c>
      <c r="AP309" s="2">
        <f>'[1]Impact Score Math'!E309</f>
        <v>0.53106212424849697</v>
      </c>
      <c r="AQ309">
        <f>'[1]Impact Score Math'!G309</f>
        <v>235</v>
      </c>
      <c r="AT309" s="1">
        <f>'[1]Forward Ranks'!CJ309</f>
        <v>0.32751091703056767</v>
      </c>
      <c r="AU309" s="1">
        <f>'[1]Forward Ranks'!CK309</f>
        <v>0.48471615720524019</v>
      </c>
    </row>
    <row r="310" spans="1:47" x14ac:dyDescent="0.3">
      <c r="A310" t="str">
        <f>'[1]Forward Ranks'!A310</f>
        <v>Nick Bonino</v>
      </c>
      <c r="B310">
        <f>'[1]Forward Ranks'!D310</f>
        <v>0</v>
      </c>
      <c r="C310" s="1">
        <f>'[1]Forward Ranks'!I310</f>
        <v>0.27947598253275108</v>
      </c>
      <c r="D310" s="1">
        <f>'[1]Forward Ranks'!J310</f>
        <v>0.58515283842794763</v>
      </c>
      <c r="E310" s="1">
        <f>'[1]Forward Ranks'!K310</f>
        <v>0.54366812227074235</v>
      </c>
      <c r="F310" s="1">
        <f>'[1]Forward Ranks'!L310</f>
        <v>0.56550218340611358</v>
      </c>
      <c r="G310">
        <f>'[1]Forward Ranks'!N310</f>
        <v>0</v>
      </c>
      <c r="H310" s="1">
        <f>'[1]Forward Ranks'!S310</f>
        <v>0.62227074235807855</v>
      </c>
      <c r="I310" s="1">
        <f>'[1]Forward Ranks'!T310</f>
        <v>0.16375545851528384</v>
      </c>
      <c r="J310" s="1">
        <f>'[1]Forward Ranks'!U310</f>
        <v>0.44104803493449779</v>
      </c>
      <c r="K310" s="1">
        <f>'[1]Forward Ranks'!V310</f>
        <v>0.28602620087336245</v>
      </c>
      <c r="L310">
        <f>'[1]Forward Ranks'!X310</f>
        <v>0</v>
      </c>
      <c r="M310" s="1">
        <f>'[1]Forward Ranks'!AC310</f>
        <v>0.60480349344978168</v>
      </c>
      <c r="N310" s="1">
        <f>'[1]Forward Ranks'!AD310</f>
        <v>0.66157205240174677</v>
      </c>
      <c r="O310" s="1">
        <f>'[1]Forward Ranks'!AE310</f>
        <v>0.39956331877729256</v>
      </c>
      <c r="P310" s="1">
        <f>'[1]Forward Ranks'!AF310</f>
        <v>0.60917030567685593</v>
      </c>
      <c r="Q310">
        <f>'[1]Forward Ranks'!AH310</f>
        <v>0</v>
      </c>
      <c r="R310" s="1">
        <f>'[1]Forward Ranks'!AM310</f>
        <v>0.15065502183406113</v>
      </c>
      <c r="S310" s="1">
        <f>'[1]Forward Ranks'!AN310</f>
        <v>5.2401746724890827E-2</v>
      </c>
      <c r="T310" s="1">
        <f>'[1]Forward Ranks'!AO310</f>
        <v>0.4759825327510917</v>
      </c>
      <c r="U310" s="1">
        <f>'[1]Forward Ranks'!AP310</f>
        <v>0.20305676855895197</v>
      </c>
      <c r="V310">
        <f>'[1]Forward Ranks'!AR310</f>
        <v>0</v>
      </c>
      <c r="W310" s="1">
        <f>'[1]Forward Ranks'!AW310</f>
        <v>0.62227074235807855</v>
      </c>
      <c r="X310" s="1">
        <f>'[1]Forward Ranks'!AX310</f>
        <v>0.52183406113537123</v>
      </c>
      <c r="Y310" s="1">
        <f>'[1]Forward Ranks'!AY310</f>
        <v>0.80349344978165937</v>
      </c>
      <c r="Z310" s="1">
        <f>'[1]Forward Ranks'!AZ310</f>
        <v>0.57205240174672489</v>
      </c>
      <c r="AA310">
        <f>'[1]Forward Ranks'!BB310</f>
        <v>0</v>
      </c>
      <c r="AB310" s="1">
        <f>'[1]Forward Ranks'!BG310</f>
        <v>0.38646288209606988</v>
      </c>
      <c r="AC310" s="1">
        <f>'[1]Forward Ranks'!BH310</f>
        <v>0.19868995633187772</v>
      </c>
      <c r="AD310" s="1">
        <f>'[1]Forward Ranks'!BI310</f>
        <v>0.72270742358078599</v>
      </c>
      <c r="AE310" s="1">
        <f>'[1]Forward Ranks'!BJ310</f>
        <v>0.44323144104803491</v>
      </c>
      <c r="AF310">
        <f>'[1]Forward Ranks'!BL310</f>
        <v>0</v>
      </c>
      <c r="AG310" s="1">
        <f>'[1]Forward Ranks'!BQ310</f>
        <v>0.37554585152838427</v>
      </c>
      <c r="AH310" s="1">
        <f>'[1]Forward Ranks'!BR310</f>
        <v>0.6266375545851528</v>
      </c>
      <c r="AI310" s="1">
        <f>'[1]Forward Ranks'!BS310</f>
        <v>0.46506550218340609</v>
      </c>
      <c r="AJ310" s="1">
        <f>'[1]Forward Ranks'!BT310</f>
        <v>0.60917030567685593</v>
      </c>
      <c r="AL310" s="2">
        <f>'[1]Forward Ranks'!BX310</f>
        <v>0.36462882096069871</v>
      </c>
      <c r="AN310" t="str">
        <f>'[1]Forward Ranks'!B310</f>
        <v>PIT, S.J</v>
      </c>
      <c r="AO310">
        <f>'[1]F on ice'!E310</f>
        <v>62</v>
      </c>
      <c r="AP310" s="2">
        <f>'[1]Impact Score Math'!E310</f>
        <v>0.42084168336673344</v>
      </c>
      <c r="AQ310">
        <f>'[1]Impact Score Math'!G310</f>
        <v>290</v>
      </c>
      <c r="AT310" s="1">
        <f>'[1]Forward Ranks'!CJ310</f>
        <v>0.48034934497816595</v>
      </c>
      <c r="AU310" s="1">
        <f>'[1]Forward Ranks'!CK310</f>
        <v>4.3668122270742356E-2</v>
      </c>
    </row>
    <row r="311" spans="1:47" x14ac:dyDescent="0.3">
      <c r="A311" t="str">
        <f>'[1]Forward Ranks'!A311</f>
        <v>Nick Cousins</v>
      </c>
      <c r="B311">
        <f>'[1]Forward Ranks'!D311</f>
        <v>0</v>
      </c>
      <c r="C311" s="1">
        <f>'[1]Forward Ranks'!I311</f>
        <v>0.8253275109170306</v>
      </c>
      <c r="D311" s="1">
        <f>'[1]Forward Ranks'!J311</f>
        <v>0.72925764192139741</v>
      </c>
      <c r="E311" s="1">
        <f>'[1]Forward Ranks'!K311</f>
        <v>0.64628820960698685</v>
      </c>
      <c r="F311" s="1">
        <f>'[1]Forward Ranks'!L311</f>
        <v>0.74235807860262004</v>
      </c>
      <c r="G311">
        <f>'[1]Forward Ranks'!N311</f>
        <v>0</v>
      </c>
      <c r="H311" s="1">
        <f>'[1]Forward Ranks'!S311</f>
        <v>0.45414847161572053</v>
      </c>
      <c r="I311" s="1">
        <f>'[1]Forward Ranks'!T311</f>
        <v>0.79912663755458513</v>
      </c>
      <c r="J311" s="1">
        <f>'[1]Forward Ranks'!U311</f>
        <v>0.53711790393013104</v>
      </c>
      <c r="K311" s="1">
        <f>'[1]Forward Ranks'!V311</f>
        <v>0.68777292576419213</v>
      </c>
      <c r="L311">
        <f>'[1]Forward Ranks'!X311</f>
        <v>0</v>
      </c>
      <c r="M311" s="1">
        <f>'[1]Forward Ranks'!AC311</f>
        <v>0.22270742358078602</v>
      </c>
      <c r="N311" s="1">
        <f>'[1]Forward Ranks'!AD311</f>
        <v>0.17685589519650655</v>
      </c>
      <c r="O311" s="1">
        <f>'[1]Forward Ranks'!AE311</f>
        <v>0.34716157205240172</v>
      </c>
      <c r="P311" s="1">
        <f>'[1]Forward Ranks'!AF311</f>
        <v>0.16157205240174671</v>
      </c>
      <c r="Q311">
        <f>'[1]Forward Ranks'!AH311</f>
        <v>0</v>
      </c>
      <c r="R311" s="1">
        <f>'[1]Forward Ranks'!AM311</f>
        <v>0.32096069868995636</v>
      </c>
      <c r="S311" s="1">
        <f>'[1]Forward Ranks'!AN311</f>
        <v>0.1943231441048035</v>
      </c>
      <c r="T311" s="1">
        <f>'[1]Forward Ranks'!AO311</f>
        <v>0.38646288209606988</v>
      </c>
      <c r="U311" s="1">
        <f>'[1]Forward Ranks'!AP311</f>
        <v>0.27947598253275108</v>
      </c>
      <c r="V311">
        <f>'[1]Forward Ranks'!AR311</f>
        <v>0</v>
      </c>
      <c r="W311" s="1">
        <f>'[1]Forward Ranks'!AW311</f>
        <v>0.21615720524017468</v>
      </c>
      <c r="X311" s="1">
        <f>'[1]Forward Ranks'!AX311</f>
        <v>0.33406113537117904</v>
      </c>
      <c r="Y311" s="1">
        <f>'[1]Forward Ranks'!AY311</f>
        <v>0.24890829694323144</v>
      </c>
      <c r="Z311" s="1">
        <f>'[1]Forward Ranks'!AZ311</f>
        <v>0.16375545851528384</v>
      </c>
      <c r="AA311">
        <f>'[1]Forward Ranks'!BB311</f>
        <v>0</v>
      </c>
      <c r="AB311" s="1">
        <f>'[1]Forward Ranks'!BG311</f>
        <v>0.23799126637554585</v>
      </c>
      <c r="AC311" s="1">
        <f>'[1]Forward Ranks'!BH311</f>
        <v>0.67248908296943233</v>
      </c>
      <c r="AD311" s="1">
        <f>'[1]Forward Ranks'!BI311</f>
        <v>0.43231441048034935</v>
      </c>
      <c r="AE311" s="1">
        <f>'[1]Forward Ranks'!BJ311</f>
        <v>0.46288209606986902</v>
      </c>
      <c r="AF311">
        <f>'[1]Forward Ranks'!BL311</f>
        <v>0</v>
      </c>
      <c r="AG311" s="1">
        <f>'[1]Forward Ranks'!BQ311</f>
        <v>0.58951965065502188</v>
      </c>
      <c r="AH311" s="1">
        <f>'[1]Forward Ranks'!BR311</f>
        <v>0.47816593886462883</v>
      </c>
      <c r="AI311" s="1">
        <f>'[1]Forward Ranks'!BS311</f>
        <v>0.48471615720524019</v>
      </c>
      <c r="AJ311" s="1">
        <f>'[1]Forward Ranks'!BT311</f>
        <v>0.46506550218340609</v>
      </c>
      <c r="AL311" s="2">
        <f>'[1]Forward Ranks'!BX311</f>
        <v>0.40393013100436681</v>
      </c>
      <c r="AN311" t="str">
        <f>'[1]Forward Ranks'!B311</f>
        <v>FLA</v>
      </c>
      <c r="AO311">
        <f>'[1]F on ice'!E311</f>
        <v>79</v>
      </c>
      <c r="AP311" s="2">
        <f>'[1]Impact Score Math'!E311</f>
        <v>0.40480961923847697</v>
      </c>
      <c r="AQ311">
        <f>'[1]Impact Score Math'!G311</f>
        <v>298</v>
      </c>
      <c r="AT311" s="1">
        <f>'[1]Forward Ranks'!CJ311</f>
        <v>0.2423580786026201</v>
      </c>
      <c r="AU311" s="1">
        <f>'[1]Forward Ranks'!CK311</f>
        <v>0.85589519650655022</v>
      </c>
    </row>
    <row r="312" spans="1:47" x14ac:dyDescent="0.3">
      <c r="A312" t="str">
        <f>'[1]Forward Ranks'!A312</f>
        <v>Nick Foligno</v>
      </c>
      <c r="B312">
        <f>'[1]Forward Ranks'!D312</f>
        <v>0</v>
      </c>
      <c r="C312" s="1">
        <f>'[1]Forward Ranks'!I312</f>
        <v>0.16375545851528384</v>
      </c>
      <c r="D312" s="1">
        <f>'[1]Forward Ranks'!J312</f>
        <v>0.41921397379912662</v>
      </c>
      <c r="E312" s="1">
        <f>'[1]Forward Ranks'!K312</f>
        <v>0.81222707423580787</v>
      </c>
      <c r="F312" s="1">
        <f>'[1]Forward Ranks'!L312</f>
        <v>0.1331877729257642</v>
      </c>
      <c r="G312">
        <f>'[1]Forward Ranks'!N312</f>
        <v>0</v>
      </c>
      <c r="H312" s="1">
        <f>'[1]Forward Ranks'!S312</f>
        <v>0.62227074235807855</v>
      </c>
      <c r="I312" s="1">
        <f>'[1]Forward Ranks'!T312</f>
        <v>0.74672489082969429</v>
      </c>
      <c r="J312" s="1">
        <f>'[1]Forward Ranks'!U312</f>
        <v>0.90393013100436681</v>
      </c>
      <c r="K312" s="1">
        <f>'[1]Forward Ranks'!V312</f>
        <v>0.73580786026200873</v>
      </c>
      <c r="L312">
        <f>'[1]Forward Ranks'!X312</f>
        <v>0</v>
      </c>
      <c r="M312" s="1">
        <f>'[1]Forward Ranks'!AC312</f>
        <v>0.77074235807860259</v>
      </c>
      <c r="N312" s="1">
        <f>'[1]Forward Ranks'!AD312</f>
        <v>0.86244541484716153</v>
      </c>
      <c r="O312" s="1">
        <f>'[1]Forward Ranks'!AE312</f>
        <v>0.98471615720524019</v>
      </c>
      <c r="P312" s="1">
        <f>'[1]Forward Ranks'!AF312</f>
        <v>0.93013100436681218</v>
      </c>
      <c r="Q312">
        <f>'[1]Forward Ranks'!AH312</f>
        <v>0</v>
      </c>
      <c r="R312" s="1">
        <f>'[1]Forward Ranks'!AM312</f>
        <v>6.5502183406113537E-2</v>
      </c>
      <c r="S312" s="1">
        <f>'[1]Forward Ranks'!AN312</f>
        <v>0.18995633187772926</v>
      </c>
      <c r="T312" s="1">
        <f>'[1]Forward Ranks'!AO312</f>
        <v>0.53711790393013104</v>
      </c>
      <c r="U312" s="1">
        <f>'[1]Forward Ranks'!AP312</f>
        <v>6.3318777292576414E-2</v>
      </c>
      <c r="V312">
        <f>'[1]Forward Ranks'!AR312</f>
        <v>0</v>
      </c>
      <c r="W312" s="1">
        <f>'[1]Forward Ranks'!AW312</f>
        <v>0.65502183406113534</v>
      </c>
      <c r="X312" s="1">
        <f>'[1]Forward Ranks'!AX312</f>
        <v>0.74672489082969429</v>
      </c>
      <c r="Y312" s="1">
        <f>'[1]Forward Ranks'!AY312</f>
        <v>0.83624454148471616</v>
      </c>
      <c r="Z312" s="1">
        <f>'[1]Forward Ranks'!AZ312</f>
        <v>0.79257641921397382</v>
      </c>
      <c r="AA312">
        <f>'[1]Forward Ranks'!BB312</f>
        <v>0</v>
      </c>
      <c r="AB312" s="1">
        <f>'[1]Forward Ranks'!BG312</f>
        <v>0.22707423580786026</v>
      </c>
      <c r="AC312" s="1">
        <f>'[1]Forward Ranks'!BH312</f>
        <v>1.7467248908296942E-2</v>
      </c>
      <c r="AD312" s="1">
        <f>'[1]Forward Ranks'!BI312</f>
        <v>0.93886462882096067</v>
      </c>
      <c r="AE312" s="1">
        <f>'[1]Forward Ranks'!BJ312</f>
        <v>0.99344978165938869</v>
      </c>
      <c r="AF312">
        <f>'[1]Forward Ranks'!BL312</f>
        <v>0</v>
      </c>
      <c r="AG312" s="1">
        <f>'[1]Forward Ranks'!BQ312</f>
        <v>0.37991266375545851</v>
      </c>
      <c r="AH312" s="1">
        <f>'[1]Forward Ranks'!BR312</f>
        <v>0.63973799126637554</v>
      </c>
      <c r="AI312" s="1">
        <f>'[1]Forward Ranks'!BS312</f>
        <v>0.99563318777292575</v>
      </c>
      <c r="AJ312" s="1">
        <f>'[1]Forward Ranks'!BT312</f>
        <v>0.44323144104803491</v>
      </c>
      <c r="AL312" s="2">
        <f>'[1]Forward Ranks'!BX312</f>
        <v>0.41921397379912662</v>
      </c>
      <c r="AN312" t="str">
        <f>'[1]Forward Ranks'!B312</f>
        <v>BOS</v>
      </c>
      <c r="AO312">
        <f>'[1]F on ice'!E312</f>
        <v>60</v>
      </c>
      <c r="AP312" s="2">
        <f>'[1]Impact Score Math'!E312</f>
        <v>0.41883767535070138</v>
      </c>
      <c r="AQ312">
        <f>'[1]Impact Score Math'!G312</f>
        <v>291</v>
      </c>
      <c r="AT312" s="1">
        <f>'[1]Forward Ranks'!CJ312</f>
        <v>0.11135371179039301</v>
      </c>
      <c r="AU312" s="1">
        <f>'[1]Forward Ranks'!CK312</f>
        <v>0.89082969432314407</v>
      </c>
    </row>
    <row r="313" spans="1:47" x14ac:dyDescent="0.3">
      <c r="A313" t="str">
        <f>'[1]Forward Ranks'!A313</f>
        <v>Nick Ritchie</v>
      </c>
      <c r="B313">
        <f>'[1]Forward Ranks'!D313</f>
        <v>0</v>
      </c>
      <c r="C313" s="1">
        <f>'[1]Forward Ranks'!I313</f>
        <v>0.39082969432314413</v>
      </c>
      <c r="D313" s="1">
        <f>'[1]Forward Ranks'!J313</f>
        <v>0.65283842794759828</v>
      </c>
      <c r="E313" s="1">
        <f>'[1]Forward Ranks'!K313</f>
        <v>0.2816593886462882</v>
      </c>
      <c r="F313" s="1">
        <f>'[1]Forward Ranks'!L313</f>
        <v>0.40611353711790393</v>
      </c>
      <c r="G313">
        <f>'[1]Forward Ranks'!N313</f>
        <v>0</v>
      </c>
      <c r="H313" s="1">
        <f>'[1]Forward Ranks'!S313</f>
        <v>0.50218340611353707</v>
      </c>
      <c r="I313" s="1">
        <f>'[1]Forward Ranks'!T313</f>
        <v>0.11572052401746726</v>
      </c>
      <c r="J313" s="1">
        <f>'[1]Forward Ranks'!U313</f>
        <v>0.25545851528384278</v>
      </c>
      <c r="K313" s="1">
        <f>'[1]Forward Ranks'!V313</f>
        <v>0.1703056768558952</v>
      </c>
      <c r="L313">
        <f>'[1]Forward Ranks'!X313</f>
        <v>0</v>
      </c>
      <c r="M313" s="1">
        <f>'[1]Forward Ranks'!AC313</f>
        <v>0.1091703056768559</v>
      </c>
      <c r="N313" s="1">
        <f>'[1]Forward Ranks'!AD313</f>
        <v>8.7336244541484712E-2</v>
      </c>
      <c r="O313" s="1">
        <f>'[1]Forward Ranks'!AE313</f>
        <v>6.768558951965066E-2</v>
      </c>
      <c r="P313" s="1">
        <f>'[1]Forward Ranks'!AF313</f>
        <v>8.9519650655021835E-2</v>
      </c>
      <c r="Q313">
        <f>'[1]Forward Ranks'!AH313</f>
        <v>0</v>
      </c>
      <c r="R313" s="1">
        <f>'[1]Forward Ranks'!AM313</f>
        <v>0.62008733624454149</v>
      </c>
      <c r="S313" s="1">
        <f>'[1]Forward Ranks'!AN313</f>
        <v>0.85589519650655022</v>
      </c>
      <c r="T313" s="1">
        <f>'[1]Forward Ranks'!AO313</f>
        <v>0.3296943231441048</v>
      </c>
      <c r="U313" s="1">
        <f>'[1]Forward Ranks'!AP313</f>
        <v>0.61572052401746724</v>
      </c>
      <c r="V313">
        <f>'[1]Forward Ranks'!AR313</f>
        <v>0</v>
      </c>
      <c r="W313" s="1">
        <f>'[1]Forward Ranks'!AW313</f>
        <v>0.12663755458515283</v>
      </c>
      <c r="X313" s="1">
        <f>'[1]Forward Ranks'!AX313</f>
        <v>8.5152838427947602E-2</v>
      </c>
      <c r="Y313" s="1">
        <f>'[1]Forward Ranks'!AY313</f>
        <v>4.3668122270742356E-2</v>
      </c>
      <c r="Z313" s="1">
        <f>'[1]Forward Ranks'!AZ313</f>
        <v>7.6419213973799124E-2</v>
      </c>
      <c r="AA313">
        <f>'[1]Forward Ranks'!BB313</f>
        <v>0</v>
      </c>
      <c r="AB313" s="1">
        <f>'[1]Forward Ranks'!BG313</f>
        <v>0.28820960698689957</v>
      </c>
      <c r="AC313" s="1">
        <f>'[1]Forward Ranks'!BH313</f>
        <v>0.45196506550218341</v>
      </c>
      <c r="AD313" s="1">
        <f>'[1]Forward Ranks'!BI313</f>
        <v>0.31004366812227074</v>
      </c>
      <c r="AE313" s="1">
        <f>'[1]Forward Ranks'!BJ313</f>
        <v>0.14628820960698691</v>
      </c>
      <c r="AF313">
        <f>'[1]Forward Ranks'!BL313</f>
        <v>0</v>
      </c>
      <c r="AG313" s="1">
        <f>'[1]Forward Ranks'!BQ313</f>
        <v>0.20087336244541484</v>
      </c>
      <c r="AH313" s="1">
        <f>'[1]Forward Ranks'!BR313</f>
        <v>0.32096069868995636</v>
      </c>
      <c r="AI313" s="1">
        <f>'[1]Forward Ranks'!BS313</f>
        <v>0.10262008733624454</v>
      </c>
      <c r="AJ313" s="1">
        <f>'[1]Forward Ranks'!BT313</f>
        <v>0.18777292576419213</v>
      </c>
      <c r="AL313" s="2">
        <f>'[1]Forward Ranks'!BX313</f>
        <v>0.15065502183406113</v>
      </c>
      <c r="AN313" t="str">
        <f>'[1]Forward Ranks'!B313</f>
        <v>ARI, CGY</v>
      </c>
      <c r="AO313">
        <f>'[1]F on ice'!E313</f>
        <v>74</v>
      </c>
      <c r="AP313" s="2">
        <f>'[1]Impact Score Math'!E313</f>
        <v>0.22645290581162325</v>
      </c>
      <c r="AQ313">
        <f>'[1]Impact Score Math'!G313</f>
        <v>387</v>
      </c>
      <c r="AT313" s="1">
        <f>'[1]Forward Ranks'!CJ313</f>
        <v>0.10698689956331878</v>
      </c>
      <c r="AU313" s="1">
        <f>'[1]Forward Ranks'!CK313</f>
        <v>0.37336244541484714</v>
      </c>
    </row>
    <row r="314" spans="1:47" x14ac:dyDescent="0.3">
      <c r="A314" t="str">
        <f>'[1]Forward Ranks'!A314</f>
        <v>Nick Schmaltz</v>
      </c>
      <c r="B314">
        <f>'[1]Forward Ranks'!D314</f>
        <v>0</v>
      </c>
      <c r="C314" s="1">
        <f>'[1]Forward Ranks'!I314</f>
        <v>0.53056768558951961</v>
      </c>
      <c r="D314" s="1">
        <f>'[1]Forward Ranks'!J314</f>
        <v>0.46943231441048033</v>
      </c>
      <c r="E314" s="1">
        <f>'[1]Forward Ranks'!K314</f>
        <v>0.87772925764192145</v>
      </c>
      <c r="F314" s="1">
        <f>'[1]Forward Ranks'!L314</f>
        <v>0.53493449781659386</v>
      </c>
      <c r="G314">
        <f>'[1]Forward Ranks'!N314</f>
        <v>0</v>
      </c>
      <c r="H314" s="1">
        <f>'[1]Forward Ranks'!S314</f>
        <v>0.79912663755458513</v>
      </c>
      <c r="I314" s="1">
        <f>'[1]Forward Ranks'!T314</f>
        <v>0.89082969432314407</v>
      </c>
      <c r="J314" s="1">
        <f>'[1]Forward Ranks'!U314</f>
        <v>0.68995633187772931</v>
      </c>
      <c r="K314" s="1">
        <f>'[1]Forward Ranks'!V314</f>
        <v>0.91484716157205237</v>
      </c>
      <c r="L314">
        <f>'[1]Forward Ranks'!X314</f>
        <v>0</v>
      </c>
      <c r="M314" s="1">
        <f>'[1]Forward Ranks'!AC314</f>
        <v>0.52620087336244536</v>
      </c>
      <c r="N314" s="1">
        <f>'[1]Forward Ranks'!AD314</f>
        <v>0.48689956331877732</v>
      </c>
      <c r="O314" s="1">
        <f>'[1]Forward Ranks'!AE314</f>
        <v>0.29039301310043669</v>
      </c>
      <c r="P314" s="1">
        <f>'[1]Forward Ranks'!AF314</f>
        <v>0.36244541484716158</v>
      </c>
      <c r="Q314">
        <f>'[1]Forward Ranks'!AH314</f>
        <v>0</v>
      </c>
      <c r="R314" s="1">
        <f>'[1]Forward Ranks'!AM314</f>
        <v>0.9126637554585153</v>
      </c>
      <c r="S314" s="1">
        <f>'[1]Forward Ranks'!AN314</f>
        <v>0.75764192139737996</v>
      </c>
      <c r="T314" s="1">
        <f>'[1]Forward Ranks'!AO314</f>
        <v>0.95196506550218341</v>
      </c>
      <c r="U314" s="1">
        <f>'[1]Forward Ranks'!AP314</f>
        <v>0.86899563318777295</v>
      </c>
      <c r="V314">
        <f>'[1]Forward Ranks'!AR314</f>
        <v>0</v>
      </c>
      <c r="W314" s="1">
        <f>'[1]Forward Ranks'!AW314</f>
        <v>0.92576419213973804</v>
      </c>
      <c r="X314" s="1">
        <f>'[1]Forward Ranks'!AX314</f>
        <v>0.77729257641921401</v>
      </c>
      <c r="Y314" s="1">
        <f>'[1]Forward Ranks'!AY314</f>
        <v>0.21615720524017468</v>
      </c>
      <c r="Z314" s="1">
        <f>'[1]Forward Ranks'!AZ314</f>
        <v>0.57205240174672489</v>
      </c>
      <c r="AA314">
        <f>'[1]Forward Ranks'!BB314</f>
        <v>0</v>
      </c>
      <c r="AB314" s="1">
        <f>'[1]Forward Ranks'!BG314</f>
        <v>0.95196506550218341</v>
      </c>
      <c r="AC314" s="1">
        <f>'[1]Forward Ranks'!BH314</f>
        <v>0.34061135371179041</v>
      </c>
      <c r="AD314" s="1">
        <f>'[1]Forward Ranks'!BI314</f>
        <v>0.94759825327510916</v>
      </c>
      <c r="AE314" s="1">
        <f>'[1]Forward Ranks'!BJ314</f>
        <v>0.80349344978165937</v>
      </c>
      <c r="AF314">
        <f>'[1]Forward Ranks'!BL314</f>
        <v>0</v>
      </c>
      <c r="AG314" s="1">
        <f>'[1]Forward Ranks'!BQ314</f>
        <v>0.51091703056768556</v>
      </c>
      <c r="AH314" s="1">
        <f>'[1]Forward Ranks'!BR314</f>
        <v>0.44323144104803491</v>
      </c>
      <c r="AI314" s="1">
        <f>'[1]Forward Ranks'!BS314</f>
        <v>0.65720524017467252</v>
      </c>
      <c r="AJ314" s="1">
        <f>'[1]Forward Ranks'!BT314</f>
        <v>0.45196506550218341</v>
      </c>
      <c r="AL314" s="2">
        <f>'[1]Forward Ranks'!BX314</f>
        <v>0.83406113537117899</v>
      </c>
      <c r="AN314" t="str">
        <f>'[1]Forward Ranks'!B314</f>
        <v>ARI</v>
      </c>
      <c r="AO314">
        <f>'[1]F on ice'!E314</f>
        <v>63</v>
      </c>
      <c r="AP314" s="2">
        <f>'[1]Impact Score Math'!E314</f>
        <v>0.93186372745490986</v>
      </c>
      <c r="AQ314">
        <f>'[1]Impact Score Math'!G314</f>
        <v>35</v>
      </c>
      <c r="AT314" s="1">
        <f>'[1]Forward Ranks'!CJ314</f>
        <v>0.71834061135371174</v>
      </c>
      <c r="AU314" s="1">
        <f>'[1]Forward Ranks'!CK314</f>
        <v>0.40829694323144106</v>
      </c>
    </row>
    <row r="315" spans="1:47" x14ac:dyDescent="0.3">
      <c r="A315" t="str">
        <f>'[1]Forward Ranks'!A315</f>
        <v>Nick Suzuki</v>
      </c>
      <c r="B315">
        <f>'[1]Forward Ranks'!D315</f>
        <v>0</v>
      </c>
      <c r="C315" s="1">
        <f>'[1]Forward Ranks'!I315</f>
        <v>0.29257641921397382</v>
      </c>
      <c r="D315" s="1">
        <f>'[1]Forward Ranks'!J315</f>
        <v>0.13537117903930132</v>
      </c>
      <c r="E315" s="1">
        <f>'[1]Forward Ranks'!K315</f>
        <v>0.83406113537117899</v>
      </c>
      <c r="F315" s="1">
        <f>'[1]Forward Ranks'!L315</f>
        <v>0.29039301310043669</v>
      </c>
      <c r="G315">
        <f>'[1]Forward Ranks'!N315</f>
        <v>0</v>
      </c>
      <c r="H315" s="1">
        <f>'[1]Forward Ranks'!S315</f>
        <v>0.54585152838427953</v>
      </c>
      <c r="I315" s="1">
        <f>'[1]Forward Ranks'!T315</f>
        <v>0.83624454148471616</v>
      </c>
      <c r="J315" s="1">
        <f>'[1]Forward Ranks'!U315</f>
        <v>0.72925764192139741</v>
      </c>
      <c r="K315" s="1">
        <f>'[1]Forward Ranks'!V315</f>
        <v>0.77292576419213976</v>
      </c>
      <c r="L315">
        <f>'[1]Forward Ranks'!X315</f>
        <v>0</v>
      </c>
      <c r="M315" s="1">
        <f>'[1]Forward Ranks'!AC315</f>
        <v>0.30786026200873362</v>
      </c>
      <c r="N315" s="1">
        <f>'[1]Forward Ranks'!AD315</f>
        <v>9.1703056768558958E-2</v>
      </c>
      <c r="O315" s="1">
        <f>'[1]Forward Ranks'!AE315</f>
        <v>0.1091703056768559</v>
      </c>
      <c r="P315" s="1">
        <f>'[1]Forward Ranks'!AF315</f>
        <v>7.8602620087336247E-2</v>
      </c>
      <c r="Q315">
        <f>'[1]Forward Ranks'!AH315</f>
        <v>0</v>
      </c>
      <c r="R315" s="1">
        <f>'[1]Forward Ranks'!AM315</f>
        <v>0.66157205240174677</v>
      </c>
      <c r="S315" s="1">
        <f>'[1]Forward Ranks'!AN315</f>
        <v>0.34279475982532753</v>
      </c>
      <c r="T315" s="1">
        <f>'[1]Forward Ranks'!AO315</f>
        <v>0.92794759825327511</v>
      </c>
      <c r="U315" s="1">
        <f>'[1]Forward Ranks'!AP315</f>
        <v>0.57641921397379914</v>
      </c>
      <c r="V315">
        <f>'[1]Forward Ranks'!AR315</f>
        <v>0</v>
      </c>
      <c r="W315" s="1">
        <f>'[1]Forward Ranks'!AW315</f>
        <v>0.53275109170305679</v>
      </c>
      <c r="X315" s="1">
        <f>'[1]Forward Ranks'!AX315</f>
        <v>0.28602620087336245</v>
      </c>
      <c r="Y315" s="1">
        <f>'[1]Forward Ranks'!AY315</f>
        <v>0.21615720524017468</v>
      </c>
      <c r="Z315" s="1">
        <f>'[1]Forward Ranks'!AZ315</f>
        <v>0.21179039301310043</v>
      </c>
      <c r="AA315">
        <f>'[1]Forward Ranks'!BB315</f>
        <v>0</v>
      </c>
      <c r="AB315" s="1">
        <f>'[1]Forward Ranks'!BG315</f>
        <v>0.94104803493449785</v>
      </c>
      <c r="AC315" s="1">
        <f>'[1]Forward Ranks'!BH315</f>
        <v>0.49126637554585151</v>
      </c>
      <c r="AD315" s="1">
        <f>'[1]Forward Ranks'!BI315</f>
        <v>0.94541484716157209</v>
      </c>
      <c r="AE315" s="1">
        <f>'[1]Forward Ranks'!BJ315</f>
        <v>0.67685589519650657</v>
      </c>
      <c r="AF315">
        <f>'[1]Forward Ranks'!BL315</f>
        <v>0</v>
      </c>
      <c r="AG315" s="1">
        <f>'[1]Forward Ranks'!BQ315</f>
        <v>0.26200873362445415</v>
      </c>
      <c r="AH315" s="1">
        <f>'[1]Forward Ranks'!BR315</f>
        <v>7.2052401746724892E-2</v>
      </c>
      <c r="AI315" s="1">
        <f>'[1]Forward Ranks'!BS315</f>
        <v>0.44541484716157204</v>
      </c>
      <c r="AJ315" s="1">
        <f>'[1]Forward Ranks'!BT315</f>
        <v>0.1331877729257642</v>
      </c>
      <c r="AL315" s="2">
        <f>'[1]Forward Ranks'!BX315</f>
        <v>0.39519650655021832</v>
      </c>
      <c r="AN315" t="str">
        <f>'[1]Forward Ranks'!B315</f>
        <v>MTL</v>
      </c>
      <c r="AO315">
        <f>'[1]F on ice'!E315</f>
        <v>82</v>
      </c>
      <c r="AP315" s="2">
        <f>'[1]Impact Score Math'!E315</f>
        <v>0.59519038076152309</v>
      </c>
      <c r="AQ315">
        <f>'[1]Impact Score Math'!G315</f>
        <v>203</v>
      </c>
      <c r="AT315" s="1">
        <f>'[1]Forward Ranks'!CJ315</f>
        <v>0.79475982532751088</v>
      </c>
      <c r="AU315" s="1">
        <f>'[1]Forward Ranks'!CK315</f>
        <v>0.54803493449781659</v>
      </c>
    </row>
    <row r="316" spans="1:47" x14ac:dyDescent="0.3">
      <c r="A316" t="str">
        <f>'[1]Forward Ranks'!A316</f>
        <v>Nicklas Backstrom</v>
      </c>
      <c r="B316">
        <f>'[1]Forward Ranks'!D316</f>
        <v>0</v>
      </c>
      <c r="C316" s="1">
        <f>'[1]Forward Ranks'!I316</f>
        <v>0.22925764192139739</v>
      </c>
      <c r="D316" s="1">
        <f>'[1]Forward Ranks'!J316</f>
        <v>0.35589519650655022</v>
      </c>
      <c r="E316" s="1">
        <f>'[1]Forward Ranks'!K316</f>
        <v>0.1331877729257642</v>
      </c>
      <c r="F316" s="1">
        <f>'[1]Forward Ranks'!L316</f>
        <v>0.45414847161572053</v>
      </c>
      <c r="G316">
        <f>'[1]Forward Ranks'!N316</f>
        <v>0</v>
      </c>
      <c r="H316" s="1">
        <f>'[1]Forward Ranks'!S316</f>
        <v>1.9650655021834062E-2</v>
      </c>
      <c r="I316" s="1">
        <f>'[1]Forward Ranks'!T316</f>
        <v>0.55458515283842791</v>
      </c>
      <c r="J316" s="1">
        <f>'[1]Forward Ranks'!U316</f>
        <v>0.57205240174672489</v>
      </c>
      <c r="K316" s="1">
        <f>'[1]Forward Ranks'!V316</f>
        <v>0.15283842794759825</v>
      </c>
      <c r="L316">
        <f>'[1]Forward Ranks'!X316</f>
        <v>0</v>
      </c>
      <c r="M316" s="1">
        <f>'[1]Forward Ranks'!AC316</f>
        <v>0.34934497816593885</v>
      </c>
      <c r="N316" s="1">
        <f>'[1]Forward Ranks'!AD316</f>
        <v>0.78602620087336239</v>
      </c>
      <c r="O316" s="1">
        <f>'[1]Forward Ranks'!AE316</f>
        <v>9.8253275109170299E-2</v>
      </c>
      <c r="P316" s="1">
        <f>'[1]Forward Ranks'!AF316</f>
        <v>0.60917030567685593</v>
      </c>
      <c r="Q316">
        <f>'[1]Forward Ranks'!AH316</f>
        <v>0</v>
      </c>
      <c r="R316" s="1">
        <f>'[1]Forward Ranks'!AM316</f>
        <v>0.16812227074235808</v>
      </c>
      <c r="S316" s="1">
        <f>'[1]Forward Ranks'!AN316</f>
        <v>0.22270742358078602</v>
      </c>
      <c r="T316" s="1">
        <f>'[1]Forward Ranks'!AO316</f>
        <v>7.8602620087336247E-2</v>
      </c>
      <c r="U316" s="1">
        <f>'[1]Forward Ranks'!AP316</f>
        <v>0.34934497816593885</v>
      </c>
      <c r="V316">
        <f>'[1]Forward Ranks'!AR316</f>
        <v>0</v>
      </c>
      <c r="W316" s="1">
        <f>'[1]Forward Ranks'!AW316</f>
        <v>0.74672489082969429</v>
      </c>
      <c r="X316" s="1">
        <f>'[1]Forward Ranks'!AX316</f>
        <v>0.98471615720524019</v>
      </c>
      <c r="Y316" s="1">
        <f>'[1]Forward Ranks'!AY316</f>
        <v>0.38427947598253276</v>
      </c>
      <c r="Z316" s="1">
        <f>'[1]Forward Ranks'!AZ316</f>
        <v>0.9759825327510917</v>
      </c>
      <c r="AA316">
        <f>'[1]Forward Ranks'!BB316</f>
        <v>0</v>
      </c>
      <c r="AB316" s="1">
        <f>'[1]Forward Ranks'!BG316</f>
        <v>0.57423580786026196</v>
      </c>
      <c r="AC316" s="1">
        <f>'[1]Forward Ranks'!BH316</f>
        <v>0.46724890829694321</v>
      </c>
      <c r="AD316" s="1">
        <f>'[1]Forward Ranks'!BI316</f>
        <v>0.10043668122270742</v>
      </c>
      <c r="AE316" s="1">
        <f>'[1]Forward Ranks'!BJ316</f>
        <v>1.0917030567685589E-2</v>
      </c>
      <c r="AF316">
        <f>'[1]Forward Ranks'!BL316</f>
        <v>0</v>
      </c>
      <c r="AG316" s="1">
        <f>'[1]Forward Ranks'!BQ316</f>
        <v>0.24454148471615719</v>
      </c>
      <c r="AH316" s="1">
        <f>'[1]Forward Ranks'!BR316</f>
        <v>0.51310043668122274</v>
      </c>
      <c r="AI316" s="1">
        <f>'[1]Forward Ranks'!BS316</f>
        <v>5.458515283842795E-2</v>
      </c>
      <c r="AJ316" s="1">
        <f>'[1]Forward Ranks'!BT316</f>
        <v>0.53056768558951961</v>
      </c>
      <c r="AL316" s="2">
        <f>'[1]Forward Ranks'!BX316</f>
        <v>0.34279475982532753</v>
      </c>
      <c r="AN316" t="str">
        <f>'[1]Forward Ranks'!B316</f>
        <v>WSH</v>
      </c>
      <c r="AO316">
        <f>'[1]F on ice'!E316</f>
        <v>39</v>
      </c>
      <c r="AP316" s="2">
        <f>'[1]Impact Score Math'!E316</f>
        <v>0.46292585170340683</v>
      </c>
      <c r="AQ316">
        <f>'[1]Impact Score Math'!G316</f>
        <v>269</v>
      </c>
      <c r="AT316" s="1">
        <f>'[1]Forward Ranks'!CJ316</f>
        <v>0.6026200873362445</v>
      </c>
      <c r="AU316" s="1">
        <f>'[1]Forward Ranks'!CK316</f>
        <v>2.6200873362445413E-2</v>
      </c>
    </row>
    <row r="317" spans="1:47" x14ac:dyDescent="0.3">
      <c r="A317" t="str">
        <f>'[1]Forward Ranks'!A317</f>
        <v>Nico Hischier</v>
      </c>
      <c r="B317">
        <f>'[1]Forward Ranks'!D317</f>
        <v>0</v>
      </c>
      <c r="C317" s="1">
        <f>'[1]Forward Ranks'!I317</f>
        <v>0.92794759825327511</v>
      </c>
      <c r="D317" s="1">
        <f>'[1]Forward Ranks'!J317</f>
        <v>0.92139737991266379</v>
      </c>
      <c r="E317" s="1">
        <f>'[1]Forward Ranks'!K317</f>
        <v>0.9126637554585153</v>
      </c>
      <c r="F317" s="1">
        <f>'[1]Forward Ranks'!L317</f>
        <v>0.93449781659388642</v>
      </c>
      <c r="G317">
        <f>'[1]Forward Ranks'!N317</f>
        <v>0</v>
      </c>
      <c r="H317" s="1">
        <f>'[1]Forward Ranks'!S317</f>
        <v>0.65938864628820959</v>
      </c>
      <c r="I317" s="1">
        <f>'[1]Forward Ranks'!T317</f>
        <v>0.97379912663755464</v>
      </c>
      <c r="J317" s="1">
        <f>'[1]Forward Ranks'!U317</f>
        <v>0.98034934497816595</v>
      </c>
      <c r="K317" s="1">
        <f>'[1]Forward Ranks'!V317</f>
        <v>0.94323144104803491</v>
      </c>
      <c r="L317">
        <f>'[1]Forward Ranks'!X317</f>
        <v>0</v>
      </c>
      <c r="M317" s="1">
        <f>'[1]Forward Ranks'!AC317</f>
        <v>0.78820960698689957</v>
      </c>
      <c r="N317" s="1">
        <f>'[1]Forward Ranks'!AD317</f>
        <v>0.86681222707423577</v>
      </c>
      <c r="O317" s="1">
        <f>'[1]Forward Ranks'!AE317</f>
        <v>0.72489082969432317</v>
      </c>
      <c r="P317" s="1">
        <f>'[1]Forward Ranks'!AF317</f>
        <v>0.88427947598253276</v>
      </c>
      <c r="Q317">
        <f>'[1]Forward Ranks'!AH317</f>
        <v>0</v>
      </c>
      <c r="R317" s="1">
        <f>'[1]Forward Ranks'!AM317</f>
        <v>0.81659388646288211</v>
      </c>
      <c r="S317" s="1">
        <f>'[1]Forward Ranks'!AN317</f>
        <v>0.76200873362445409</v>
      </c>
      <c r="T317" s="1">
        <f>'[1]Forward Ranks'!AO317</f>
        <v>0.80786026200873362</v>
      </c>
      <c r="U317" s="1">
        <f>'[1]Forward Ranks'!AP317</f>
        <v>0.79257641921397382</v>
      </c>
      <c r="V317">
        <f>'[1]Forward Ranks'!AR317</f>
        <v>0</v>
      </c>
      <c r="W317" s="1">
        <f>'[1]Forward Ranks'!AW317</f>
        <v>0.58078602620087338</v>
      </c>
      <c r="X317" s="1">
        <f>'[1]Forward Ranks'!AX317</f>
        <v>0.51528384279475981</v>
      </c>
      <c r="Y317" s="1">
        <f>'[1]Forward Ranks'!AY317</f>
        <v>0.56986899563318782</v>
      </c>
      <c r="Z317" s="1">
        <f>'[1]Forward Ranks'!AZ317</f>
        <v>0.74454148471615722</v>
      </c>
      <c r="AA317">
        <f>'[1]Forward Ranks'!BB317</f>
        <v>0</v>
      </c>
      <c r="AB317" s="1">
        <f>'[1]Forward Ranks'!BG317</f>
        <v>0.71179039301310043</v>
      </c>
      <c r="AC317" s="1">
        <f>'[1]Forward Ranks'!BH317</f>
        <v>0.30131004366812225</v>
      </c>
      <c r="AD317" s="1">
        <f>'[1]Forward Ranks'!BI317</f>
        <v>0.75327510917030571</v>
      </c>
      <c r="AE317" s="1">
        <f>'[1]Forward Ranks'!BJ317</f>
        <v>0.74672489082969429</v>
      </c>
      <c r="AF317">
        <f>'[1]Forward Ranks'!BL317</f>
        <v>0</v>
      </c>
      <c r="AG317" s="1">
        <f>'[1]Forward Ranks'!BQ317</f>
        <v>0.9366812227074236</v>
      </c>
      <c r="AH317" s="1">
        <f>'[1]Forward Ranks'!BR317</f>
        <v>0.95851528384279472</v>
      </c>
      <c r="AI317" s="1">
        <f>'[1]Forward Ranks'!BS317</f>
        <v>0.90611353711790388</v>
      </c>
      <c r="AJ317" s="1">
        <f>'[1]Forward Ranks'!BT317</f>
        <v>0.97161572052401746</v>
      </c>
      <c r="AL317" s="2">
        <f>'[1]Forward Ranks'!BX317</f>
        <v>0.97379912663755464</v>
      </c>
      <c r="AN317" t="str">
        <f>'[1]Forward Ranks'!B317</f>
        <v>N.J</v>
      </c>
      <c r="AO317">
        <f>'[1]F on ice'!E317</f>
        <v>81</v>
      </c>
      <c r="AP317" s="2">
        <f>'[1]Impact Score Math'!E317</f>
        <v>0.97394789579158314</v>
      </c>
      <c r="AQ317">
        <f>'[1]Impact Score Math'!G317</f>
        <v>14</v>
      </c>
      <c r="AT317" s="1">
        <f>'[1]Forward Ranks'!CJ317</f>
        <v>0.95414847161572047</v>
      </c>
      <c r="AU317" s="1">
        <f>'[1]Forward Ranks'!CK317</f>
        <v>0.78165938864628826</v>
      </c>
    </row>
    <row r="318" spans="1:47" x14ac:dyDescent="0.3">
      <c r="A318" t="str">
        <f>'[1]Forward Ranks'!A318</f>
        <v>Nico Sturm</v>
      </c>
      <c r="B318">
        <f>'[1]Forward Ranks'!D318</f>
        <v>0</v>
      </c>
      <c r="C318" s="1">
        <f>'[1]Forward Ranks'!I318</f>
        <v>0.35152838427947597</v>
      </c>
      <c r="D318" s="1">
        <f>'[1]Forward Ranks'!J318</f>
        <v>0.70524017467248912</v>
      </c>
      <c r="E318" s="1">
        <f>'[1]Forward Ranks'!K318</f>
        <v>0.54366812227074235</v>
      </c>
      <c r="F318" s="1">
        <f>'[1]Forward Ranks'!L318</f>
        <v>0.53493449781659386</v>
      </c>
      <c r="G318">
        <f>'[1]Forward Ranks'!N318</f>
        <v>0</v>
      </c>
      <c r="H318" s="1">
        <f>'[1]Forward Ranks'!S318</f>
        <v>0.70960698689956336</v>
      </c>
      <c r="I318" s="1">
        <f>'[1]Forward Ranks'!T318</f>
        <v>0.40393013100436681</v>
      </c>
      <c r="J318" s="1">
        <f>'[1]Forward Ranks'!U318</f>
        <v>0.42358078602620086</v>
      </c>
      <c r="K318" s="1">
        <f>'[1]Forward Ranks'!V318</f>
        <v>0.55240174672489084</v>
      </c>
      <c r="L318">
        <f>'[1]Forward Ranks'!X318</f>
        <v>0</v>
      </c>
      <c r="M318" s="1">
        <f>'[1]Forward Ranks'!AC318</f>
        <v>0.26419213973799127</v>
      </c>
      <c r="N318" s="1">
        <f>'[1]Forward Ranks'!AD318</f>
        <v>0.13537117903930132</v>
      </c>
      <c r="O318" s="1">
        <f>'[1]Forward Ranks'!AE318</f>
        <v>0.15283842794759825</v>
      </c>
      <c r="P318" s="1">
        <f>'[1]Forward Ranks'!AF318</f>
        <v>0.25327510917030566</v>
      </c>
      <c r="Q318">
        <f>'[1]Forward Ranks'!AH318</f>
        <v>0</v>
      </c>
      <c r="R318" s="1">
        <f>'[1]Forward Ranks'!AM318</f>
        <v>0.39737991266375544</v>
      </c>
      <c r="S318" s="1">
        <f>'[1]Forward Ranks'!AN318</f>
        <v>0.20960698689956331</v>
      </c>
      <c r="T318" s="1">
        <f>'[1]Forward Ranks'!AO318</f>
        <v>0.59388646288209612</v>
      </c>
      <c r="U318" s="1">
        <f>'[1]Forward Ranks'!AP318</f>
        <v>0.28602620087336245</v>
      </c>
      <c r="V318">
        <f>'[1]Forward Ranks'!AR318</f>
        <v>0</v>
      </c>
      <c r="W318" s="1">
        <f>'[1]Forward Ranks'!AW318</f>
        <v>0.38427947598253276</v>
      </c>
      <c r="X318" s="1">
        <f>'[1]Forward Ranks'!AX318</f>
        <v>0.11135371179039301</v>
      </c>
      <c r="Y318" s="1">
        <f>'[1]Forward Ranks'!AY318</f>
        <v>0.64628820960698685</v>
      </c>
      <c r="Z318" s="1">
        <f>'[1]Forward Ranks'!AZ318</f>
        <v>0.39956331877729256</v>
      </c>
      <c r="AA318">
        <f>'[1]Forward Ranks'!BB318</f>
        <v>0</v>
      </c>
      <c r="AB318" s="1">
        <f>'[1]Forward Ranks'!BG318</f>
        <v>0.37336244541484714</v>
      </c>
      <c r="AC318" s="1">
        <f>'[1]Forward Ranks'!BH318</f>
        <v>0.10698689956331878</v>
      </c>
      <c r="AD318" s="1">
        <f>'[1]Forward Ranks'!BI318</f>
        <v>0.67903930131004364</v>
      </c>
      <c r="AE318" s="1">
        <f>'[1]Forward Ranks'!BJ318</f>
        <v>0.34061135371179041</v>
      </c>
      <c r="AF318">
        <f>'[1]Forward Ranks'!BL318</f>
        <v>0</v>
      </c>
      <c r="AG318" s="1">
        <f>'[1]Forward Ranks'!BQ318</f>
        <v>0.29912663755458513</v>
      </c>
      <c r="AH318" s="1">
        <f>'[1]Forward Ranks'!BR318</f>
        <v>0.41048034934497818</v>
      </c>
      <c r="AI318" s="1">
        <f>'[1]Forward Ranks'!BS318</f>
        <v>0.29475982532751094</v>
      </c>
      <c r="AJ318" s="1">
        <f>'[1]Forward Ranks'!BT318</f>
        <v>0.38427947598253276</v>
      </c>
      <c r="AL318" s="2">
        <f>'[1]Forward Ranks'!BX318</f>
        <v>0.3056768558951965</v>
      </c>
      <c r="AN318" t="str">
        <f>'[1]Forward Ranks'!B318</f>
        <v>S.J</v>
      </c>
      <c r="AO318">
        <f>'[1]F on ice'!E318</f>
        <v>74</v>
      </c>
      <c r="AP318" s="2">
        <f>'[1]Impact Score Math'!E318</f>
        <v>0.37474949899799598</v>
      </c>
      <c r="AQ318">
        <f>'[1]Impact Score Math'!G318</f>
        <v>313</v>
      </c>
      <c r="AT318" s="1">
        <f>'[1]Forward Ranks'!CJ318</f>
        <v>0.52838427947598254</v>
      </c>
      <c r="AU318" s="1">
        <f>'[1]Forward Ranks'!CK318</f>
        <v>0.26637554585152839</v>
      </c>
    </row>
    <row r="319" spans="1:47" x14ac:dyDescent="0.3">
      <c r="A319" t="str">
        <f>'[1]Forward Ranks'!A319</f>
        <v>Nicolas Aube-Kubel</v>
      </c>
      <c r="B319">
        <f>'[1]Forward Ranks'!D319</f>
        <v>0</v>
      </c>
      <c r="C319" s="1">
        <f>'[1]Forward Ranks'!I319</f>
        <v>0.4606986899563319</v>
      </c>
      <c r="D319" s="1">
        <f>'[1]Forward Ranks'!J319</f>
        <v>0.47816593886462883</v>
      </c>
      <c r="E319" s="1">
        <f>'[1]Forward Ranks'!K319</f>
        <v>0.28820960698689957</v>
      </c>
      <c r="F319" s="1">
        <f>'[1]Forward Ranks'!L319</f>
        <v>0.388646288209607</v>
      </c>
      <c r="G319">
        <f>'[1]Forward Ranks'!N319</f>
        <v>0</v>
      </c>
      <c r="H319" s="1">
        <f>'[1]Forward Ranks'!S319</f>
        <v>0.16812227074235808</v>
      </c>
      <c r="I319" s="1">
        <f>'[1]Forward Ranks'!T319</f>
        <v>0.3930131004366812</v>
      </c>
      <c r="J319" s="1">
        <f>'[1]Forward Ranks'!U319</f>
        <v>0.17903930131004367</v>
      </c>
      <c r="K319" s="1">
        <f>'[1]Forward Ranks'!V319</f>
        <v>0.21397379912663755</v>
      </c>
      <c r="L319">
        <f>'[1]Forward Ranks'!X319</f>
        <v>0</v>
      </c>
      <c r="M319" s="1">
        <f>'[1]Forward Ranks'!AC319</f>
        <v>0.85589519650655022</v>
      </c>
      <c r="N319" s="1">
        <f>'[1]Forward Ranks'!AD319</f>
        <v>0.67685589519650657</v>
      </c>
      <c r="O319" s="1">
        <f>'[1]Forward Ranks'!AE319</f>
        <v>0.80786026200873362</v>
      </c>
      <c r="P319" s="1">
        <f>'[1]Forward Ranks'!AF319</f>
        <v>0.77074235807860259</v>
      </c>
      <c r="Q319">
        <f>'[1]Forward Ranks'!AH319</f>
        <v>0</v>
      </c>
      <c r="R319" s="1">
        <f>'[1]Forward Ranks'!AM319</f>
        <v>0.3930131004366812</v>
      </c>
      <c r="S319" s="1">
        <f>'[1]Forward Ranks'!AN319</f>
        <v>0.43013100436681223</v>
      </c>
      <c r="T319" s="1">
        <f>'[1]Forward Ranks'!AO319</f>
        <v>0.25327510917030566</v>
      </c>
      <c r="U319" s="1">
        <f>'[1]Forward Ranks'!AP319</f>
        <v>0.29257641921397382</v>
      </c>
      <c r="V319">
        <f>'[1]Forward Ranks'!AR319</f>
        <v>0</v>
      </c>
      <c r="W319" s="1">
        <f>'[1]Forward Ranks'!AW319</f>
        <v>0.97379912663755464</v>
      </c>
      <c r="X319" s="1">
        <f>'[1]Forward Ranks'!AX319</f>
        <v>0.94759825327510916</v>
      </c>
      <c r="Y319" s="1">
        <f>'[1]Forward Ranks'!AY319</f>
        <v>0.96724890829694321</v>
      </c>
      <c r="Z319" s="1">
        <f>'[1]Forward Ranks'!AZ319</f>
        <v>0.96288209606986896</v>
      </c>
      <c r="AA319">
        <f>'[1]Forward Ranks'!BB319</f>
        <v>0</v>
      </c>
      <c r="AB319" s="1">
        <f>'[1]Forward Ranks'!BG319</f>
        <v>0.29257641921397382</v>
      </c>
      <c r="AC319" s="1">
        <f>'[1]Forward Ranks'!BH319</f>
        <v>8.0786026200873357E-2</v>
      </c>
      <c r="AD319" s="1">
        <f>'[1]Forward Ranks'!BI319</f>
        <v>0.29039301310043669</v>
      </c>
      <c r="AE319" s="1">
        <f>'[1]Forward Ranks'!BJ319</f>
        <v>0.388646288209607</v>
      </c>
      <c r="AF319">
        <f>'[1]Forward Ranks'!BL319</f>
        <v>0</v>
      </c>
      <c r="AG319" s="1">
        <f>'[1]Forward Ranks'!BQ319</f>
        <v>0.65502183406113534</v>
      </c>
      <c r="AH319" s="1">
        <f>'[1]Forward Ranks'!BR319</f>
        <v>0.55895196506550215</v>
      </c>
      <c r="AI319" s="1">
        <f>'[1]Forward Ranks'!BS319</f>
        <v>0.55895196506550215</v>
      </c>
      <c r="AJ319" s="1">
        <f>'[1]Forward Ranks'!BT319</f>
        <v>0.59170305676855894</v>
      </c>
      <c r="AL319" s="2">
        <f>'[1]Forward Ranks'!BX319</f>
        <v>0.62445414847161573</v>
      </c>
      <c r="AN319" t="str">
        <f>'[1]Forward Ranks'!B319</f>
        <v>TOR, WSH</v>
      </c>
      <c r="AO319">
        <f>'[1]F on ice'!E319</f>
        <v>53</v>
      </c>
      <c r="AP319" s="2">
        <f>'[1]Impact Score Math'!E319</f>
        <v>0.58717434869739482</v>
      </c>
      <c r="AQ319">
        <f>'[1]Impact Score Math'!G319</f>
        <v>207</v>
      </c>
      <c r="AT319" s="1">
        <f>'[1]Forward Ranks'!CJ319</f>
        <v>8.0786026200873357E-2</v>
      </c>
      <c r="AU319" s="1">
        <f>'[1]Forward Ranks'!CK319</f>
        <v>0.74235807860262004</v>
      </c>
    </row>
    <row r="320" spans="1:47" x14ac:dyDescent="0.3">
      <c r="A320" t="str">
        <f>'[1]Forward Ranks'!A320</f>
        <v>Nicolas Deslauriers</v>
      </c>
      <c r="B320">
        <f>'[1]Forward Ranks'!D320</f>
        <v>0</v>
      </c>
      <c r="C320" s="1">
        <f>'[1]Forward Ranks'!I320</f>
        <v>0.14410480349344978</v>
      </c>
      <c r="D320" s="1">
        <f>'[1]Forward Ranks'!J320</f>
        <v>5.458515283842795E-2</v>
      </c>
      <c r="E320" s="1">
        <f>'[1]Forward Ranks'!K320</f>
        <v>5.0218340611353711E-2</v>
      </c>
      <c r="F320" s="1">
        <f>'[1]Forward Ranks'!L320</f>
        <v>5.458515283842795E-2</v>
      </c>
      <c r="G320">
        <f>'[1]Forward Ranks'!N320</f>
        <v>0</v>
      </c>
      <c r="H320" s="1">
        <f>'[1]Forward Ranks'!S320</f>
        <v>0.16812227074235808</v>
      </c>
      <c r="I320" s="1">
        <f>'[1]Forward Ranks'!T320</f>
        <v>0.10480349344978165</v>
      </c>
      <c r="J320" s="1">
        <f>'[1]Forward Ranks'!U320</f>
        <v>2.6200873362445413E-2</v>
      </c>
      <c r="K320" s="1">
        <f>'[1]Forward Ranks'!V320</f>
        <v>6.9868995633187769E-2</v>
      </c>
      <c r="L320">
        <f>'[1]Forward Ranks'!X320</f>
        <v>0</v>
      </c>
      <c r="M320" s="1">
        <f>'[1]Forward Ranks'!AC320</f>
        <v>0.6026200873362445</v>
      </c>
      <c r="N320" s="1">
        <f>'[1]Forward Ranks'!AD320</f>
        <v>0.85807860262008728</v>
      </c>
      <c r="O320" s="1">
        <f>'[1]Forward Ranks'!AE320</f>
        <v>0.55240174672489084</v>
      </c>
      <c r="P320" s="1">
        <f>'[1]Forward Ranks'!AF320</f>
        <v>0.74454148471615722</v>
      </c>
      <c r="Q320">
        <f>'[1]Forward Ranks'!AH320</f>
        <v>0</v>
      </c>
      <c r="R320" s="1">
        <f>'[1]Forward Ranks'!AM320</f>
        <v>0.13537117903930132</v>
      </c>
      <c r="S320" s="1">
        <f>'[1]Forward Ranks'!AN320</f>
        <v>0.10698689956331878</v>
      </c>
      <c r="T320" s="1">
        <f>'[1]Forward Ranks'!AO320</f>
        <v>0.11572052401746726</v>
      </c>
      <c r="U320" s="1">
        <f>'[1]Forward Ranks'!AP320</f>
        <v>0.11135371179039301</v>
      </c>
      <c r="V320">
        <f>'[1]Forward Ranks'!AR320</f>
        <v>0</v>
      </c>
      <c r="W320" s="1">
        <f>'[1]Forward Ranks'!AW320</f>
        <v>0.76637554585152834</v>
      </c>
      <c r="X320" s="1">
        <f>'[1]Forward Ranks'!AX320</f>
        <v>0.95851528384279472</v>
      </c>
      <c r="Y320" s="1">
        <f>'[1]Forward Ranks'!AY320</f>
        <v>0.62445414847161573</v>
      </c>
      <c r="Z320" s="1">
        <f>'[1]Forward Ranks'!AZ320</f>
        <v>0.85589519650655022</v>
      </c>
      <c r="AA320">
        <f>'[1]Forward Ranks'!BB320</f>
        <v>0</v>
      </c>
      <c r="AB320" s="1">
        <f>'[1]Forward Ranks'!BG320</f>
        <v>6.768558951965066E-2</v>
      </c>
      <c r="AC320" s="1">
        <f>'[1]Forward Ranks'!BH320</f>
        <v>0.63537117903930129</v>
      </c>
      <c r="AD320" s="1">
        <f>'[1]Forward Ranks'!BI320</f>
        <v>8.296943231441048E-2</v>
      </c>
      <c r="AE320" s="1">
        <f>'[1]Forward Ranks'!BJ320</f>
        <v>0.13537117903930132</v>
      </c>
      <c r="AF320">
        <f>'[1]Forward Ranks'!BL320</f>
        <v>0</v>
      </c>
      <c r="AG320" s="1">
        <f>'[1]Forward Ranks'!BQ320</f>
        <v>0.28384279475982532</v>
      </c>
      <c r="AH320" s="1">
        <f>'[1]Forward Ranks'!BR320</f>
        <v>0.26637554585152839</v>
      </c>
      <c r="AI320" s="1">
        <f>'[1]Forward Ranks'!BS320</f>
        <v>9.3886462882096067E-2</v>
      </c>
      <c r="AJ320" s="1">
        <f>'[1]Forward Ranks'!BT320</f>
        <v>0.20305676855895197</v>
      </c>
      <c r="AL320" s="2">
        <f>'[1]Forward Ranks'!BX320</f>
        <v>0.16593886462882096</v>
      </c>
      <c r="AN320" t="str">
        <f>'[1]Forward Ranks'!B320</f>
        <v>PHI</v>
      </c>
      <c r="AO320">
        <f>'[1]F on ice'!E320</f>
        <v>80</v>
      </c>
      <c r="AP320" s="2">
        <f>'[1]Impact Score Math'!E320</f>
        <v>0.18837675350701402</v>
      </c>
      <c r="AQ320">
        <f>'[1]Impact Score Math'!G320</f>
        <v>406</v>
      </c>
      <c r="AT320" s="1">
        <f>'[1]Forward Ranks'!CJ320</f>
        <v>2.6200873362445413E-2</v>
      </c>
      <c r="AU320" s="1">
        <f>'[1]Forward Ranks'!CK320</f>
        <v>0.92358078602620086</v>
      </c>
    </row>
    <row r="321" spans="1:47" x14ac:dyDescent="0.3">
      <c r="A321" t="str">
        <f>'[1]Forward Ranks'!A321</f>
        <v>Nicolas Roy</v>
      </c>
      <c r="B321">
        <f>'[1]Forward Ranks'!D321</f>
        <v>0</v>
      </c>
      <c r="C321" s="1">
        <f>'[1]Forward Ranks'!I321</f>
        <v>0.28384279475982532</v>
      </c>
      <c r="D321" s="1">
        <f>'[1]Forward Ranks'!J321</f>
        <v>0.73580786026200873</v>
      </c>
      <c r="E321" s="1">
        <f>'[1]Forward Ranks'!K321</f>
        <v>0.38209606986899564</v>
      </c>
      <c r="F321" s="1">
        <f>'[1]Forward Ranks'!L321</f>
        <v>0.4126637554585153</v>
      </c>
      <c r="G321">
        <f>'[1]Forward Ranks'!N321</f>
        <v>0</v>
      </c>
      <c r="H321" s="1">
        <f>'[1]Forward Ranks'!S321</f>
        <v>0.46724890829694321</v>
      </c>
      <c r="I321" s="1">
        <f>'[1]Forward Ranks'!T321</f>
        <v>0.29694323144104806</v>
      </c>
      <c r="J321" s="1">
        <f>'[1]Forward Ranks'!U321</f>
        <v>0.45851528384279477</v>
      </c>
      <c r="K321" s="1">
        <f>'[1]Forward Ranks'!V321</f>
        <v>0.32096069868995636</v>
      </c>
      <c r="L321">
        <f>'[1]Forward Ranks'!X321</f>
        <v>0</v>
      </c>
      <c r="M321" s="1">
        <f>'[1]Forward Ranks'!AC321</f>
        <v>0.63318777292576423</v>
      </c>
      <c r="N321" s="1">
        <f>'[1]Forward Ranks'!AD321</f>
        <v>0.77292576419213976</v>
      </c>
      <c r="O321" s="1">
        <f>'[1]Forward Ranks'!AE321</f>
        <v>0.81877729257641918</v>
      </c>
      <c r="P321" s="1">
        <f>'[1]Forward Ranks'!AF321</f>
        <v>0.65502183406113534</v>
      </c>
      <c r="Q321">
        <f>'[1]Forward Ranks'!AH321</f>
        <v>0</v>
      </c>
      <c r="R321" s="1">
        <f>'[1]Forward Ranks'!AM321</f>
        <v>0.16157205240174671</v>
      </c>
      <c r="S321" s="1">
        <f>'[1]Forward Ranks'!AN321</f>
        <v>0.72052401746724892</v>
      </c>
      <c r="T321" s="1">
        <f>'[1]Forward Ranks'!AO321</f>
        <v>0.36244541484716158</v>
      </c>
      <c r="U321" s="1">
        <f>'[1]Forward Ranks'!AP321</f>
        <v>0.31659388646288211</v>
      </c>
      <c r="V321">
        <f>'[1]Forward Ranks'!AR321</f>
        <v>0</v>
      </c>
      <c r="W321" s="1">
        <f>'[1]Forward Ranks'!AW321</f>
        <v>0.67030567685589515</v>
      </c>
      <c r="X321" s="1">
        <f>'[1]Forward Ranks'!AX321</f>
        <v>0.30786026200873362</v>
      </c>
      <c r="Y321" s="1">
        <f>'[1]Forward Ranks'!AY321</f>
        <v>0.72052401746724892</v>
      </c>
      <c r="Z321" s="1">
        <f>'[1]Forward Ranks'!AZ321</f>
        <v>0.25545851528384278</v>
      </c>
      <c r="AA321">
        <f>'[1]Forward Ranks'!BB321</f>
        <v>0</v>
      </c>
      <c r="AB321" s="1">
        <f>'[1]Forward Ranks'!BG321</f>
        <v>0.60917030567685593</v>
      </c>
      <c r="AC321" s="1">
        <f>'[1]Forward Ranks'!BH321</f>
        <v>0.10262008733624454</v>
      </c>
      <c r="AD321" s="1">
        <f>'[1]Forward Ranks'!BI321</f>
        <v>0.56768558951965065</v>
      </c>
      <c r="AE321" s="1">
        <f>'[1]Forward Ranks'!BJ321</f>
        <v>0.74672489082969429</v>
      </c>
      <c r="AF321">
        <f>'[1]Forward Ranks'!BL321</f>
        <v>0</v>
      </c>
      <c r="AG321" s="1">
        <f>'[1]Forward Ranks'!BQ321</f>
        <v>0.42358078602620086</v>
      </c>
      <c r="AH321" s="1">
        <f>'[1]Forward Ranks'!BR321</f>
        <v>0.81441048034934493</v>
      </c>
      <c r="AI321" s="1">
        <f>'[1]Forward Ranks'!BS321</f>
        <v>0.64410480349344978</v>
      </c>
      <c r="AJ321" s="1">
        <f>'[1]Forward Ranks'!BT321</f>
        <v>0.52183406113537123</v>
      </c>
      <c r="AL321" s="2">
        <f>'[1]Forward Ranks'!BX321</f>
        <v>0.33187772925764192</v>
      </c>
      <c r="AN321" t="str">
        <f>'[1]Forward Ranks'!B321</f>
        <v>VGK</v>
      </c>
      <c r="AO321">
        <f>'[1]F on ice'!E321</f>
        <v>65</v>
      </c>
      <c r="AP321" s="2">
        <f>'[1]Impact Score Math'!E321</f>
        <v>0.46092184368737477</v>
      </c>
      <c r="AQ321">
        <f>'[1]Impact Score Math'!G321</f>
        <v>270</v>
      </c>
      <c r="AT321" s="1">
        <f>'[1]Forward Ranks'!CJ321</f>
        <v>0.56550218340611358</v>
      </c>
      <c r="AU321" s="1">
        <f>'[1]Forward Ranks'!CK321</f>
        <v>0.44323144104803491</v>
      </c>
    </row>
    <row r="322" spans="1:47" x14ac:dyDescent="0.3">
      <c r="A322" t="str">
        <f>'[1]Forward Ranks'!A322</f>
        <v>Nikita Alexandrov</v>
      </c>
      <c r="B322">
        <f>'[1]Forward Ranks'!D322</f>
        <v>0</v>
      </c>
      <c r="C322" s="1">
        <f>'[1]Forward Ranks'!I322</f>
        <v>9.8253275109170299E-2</v>
      </c>
      <c r="D322" s="1">
        <f>'[1]Forward Ranks'!J322</f>
        <v>0.41048034934497818</v>
      </c>
      <c r="E322" s="1">
        <f>'[1]Forward Ranks'!K322</f>
        <v>0.16593886462882096</v>
      </c>
      <c r="F322" s="1">
        <f>'[1]Forward Ranks'!L322</f>
        <v>0.34716157205240172</v>
      </c>
      <c r="G322">
        <f>'[1]Forward Ranks'!N322</f>
        <v>0</v>
      </c>
      <c r="H322" s="1">
        <f>'[1]Forward Ranks'!S322</f>
        <v>0.53493449781659386</v>
      </c>
      <c r="I322" s="1">
        <f>'[1]Forward Ranks'!T322</f>
        <v>0.48689956331877732</v>
      </c>
      <c r="J322" s="1">
        <f>'[1]Forward Ranks'!U322</f>
        <v>0.67903930131004364</v>
      </c>
      <c r="K322" s="1">
        <f>'[1]Forward Ranks'!V322</f>
        <v>0.49344978165938863</v>
      </c>
      <c r="L322">
        <f>'[1]Forward Ranks'!X322</f>
        <v>0</v>
      </c>
      <c r="M322" s="1">
        <f>'[1]Forward Ranks'!AC322</f>
        <v>0.90393013100436681</v>
      </c>
      <c r="N322" s="1">
        <f>'[1]Forward Ranks'!AD322</f>
        <v>0.89519650655021832</v>
      </c>
      <c r="O322" s="1">
        <f>'[1]Forward Ranks'!AE322</f>
        <v>0.91048034934497812</v>
      </c>
      <c r="P322" s="1">
        <f>'[1]Forward Ranks'!AF322</f>
        <v>0.75109170305676853</v>
      </c>
      <c r="Q322">
        <f>'[1]Forward Ranks'!AH322</f>
        <v>0</v>
      </c>
      <c r="R322" s="1">
        <f>'[1]Forward Ranks'!AM322</f>
        <v>0.23580786026200873</v>
      </c>
      <c r="S322" s="1">
        <f>'[1]Forward Ranks'!AN322</f>
        <v>0.62227074235807855</v>
      </c>
      <c r="T322" s="1">
        <f>'[1]Forward Ranks'!AO322</f>
        <v>0.11353711790393013</v>
      </c>
      <c r="U322" s="1">
        <f>'[1]Forward Ranks'!AP322</f>
        <v>0.55895196506550215</v>
      </c>
      <c r="V322">
        <f>'[1]Forward Ranks'!AR322</f>
        <v>0</v>
      </c>
      <c r="W322" s="1">
        <f>'[1]Forward Ranks'!AW322</f>
        <v>1</v>
      </c>
      <c r="X322" s="1">
        <f>'[1]Forward Ranks'!AX322</f>
        <v>1</v>
      </c>
      <c r="Y322" s="1">
        <f>'[1]Forward Ranks'!AY322</f>
        <v>0.99781659388646293</v>
      </c>
      <c r="Z322" s="1">
        <f>'[1]Forward Ranks'!AZ322</f>
        <v>0.98471615720524019</v>
      </c>
      <c r="AA322">
        <f>'[1]Forward Ranks'!BB322</f>
        <v>0</v>
      </c>
      <c r="AB322" s="1">
        <f>'[1]Forward Ranks'!BG322</f>
        <v>8.5152838427947602E-2</v>
      </c>
      <c r="AC322" s="1">
        <f>'[1]Forward Ranks'!BH322</f>
        <v>0.87772925764192145</v>
      </c>
      <c r="AD322" s="1">
        <f>'[1]Forward Ranks'!BI322</f>
        <v>0.18777292576419213</v>
      </c>
      <c r="AE322" s="1">
        <f>'[1]Forward Ranks'!BJ322</f>
        <v>0.56550218340611358</v>
      </c>
      <c r="AF322">
        <f>'[1]Forward Ranks'!BL322</f>
        <v>0</v>
      </c>
      <c r="AG322" s="1">
        <f>'[1]Forward Ranks'!BQ322</f>
        <v>0.40174672489082969</v>
      </c>
      <c r="AH322" s="1">
        <f>'[1]Forward Ranks'!BR322</f>
        <v>0.68777292576419213</v>
      </c>
      <c r="AI322" s="1">
        <f>'[1]Forward Ranks'!BS322</f>
        <v>0.48471615720524019</v>
      </c>
      <c r="AJ322" s="1">
        <f>'[1]Forward Ranks'!BT322</f>
        <v>0.53711790393013104</v>
      </c>
      <c r="AL322" s="2">
        <f>'[1]Forward Ranks'!BX322</f>
        <v>0.68995633187772931</v>
      </c>
      <c r="AN322" t="str">
        <f>'[1]Forward Ranks'!B322</f>
        <v>STL</v>
      </c>
      <c r="AO322">
        <f>'[1]F on ice'!E322</f>
        <v>28</v>
      </c>
      <c r="AP322" s="2">
        <f>'[1]Impact Score Math'!E322</f>
        <v>0.50501002004008011</v>
      </c>
      <c r="AQ322">
        <f>'[1]Impact Score Math'!G322</f>
        <v>248</v>
      </c>
      <c r="AT322" s="1">
        <f>'[1]Forward Ranks'!CJ322</f>
        <v>0.54366812227074235</v>
      </c>
      <c r="AU322" s="1">
        <f>'[1]Forward Ranks'!CK322</f>
        <v>0.98689956331877726</v>
      </c>
    </row>
    <row r="323" spans="1:47" x14ac:dyDescent="0.3">
      <c r="A323" t="str">
        <f>'[1]Forward Ranks'!A323</f>
        <v>Nikita Kucherov</v>
      </c>
      <c r="B323">
        <f>'[1]Forward Ranks'!D323</f>
        <v>0</v>
      </c>
      <c r="C323" s="1">
        <f>'[1]Forward Ranks'!I323</f>
        <v>0.8973799126637555</v>
      </c>
      <c r="D323" s="1">
        <f>'[1]Forward Ranks'!J323</f>
        <v>0.98689956331877726</v>
      </c>
      <c r="E323" s="1">
        <f>'[1]Forward Ranks'!K323</f>
        <v>0.93449781659388642</v>
      </c>
      <c r="F323" s="1">
        <f>'[1]Forward Ranks'!L323</f>
        <v>0.94541484716157209</v>
      </c>
      <c r="G323">
        <f>'[1]Forward Ranks'!N323</f>
        <v>0</v>
      </c>
      <c r="H323" s="1">
        <f>'[1]Forward Ranks'!S323</f>
        <v>0.6026200873362445</v>
      </c>
      <c r="I323" s="1">
        <f>'[1]Forward Ranks'!T323</f>
        <v>0.98471615720524019</v>
      </c>
      <c r="J323" s="1">
        <f>'[1]Forward Ranks'!U323</f>
        <v>0.91921397379912662</v>
      </c>
      <c r="K323" s="1">
        <f>'[1]Forward Ranks'!V323</f>
        <v>0.93449781659388642</v>
      </c>
      <c r="L323">
        <f>'[1]Forward Ranks'!X323</f>
        <v>0</v>
      </c>
      <c r="M323" s="1">
        <f>'[1]Forward Ranks'!AC323</f>
        <v>0.38209606986899564</v>
      </c>
      <c r="N323" s="1">
        <f>'[1]Forward Ranks'!AD323</f>
        <v>0.2576419213973799</v>
      </c>
      <c r="O323" s="1">
        <f>'[1]Forward Ranks'!AE323</f>
        <v>0.27947598253275108</v>
      </c>
      <c r="P323" s="1">
        <f>'[1]Forward Ranks'!AF323</f>
        <v>0.22925764192139739</v>
      </c>
      <c r="Q323">
        <f>'[1]Forward Ranks'!AH323</f>
        <v>0</v>
      </c>
      <c r="R323" s="1">
        <f>'[1]Forward Ranks'!AM323</f>
        <v>0.95196506550218341</v>
      </c>
      <c r="S323" s="1">
        <f>'[1]Forward Ranks'!AN323</f>
        <v>0.96724890829694321</v>
      </c>
      <c r="T323" s="1">
        <f>'[1]Forward Ranks'!AO323</f>
        <v>0.94759825327510916</v>
      </c>
      <c r="U323" s="1">
        <f>'[1]Forward Ranks'!AP323</f>
        <v>0.97379912663755464</v>
      </c>
      <c r="V323">
        <f>'[1]Forward Ranks'!AR323</f>
        <v>0</v>
      </c>
      <c r="W323" s="1">
        <f>'[1]Forward Ranks'!AW323</f>
        <v>0.24672489082969432</v>
      </c>
      <c r="X323" s="1">
        <f>'[1]Forward Ranks'!AX323</f>
        <v>9.606986899563319E-2</v>
      </c>
      <c r="Y323" s="1">
        <f>'[1]Forward Ranks'!AY323</f>
        <v>0.12008733624454149</v>
      </c>
      <c r="Z323" s="1">
        <f>'[1]Forward Ranks'!AZ323</f>
        <v>0.13100436681222707</v>
      </c>
      <c r="AA323">
        <f>'[1]Forward Ranks'!BB323</f>
        <v>0</v>
      </c>
      <c r="AB323" s="1">
        <f>'[1]Forward Ranks'!BG323</f>
        <v>0.95414847161572047</v>
      </c>
      <c r="AC323" s="1">
        <f>'[1]Forward Ranks'!BH323</f>
        <v>0.90174672489082974</v>
      </c>
      <c r="AD323" s="1">
        <f>'[1]Forward Ranks'!BI323</f>
        <v>0.82969432314410485</v>
      </c>
      <c r="AE323" s="1">
        <f>'[1]Forward Ranks'!BJ323</f>
        <v>0.73580786026200873</v>
      </c>
      <c r="AF323">
        <f>'[1]Forward Ranks'!BL323</f>
        <v>0</v>
      </c>
      <c r="AG323" s="1">
        <f>'[1]Forward Ranks'!BQ323</f>
        <v>0.80567685589519655</v>
      </c>
      <c r="AH323" s="1">
        <f>'[1]Forward Ranks'!BR323</f>
        <v>0.87991266375545851</v>
      </c>
      <c r="AI323" s="1">
        <f>'[1]Forward Ranks'!BS323</f>
        <v>0.73580786026200873</v>
      </c>
      <c r="AJ323" s="1">
        <f>'[1]Forward Ranks'!BT323</f>
        <v>0.82969432314410485</v>
      </c>
      <c r="AL323" s="2">
        <f>'[1]Forward Ranks'!BX323</f>
        <v>0.87554585152838427</v>
      </c>
      <c r="AN323" t="str">
        <f>'[1]Forward Ranks'!B323</f>
        <v>T.B</v>
      </c>
      <c r="AO323">
        <f>'[1]F on ice'!E323</f>
        <v>82</v>
      </c>
      <c r="AP323" s="2">
        <f>'[1]Impact Score Math'!E323</f>
        <v>0.94789579158316628</v>
      </c>
      <c r="AQ323">
        <f>'[1]Impact Score Math'!G323</f>
        <v>27</v>
      </c>
      <c r="AT323" s="1">
        <f>'[1]Forward Ranks'!CJ323</f>
        <v>0.67903930131004364</v>
      </c>
      <c r="AU323" s="1">
        <f>'[1]Forward Ranks'!CK323</f>
        <v>0.87554585152838427</v>
      </c>
    </row>
    <row r="324" spans="1:47" x14ac:dyDescent="0.3">
      <c r="A324" t="str">
        <f>'[1]Forward Ranks'!A324</f>
        <v>Nikolaj Ehlers</v>
      </c>
      <c r="B324">
        <f>'[1]Forward Ranks'!D324</f>
        <v>0</v>
      </c>
      <c r="C324" s="1">
        <f>'[1]Forward Ranks'!I324</f>
        <v>0.97161572052401746</v>
      </c>
      <c r="D324" s="1">
        <f>'[1]Forward Ranks'!J324</f>
        <v>0.87117903930131002</v>
      </c>
      <c r="E324" s="1">
        <f>'[1]Forward Ranks'!K324</f>
        <v>0.74235807860262004</v>
      </c>
      <c r="F324" s="1">
        <f>'[1]Forward Ranks'!L324</f>
        <v>0.93886462882096067</v>
      </c>
      <c r="G324">
        <f>'[1]Forward Ranks'!N324</f>
        <v>0</v>
      </c>
      <c r="H324" s="1">
        <f>'[1]Forward Ranks'!S324</f>
        <v>0.80786026200873362</v>
      </c>
      <c r="I324" s="1">
        <f>'[1]Forward Ranks'!T324</f>
        <v>0.98253275109170302</v>
      </c>
      <c r="J324" s="1">
        <f>'[1]Forward Ranks'!U324</f>
        <v>0.99126637554585151</v>
      </c>
      <c r="K324" s="1">
        <f>'[1]Forward Ranks'!V324</f>
        <v>0.96506550218340614</v>
      </c>
      <c r="L324">
        <f>'[1]Forward Ranks'!X324</f>
        <v>0</v>
      </c>
      <c r="M324" s="1">
        <f>'[1]Forward Ranks'!AC324</f>
        <v>0.53056768558951961</v>
      </c>
      <c r="N324" s="1">
        <f>'[1]Forward Ranks'!AD324</f>
        <v>0.57641921397379914</v>
      </c>
      <c r="O324" s="1">
        <f>'[1]Forward Ranks'!AE324</f>
        <v>0.64410480349344978</v>
      </c>
      <c r="P324" s="1">
        <f>'[1]Forward Ranks'!AF324</f>
        <v>0.28384279475982532</v>
      </c>
      <c r="Q324">
        <f>'[1]Forward Ranks'!AH324</f>
        <v>0</v>
      </c>
      <c r="R324" s="1">
        <f>'[1]Forward Ranks'!AM324</f>
        <v>0.99126637554585151</v>
      </c>
      <c r="S324" s="1">
        <f>'[1]Forward Ranks'!AN324</f>
        <v>0.77292576419213976</v>
      </c>
      <c r="T324" s="1">
        <f>'[1]Forward Ranks'!AO324</f>
        <v>0.80786026200873362</v>
      </c>
      <c r="U324" s="1">
        <f>'[1]Forward Ranks'!AP324</f>
        <v>0.9366812227074236</v>
      </c>
      <c r="V324">
        <f>'[1]Forward Ranks'!AR324</f>
        <v>0</v>
      </c>
      <c r="W324" s="1">
        <f>'[1]Forward Ranks'!AW324</f>
        <v>0.22925764192139739</v>
      </c>
      <c r="X324" s="1">
        <f>'[1]Forward Ranks'!AX324</f>
        <v>0.45633187772925765</v>
      </c>
      <c r="Y324" s="1">
        <f>'[1]Forward Ranks'!AY324</f>
        <v>0.64410480349344978</v>
      </c>
      <c r="Z324" s="1">
        <f>'[1]Forward Ranks'!AZ324</f>
        <v>0.11572052401746726</v>
      </c>
      <c r="AA324">
        <f>'[1]Forward Ranks'!BB324</f>
        <v>0</v>
      </c>
      <c r="AB324" s="1">
        <f>'[1]Forward Ranks'!BG324</f>
        <v>0.51091703056768556</v>
      </c>
      <c r="AC324" s="1">
        <f>'[1]Forward Ranks'!BH324</f>
        <v>0.93886462882096067</v>
      </c>
      <c r="AD324" s="1">
        <f>'[1]Forward Ranks'!BI324</f>
        <v>0.56768558951965065</v>
      </c>
      <c r="AE324" s="1">
        <f>'[1]Forward Ranks'!BJ324</f>
        <v>0.66593886462882101</v>
      </c>
      <c r="AF324">
        <f>'[1]Forward Ranks'!BL324</f>
        <v>0</v>
      </c>
      <c r="AG324" s="1">
        <f>'[1]Forward Ranks'!BQ324</f>
        <v>0.93231441048034935</v>
      </c>
      <c r="AH324" s="1">
        <f>'[1]Forward Ranks'!BR324</f>
        <v>0.85152838427947597</v>
      </c>
      <c r="AI324" s="1">
        <f>'[1]Forward Ranks'!BS324</f>
        <v>0.78602620087336239</v>
      </c>
      <c r="AJ324" s="1">
        <f>'[1]Forward Ranks'!BT324</f>
        <v>0.83842794759825323</v>
      </c>
      <c r="AL324" s="2">
        <f>'[1]Forward Ranks'!BX324</f>
        <v>0.92576419213973804</v>
      </c>
      <c r="AN324" t="str">
        <f>'[1]Forward Ranks'!B324</f>
        <v>WPG</v>
      </c>
      <c r="AO324">
        <f>'[1]F on ice'!E324</f>
        <v>45</v>
      </c>
      <c r="AP324" s="2">
        <f>'[1]Impact Score Math'!E324</f>
        <v>0.87975951903807614</v>
      </c>
      <c r="AQ324">
        <f>'[1]Impact Score Math'!G324</f>
        <v>61</v>
      </c>
      <c r="AT324" s="1">
        <f>'[1]Forward Ranks'!CJ324</f>
        <v>0.79475982532751088</v>
      </c>
      <c r="AU324" s="1">
        <f>'[1]Forward Ranks'!CK324</f>
        <v>0.91703056768558955</v>
      </c>
    </row>
    <row r="325" spans="1:47" x14ac:dyDescent="0.3">
      <c r="A325" t="str">
        <f>'[1]Forward Ranks'!A325</f>
        <v>Nils Aman</v>
      </c>
      <c r="B325">
        <f>'[1]Forward Ranks'!D325</f>
        <v>0</v>
      </c>
      <c r="C325" s="1">
        <f>'[1]Forward Ranks'!I325</f>
        <v>8.7336244541484712E-3</v>
      </c>
      <c r="D325" s="1">
        <f>'[1]Forward Ranks'!J325</f>
        <v>0.19868995633187772</v>
      </c>
      <c r="E325" s="1">
        <f>'[1]Forward Ranks'!K325</f>
        <v>6.768558951965066E-2</v>
      </c>
      <c r="F325" s="1">
        <f>'[1]Forward Ranks'!L325</f>
        <v>6.3318777292576414E-2</v>
      </c>
      <c r="G325">
        <f>'[1]Forward Ranks'!N325</f>
        <v>0</v>
      </c>
      <c r="H325" s="1">
        <f>'[1]Forward Ranks'!S325</f>
        <v>8.7336244541484712E-2</v>
      </c>
      <c r="I325" s="1">
        <f>'[1]Forward Ranks'!T325</f>
        <v>0.36026200873362446</v>
      </c>
      <c r="J325" s="1">
        <f>'[1]Forward Ranks'!U325</f>
        <v>0.27947598253275108</v>
      </c>
      <c r="K325" s="1">
        <f>'[1]Forward Ranks'!V325</f>
        <v>0.14410480349344978</v>
      </c>
      <c r="L325">
        <f>'[1]Forward Ranks'!X325</f>
        <v>0</v>
      </c>
      <c r="M325" s="1">
        <f>'[1]Forward Ranks'!AC325</f>
        <v>0.43013100436681223</v>
      </c>
      <c r="N325" s="1">
        <f>'[1]Forward Ranks'!AD325</f>
        <v>0.33406113537117904</v>
      </c>
      <c r="O325" s="1">
        <f>'[1]Forward Ranks'!AE325</f>
        <v>0.5</v>
      </c>
      <c r="P325" s="1">
        <f>'[1]Forward Ranks'!AF325</f>
        <v>0.4606986899563319</v>
      </c>
      <c r="Q325">
        <f>'[1]Forward Ranks'!AH325</f>
        <v>0</v>
      </c>
      <c r="R325" s="1">
        <f>'[1]Forward Ranks'!AM325</f>
        <v>2.4017467248908297E-2</v>
      </c>
      <c r="S325" s="1">
        <f>'[1]Forward Ranks'!AN325</f>
        <v>0.25982532751091703</v>
      </c>
      <c r="T325" s="1">
        <f>'[1]Forward Ranks'!AO325</f>
        <v>5.458515283842795E-2</v>
      </c>
      <c r="U325" s="1">
        <f>'[1]Forward Ranks'!AP325</f>
        <v>0.12882096069868995</v>
      </c>
      <c r="V325">
        <f>'[1]Forward Ranks'!AR325</f>
        <v>0</v>
      </c>
      <c r="W325" s="1">
        <f>'[1]Forward Ranks'!AW325</f>
        <v>0.44759825327510916</v>
      </c>
      <c r="X325" s="1">
        <f>'[1]Forward Ranks'!AX325</f>
        <v>0.36462882096069871</v>
      </c>
      <c r="Y325" s="1">
        <f>'[1]Forward Ranks'!AY325</f>
        <v>0.73144104803493448</v>
      </c>
      <c r="Z325" s="1">
        <f>'[1]Forward Ranks'!AZ325</f>
        <v>0.61790393013100442</v>
      </c>
      <c r="AA325">
        <f>'[1]Forward Ranks'!BB325</f>
        <v>0</v>
      </c>
      <c r="AB325" s="1">
        <f>'[1]Forward Ranks'!BG325</f>
        <v>0.31659388646288211</v>
      </c>
      <c r="AC325" s="1">
        <f>'[1]Forward Ranks'!BH325</f>
        <v>0.1703056768558952</v>
      </c>
      <c r="AD325" s="1">
        <f>'[1]Forward Ranks'!BI325</f>
        <v>0.25327510917030566</v>
      </c>
      <c r="AE325" s="1">
        <f>'[1]Forward Ranks'!BJ325</f>
        <v>0.33187772925764192</v>
      </c>
      <c r="AF325">
        <f>'[1]Forward Ranks'!BL325</f>
        <v>0</v>
      </c>
      <c r="AG325" s="1">
        <f>'[1]Forward Ranks'!BQ325</f>
        <v>3.9301310043668124E-2</v>
      </c>
      <c r="AH325" s="1">
        <f>'[1]Forward Ranks'!BR325</f>
        <v>0.20087336244541484</v>
      </c>
      <c r="AI325" s="1">
        <f>'[1]Forward Ranks'!BS325</f>
        <v>0.11135371179039301</v>
      </c>
      <c r="AJ325" s="1">
        <f>'[1]Forward Ranks'!BT325</f>
        <v>0.1222707423580786</v>
      </c>
      <c r="AL325" s="2">
        <f>'[1]Forward Ranks'!BX325</f>
        <v>5.8951965065502182E-2</v>
      </c>
      <c r="AN325" t="str">
        <f>'[1]Forward Ranks'!B325</f>
        <v>VAN</v>
      </c>
      <c r="AO325">
        <f>'[1]F on ice'!E325</f>
        <v>68</v>
      </c>
      <c r="AP325" s="2">
        <f>'[1]Impact Score Math'!E325</f>
        <v>0.14228456913827656</v>
      </c>
      <c r="AQ325">
        <f>'[1]Impact Score Math'!G325</f>
        <v>429</v>
      </c>
      <c r="AT325" s="1">
        <f>'[1]Forward Ranks'!CJ325</f>
        <v>0.51965065502183405</v>
      </c>
      <c r="AU325" s="1">
        <f>'[1]Forward Ranks'!CK325</f>
        <v>0.14847161572052403</v>
      </c>
    </row>
    <row r="326" spans="1:47" x14ac:dyDescent="0.3">
      <c r="A326" t="str">
        <f>'[1]Forward Ranks'!A326</f>
        <v>Nils Hoglander</v>
      </c>
      <c r="B326">
        <f>'[1]Forward Ranks'!D326</f>
        <v>0</v>
      </c>
      <c r="C326" s="1">
        <f>'[1]Forward Ranks'!I326</f>
        <v>0.35807860262008734</v>
      </c>
      <c r="D326" s="1">
        <f>'[1]Forward Ranks'!J326</f>
        <v>6.768558951965066E-2</v>
      </c>
      <c r="E326" s="1">
        <f>'[1]Forward Ranks'!K326</f>
        <v>0.60043668122270744</v>
      </c>
      <c r="F326" s="1">
        <f>'[1]Forward Ranks'!L326</f>
        <v>0.35152838427947597</v>
      </c>
      <c r="G326">
        <f>'[1]Forward Ranks'!N326</f>
        <v>0</v>
      </c>
      <c r="H326" s="1">
        <f>'[1]Forward Ranks'!S326</f>
        <v>0.42358078602620086</v>
      </c>
      <c r="I326" s="1">
        <f>'[1]Forward Ranks'!T326</f>
        <v>0.76200873362445409</v>
      </c>
      <c r="J326" s="1">
        <f>'[1]Forward Ranks'!U326</f>
        <v>0.83406113537117899</v>
      </c>
      <c r="K326" s="1">
        <f>'[1]Forward Ranks'!V326</f>
        <v>0.64410480349344978</v>
      </c>
      <c r="L326">
        <f>'[1]Forward Ranks'!X326</f>
        <v>0</v>
      </c>
      <c r="M326" s="1">
        <f>'[1]Forward Ranks'!AC326</f>
        <v>0.14847161572052403</v>
      </c>
      <c r="N326" s="1">
        <f>'[1]Forward Ranks'!AD326</f>
        <v>0.62445414847161573</v>
      </c>
      <c r="O326" s="1">
        <f>'[1]Forward Ranks'!AE326</f>
        <v>0.1091703056768559</v>
      </c>
      <c r="P326" s="1">
        <f>'[1]Forward Ranks'!AF326</f>
        <v>0.19213973799126638</v>
      </c>
      <c r="Q326">
        <f>'[1]Forward Ranks'!AH326</f>
        <v>0</v>
      </c>
      <c r="R326" s="1">
        <f>'[1]Forward Ranks'!AM326</f>
        <v>0.72925764192139741</v>
      </c>
      <c r="S326" s="1">
        <f>'[1]Forward Ranks'!AN326</f>
        <v>0.25109170305676853</v>
      </c>
      <c r="T326" s="1">
        <f>'[1]Forward Ranks'!AO326</f>
        <v>0.74235807860262004</v>
      </c>
      <c r="U326" s="1">
        <f>'[1]Forward Ranks'!AP326</f>
        <v>0.67248908296943233</v>
      </c>
      <c r="V326">
        <f>'[1]Forward Ranks'!AR326</f>
        <v>0</v>
      </c>
      <c r="W326" s="1">
        <f>'[1]Forward Ranks'!AW326</f>
        <v>0.27947598253275108</v>
      </c>
      <c r="X326" s="1">
        <f>'[1]Forward Ranks'!AX326</f>
        <v>0.72052401746724892</v>
      </c>
      <c r="Y326" s="1">
        <f>'[1]Forward Ranks'!AY326</f>
        <v>0.18995633187772926</v>
      </c>
      <c r="Z326" s="1">
        <f>'[1]Forward Ranks'!AZ326</f>
        <v>0.34061135371179041</v>
      </c>
      <c r="AA326">
        <f>'[1]Forward Ranks'!BB326</f>
        <v>0</v>
      </c>
      <c r="AB326" s="1">
        <f>'[1]Forward Ranks'!BG326</f>
        <v>0.39519650655021832</v>
      </c>
      <c r="AC326" s="1">
        <f>'[1]Forward Ranks'!BH326</f>
        <v>0.55021834061135366</v>
      </c>
      <c r="AD326" s="1">
        <f>'[1]Forward Ranks'!BI326</f>
        <v>0.73362445414847166</v>
      </c>
      <c r="AE326" s="1">
        <f>'[1]Forward Ranks'!BJ326</f>
        <v>0.49126637554585151</v>
      </c>
      <c r="AF326">
        <f>'[1]Forward Ranks'!BL326</f>
        <v>0</v>
      </c>
      <c r="AG326" s="1">
        <f>'[1]Forward Ranks'!BQ326</f>
        <v>0.22925764192139739</v>
      </c>
      <c r="AH326" s="1">
        <f>'[1]Forward Ranks'!BR326</f>
        <v>0.18995633187772926</v>
      </c>
      <c r="AI326" s="1">
        <f>'[1]Forward Ranks'!BS326</f>
        <v>0.27729257641921395</v>
      </c>
      <c r="AJ326" s="1">
        <f>'[1]Forward Ranks'!BT326</f>
        <v>0.25545851528384278</v>
      </c>
      <c r="AL326" s="2">
        <f>'[1]Forward Ranks'!BX326</f>
        <v>0.37554585152838427</v>
      </c>
      <c r="AN326" t="str">
        <f>'[1]Forward Ranks'!B326</f>
        <v>VAN</v>
      </c>
      <c r="AO326">
        <f>'[1]F on ice'!E326</f>
        <v>25</v>
      </c>
      <c r="AP326" s="2">
        <f>'[1]Impact Score Math'!E326</f>
        <v>0.43687374749498997</v>
      </c>
      <c r="AQ326">
        <f>'[1]Impact Score Math'!G326</f>
        <v>282</v>
      </c>
      <c r="AT326" s="1">
        <f>'[1]Forward Ranks'!CJ326</f>
        <v>0.59170305676855894</v>
      </c>
      <c r="AU326" s="1">
        <f>'[1]Forward Ranks'!CK326</f>
        <v>0.74890829694323147</v>
      </c>
    </row>
    <row r="327" spans="1:47" x14ac:dyDescent="0.3">
      <c r="A327" t="str">
        <f>'[1]Forward Ranks'!A327</f>
        <v>Nino Niederreiter</v>
      </c>
      <c r="B327">
        <f>'[1]Forward Ranks'!D327</f>
        <v>0</v>
      </c>
      <c r="C327" s="1">
        <f>'[1]Forward Ranks'!I327</f>
        <v>0.78384279475982532</v>
      </c>
      <c r="D327" s="1">
        <f>'[1]Forward Ranks'!J327</f>
        <v>0.80131004366812231</v>
      </c>
      <c r="E327" s="1">
        <f>'[1]Forward Ranks'!K327</f>
        <v>0.6266375545851528</v>
      </c>
      <c r="F327" s="1">
        <f>'[1]Forward Ranks'!L327</f>
        <v>0.82096069868995636</v>
      </c>
      <c r="G327">
        <f>'[1]Forward Ranks'!N327</f>
        <v>0</v>
      </c>
      <c r="H327" s="1">
        <f>'[1]Forward Ranks'!S327</f>
        <v>0.87554585152838427</v>
      </c>
      <c r="I327" s="1">
        <f>'[1]Forward Ranks'!T327</f>
        <v>0.33842794759825329</v>
      </c>
      <c r="J327" s="1">
        <f>'[1]Forward Ranks'!U327</f>
        <v>0.23580786026200873</v>
      </c>
      <c r="K327" s="1">
        <f>'[1]Forward Ranks'!V327</f>
        <v>0.6746724890829694</v>
      </c>
      <c r="L327">
        <f>'[1]Forward Ranks'!X327</f>
        <v>0</v>
      </c>
      <c r="M327" s="1">
        <f>'[1]Forward Ranks'!AC327</f>
        <v>0.51528384279475981</v>
      </c>
      <c r="N327" s="1">
        <f>'[1]Forward Ranks'!AD327</f>
        <v>0.72489082969432317</v>
      </c>
      <c r="O327" s="1">
        <f>'[1]Forward Ranks'!AE327</f>
        <v>0.51965065502183405</v>
      </c>
      <c r="P327" s="1">
        <f>'[1]Forward Ranks'!AF327</f>
        <v>0.5873362445414847</v>
      </c>
      <c r="Q327">
        <f>'[1]Forward Ranks'!AH327</f>
        <v>0</v>
      </c>
      <c r="R327" s="1">
        <f>'[1]Forward Ranks'!AM327</f>
        <v>0.73799126637554591</v>
      </c>
      <c r="S327" s="1">
        <f>'[1]Forward Ranks'!AN327</f>
        <v>0.78165938864628826</v>
      </c>
      <c r="T327" s="1">
        <f>'[1]Forward Ranks'!AO327</f>
        <v>0.65938864628820959</v>
      </c>
      <c r="U327" s="1">
        <f>'[1]Forward Ranks'!AP327</f>
        <v>0.69650655021834063</v>
      </c>
      <c r="V327">
        <f>'[1]Forward Ranks'!AR327</f>
        <v>0</v>
      </c>
      <c r="W327" s="1">
        <f>'[1]Forward Ranks'!AW327</f>
        <v>0.61353711790393017</v>
      </c>
      <c r="X327" s="1">
        <f>'[1]Forward Ranks'!AX327</f>
        <v>0.87772925764192145</v>
      </c>
      <c r="Y327" s="1">
        <f>'[1]Forward Ranks'!AY327</f>
        <v>0.31441048034934499</v>
      </c>
      <c r="Z327" s="1">
        <f>'[1]Forward Ranks'!AZ327</f>
        <v>0.72052401746724892</v>
      </c>
      <c r="AA327">
        <f>'[1]Forward Ranks'!BB327</f>
        <v>0</v>
      </c>
      <c r="AB327" s="1">
        <f>'[1]Forward Ranks'!BG327</f>
        <v>0.66157205240174677</v>
      </c>
      <c r="AC327" s="1">
        <f>'[1]Forward Ranks'!BH327</f>
        <v>0.71179039301310043</v>
      </c>
      <c r="AD327" s="1">
        <f>'[1]Forward Ranks'!BI327</f>
        <v>0.49563318777292575</v>
      </c>
      <c r="AE327" s="1">
        <f>'[1]Forward Ranks'!BJ327</f>
        <v>0.56550218340611358</v>
      </c>
      <c r="AF327">
        <f>'[1]Forward Ranks'!BL327</f>
        <v>0</v>
      </c>
      <c r="AG327" s="1">
        <f>'[1]Forward Ranks'!BQ327</f>
        <v>0.70087336244541487</v>
      </c>
      <c r="AH327" s="1">
        <f>'[1]Forward Ranks'!BR327</f>
        <v>0.84716157205240172</v>
      </c>
      <c r="AI327" s="1">
        <f>'[1]Forward Ranks'!BS327</f>
        <v>0.6026200873362445</v>
      </c>
      <c r="AJ327" s="1">
        <f>'[1]Forward Ranks'!BT327</f>
        <v>0.79257641921397382</v>
      </c>
      <c r="AL327" s="2">
        <f>'[1]Forward Ranks'!BX327</f>
        <v>0.82096069868995636</v>
      </c>
      <c r="AN327" t="str">
        <f>'[1]Forward Ranks'!B327</f>
        <v>NSH, WPG</v>
      </c>
      <c r="AO327">
        <f>'[1]F on ice'!E327</f>
        <v>78</v>
      </c>
      <c r="AP327" s="2">
        <f>'[1]Impact Score Math'!E327</f>
        <v>0.84168336673346689</v>
      </c>
      <c r="AQ327">
        <f>'[1]Impact Score Math'!G327</f>
        <v>80</v>
      </c>
      <c r="AT327" s="1">
        <f>'[1]Forward Ranks'!CJ327</f>
        <v>0.68995633187772931</v>
      </c>
      <c r="AU327" s="1">
        <f>'[1]Forward Ranks'!CK327</f>
        <v>0.79257641921397382</v>
      </c>
    </row>
    <row r="328" spans="1:47" x14ac:dyDescent="0.3">
      <c r="A328" t="str">
        <f>'[1]Forward Ranks'!A328</f>
        <v>Noah Cates</v>
      </c>
      <c r="B328">
        <f>'[1]Forward Ranks'!D328</f>
        <v>0</v>
      </c>
      <c r="C328" s="1">
        <f>'[1]Forward Ranks'!I328</f>
        <v>0.25545851528384278</v>
      </c>
      <c r="D328" s="1">
        <f>'[1]Forward Ranks'!J328</f>
        <v>0.17467248908296942</v>
      </c>
      <c r="E328" s="1">
        <f>'[1]Forward Ranks'!K328</f>
        <v>0.37336244541484714</v>
      </c>
      <c r="F328" s="1">
        <f>'[1]Forward Ranks'!L328</f>
        <v>0.27729257641921395</v>
      </c>
      <c r="G328">
        <f>'[1]Forward Ranks'!N328</f>
        <v>0</v>
      </c>
      <c r="H328" s="1">
        <f>'[1]Forward Ranks'!S328</f>
        <v>0.20742358078602621</v>
      </c>
      <c r="I328" s="1">
        <f>'[1]Forward Ranks'!T328</f>
        <v>0.5</v>
      </c>
      <c r="J328" s="1">
        <f>'[1]Forward Ranks'!U328</f>
        <v>0.42358078602620086</v>
      </c>
      <c r="K328" s="1">
        <f>'[1]Forward Ranks'!V328</f>
        <v>0.31222707423580787</v>
      </c>
      <c r="L328">
        <f>'[1]Forward Ranks'!X328</f>
        <v>0</v>
      </c>
      <c r="M328" s="1">
        <f>'[1]Forward Ranks'!AC328</f>
        <v>0.59170305676855894</v>
      </c>
      <c r="N328" s="1">
        <f>'[1]Forward Ranks'!AD328</f>
        <v>0.70524017467248912</v>
      </c>
      <c r="O328" s="1">
        <f>'[1]Forward Ranks'!AE328</f>
        <v>0.75545851528384278</v>
      </c>
      <c r="P328" s="1">
        <f>'[1]Forward Ranks'!AF328</f>
        <v>0.63755458515283847</v>
      </c>
      <c r="Q328">
        <f>'[1]Forward Ranks'!AH328</f>
        <v>0</v>
      </c>
      <c r="R328" s="1">
        <f>'[1]Forward Ranks'!AM328</f>
        <v>0.27074235807860264</v>
      </c>
      <c r="S328" s="1">
        <f>'[1]Forward Ranks'!AN328</f>
        <v>0.2205240174672489</v>
      </c>
      <c r="T328" s="1">
        <f>'[1]Forward Ranks'!AO328</f>
        <v>0.54585152838427953</v>
      </c>
      <c r="U328" s="1">
        <f>'[1]Forward Ranks'!AP328</f>
        <v>0.42139737991266374</v>
      </c>
      <c r="V328">
        <f>'[1]Forward Ranks'!AR328</f>
        <v>0</v>
      </c>
      <c r="W328" s="1">
        <f>'[1]Forward Ranks'!AW328</f>
        <v>0.74672489082969429</v>
      </c>
      <c r="X328" s="1">
        <f>'[1]Forward Ranks'!AX328</f>
        <v>0.86899563318777295</v>
      </c>
      <c r="Y328" s="1">
        <f>'[1]Forward Ranks'!AY328</f>
        <v>0.86026200873362446</v>
      </c>
      <c r="Z328" s="1">
        <f>'[1]Forward Ranks'!AZ328</f>
        <v>0.74454148471615722</v>
      </c>
      <c r="AA328">
        <f>'[1]Forward Ranks'!BB328</f>
        <v>0</v>
      </c>
      <c r="AB328" s="1">
        <f>'[1]Forward Ranks'!BG328</f>
        <v>0.75109170305676853</v>
      </c>
      <c r="AC328" s="1">
        <f>'[1]Forward Ranks'!BH328</f>
        <v>0.21179039301310043</v>
      </c>
      <c r="AD328" s="1">
        <f>'[1]Forward Ranks'!BI328</f>
        <v>0.53711790393013104</v>
      </c>
      <c r="AE328" s="1">
        <f>'[1]Forward Ranks'!BJ328</f>
        <v>0.70960698689956336</v>
      </c>
      <c r="AF328">
        <f>'[1]Forward Ranks'!BL328</f>
        <v>0</v>
      </c>
      <c r="AG328" s="1">
        <f>'[1]Forward Ranks'!BQ328</f>
        <v>0.36462882096069871</v>
      </c>
      <c r="AH328" s="1">
        <f>'[1]Forward Ranks'!BR328</f>
        <v>0.33406113537117904</v>
      </c>
      <c r="AI328" s="1">
        <f>'[1]Forward Ranks'!BS328</f>
        <v>0.58296943231441045</v>
      </c>
      <c r="AJ328" s="1">
        <f>'[1]Forward Ranks'!BT328</f>
        <v>0.37772925764192139</v>
      </c>
      <c r="AL328" s="2">
        <f>'[1]Forward Ranks'!BX328</f>
        <v>0.37772925764192139</v>
      </c>
      <c r="AN328" t="str">
        <f>'[1]Forward Ranks'!B328</f>
        <v>PHI</v>
      </c>
      <c r="AO328">
        <f>'[1]F on ice'!E328</f>
        <v>82</v>
      </c>
      <c r="AP328" s="2">
        <f>'[1]Impact Score Math'!E328</f>
        <v>0.50701402805611218</v>
      </c>
      <c r="AQ328">
        <f>'[1]Impact Score Math'!G328</f>
        <v>247</v>
      </c>
      <c r="AT328" s="1">
        <f>'[1]Forward Ranks'!CJ328</f>
        <v>0.89956331877729256</v>
      </c>
      <c r="AU328" s="1">
        <f>'[1]Forward Ranks'!CK328</f>
        <v>7.4235807860262015E-2</v>
      </c>
    </row>
    <row r="329" spans="1:47" x14ac:dyDescent="0.3">
      <c r="A329" t="str">
        <f>'[1]Forward Ranks'!A329</f>
        <v>Noah Gregor</v>
      </c>
      <c r="B329">
        <f>'[1]Forward Ranks'!D329</f>
        <v>0</v>
      </c>
      <c r="C329" s="1">
        <f>'[1]Forward Ranks'!I329</f>
        <v>0.45851528384279477</v>
      </c>
      <c r="D329" s="1">
        <f>'[1]Forward Ranks'!J329</f>
        <v>0.85807860262008728</v>
      </c>
      <c r="E329" s="1">
        <f>'[1]Forward Ranks'!K329</f>
        <v>0.30349344978165937</v>
      </c>
      <c r="F329" s="1">
        <f>'[1]Forward Ranks'!L329</f>
        <v>0.75545851528384278</v>
      </c>
      <c r="G329">
        <f>'[1]Forward Ranks'!N329</f>
        <v>0</v>
      </c>
      <c r="H329" s="1">
        <f>'[1]Forward Ranks'!S329</f>
        <v>0.73580786026200873</v>
      </c>
      <c r="I329" s="1">
        <f>'[1]Forward Ranks'!T329</f>
        <v>0.13100436681222707</v>
      </c>
      <c r="J329" s="1">
        <f>'[1]Forward Ranks'!U329</f>
        <v>0.34279475982532753</v>
      </c>
      <c r="K329" s="1">
        <f>'[1]Forward Ranks'!V329</f>
        <v>0.34061135371179041</v>
      </c>
      <c r="L329">
        <f>'[1]Forward Ranks'!X329</f>
        <v>0</v>
      </c>
      <c r="M329" s="1">
        <f>'[1]Forward Ranks'!AC329</f>
        <v>3.9301310043668124E-2</v>
      </c>
      <c r="N329" s="1">
        <f>'[1]Forward Ranks'!AD329</f>
        <v>8.7336244541484712E-2</v>
      </c>
      <c r="O329" s="1">
        <f>'[1]Forward Ranks'!AE329</f>
        <v>0.34716157205240172</v>
      </c>
      <c r="P329" s="1">
        <f>'[1]Forward Ranks'!AF329</f>
        <v>5.0218340611353711E-2</v>
      </c>
      <c r="Q329">
        <f>'[1]Forward Ranks'!AH329</f>
        <v>0</v>
      </c>
      <c r="R329" s="1">
        <f>'[1]Forward Ranks'!AM329</f>
        <v>0.57423580786026196</v>
      </c>
      <c r="S329" s="1">
        <f>'[1]Forward Ranks'!AN329</f>
        <v>0.68777292576419213</v>
      </c>
      <c r="T329" s="1">
        <f>'[1]Forward Ranks'!AO329</f>
        <v>0.43449781659388648</v>
      </c>
      <c r="U329" s="1">
        <f>'[1]Forward Ranks'!AP329</f>
        <v>0.62445414847161573</v>
      </c>
      <c r="V329">
        <f>'[1]Forward Ranks'!AR329</f>
        <v>0</v>
      </c>
      <c r="W329" s="1">
        <f>'[1]Forward Ranks'!AW329</f>
        <v>1.3100436681222707E-2</v>
      </c>
      <c r="X329" s="1">
        <f>'[1]Forward Ranks'!AX329</f>
        <v>0.10043668122270742</v>
      </c>
      <c r="Y329" s="1">
        <f>'[1]Forward Ranks'!AY329</f>
        <v>0.87554585152838427</v>
      </c>
      <c r="Z329" s="1">
        <f>'[1]Forward Ranks'!AZ329</f>
        <v>7.6419213973799124E-2</v>
      </c>
      <c r="AA329">
        <f>'[1]Forward Ranks'!BB329</f>
        <v>0</v>
      </c>
      <c r="AB329" s="1">
        <f>'[1]Forward Ranks'!BG329</f>
        <v>0.48908296943231439</v>
      </c>
      <c r="AC329" s="1">
        <f>'[1]Forward Ranks'!BH329</f>
        <v>0.17248908296943233</v>
      </c>
      <c r="AD329" s="1">
        <f>'[1]Forward Ranks'!BI329</f>
        <v>0.41703056768558949</v>
      </c>
      <c r="AE329" s="1">
        <f>'[1]Forward Ranks'!BJ329</f>
        <v>0.57860262008733621</v>
      </c>
      <c r="AF329">
        <f>'[1]Forward Ranks'!BL329</f>
        <v>0</v>
      </c>
      <c r="AG329" s="1">
        <f>'[1]Forward Ranks'!BQ329</f>
        <v>0.12663755458515283</v>
      </c>
      <c r="AH329" s="1">
        <f>'[1]Forward Ranks'!BR329</f>
        <v>0.5240174672489083</v>
      </c>
      <c r="AI329" s="1">
        <f>'[1]Forward Ranks'!BS329</f>
        <v>0.25545851528384278</v>
      </c>
      <c r="AJ329" s="1">
        <f>'[1]Forward Ranks'!BT329</f>
        <v>0.32532751091703055</v>
      </c>
      <c r="AL329" s="2">
        <f>'[1]Forward Ranks'!BX329</f>
        <v>0.18995633187772926</v>
      </c>
      <c r="AN329" t="str">
        <f>'[1]Forward Ranks'!B329</f>
        <v>S.J</v>
      </c>
      <c r="AO329">
        <f>'[1]F on ice'!E329</f>
        <v>57</v>
      </c>
      <c r="AP329" s="2">
        <f>'[1]Impact Score Math'!E329</f>
        <v>0.29058116232464931</v>
      </c>
      <c r="AQ329">
        <f>'[1]Impact Score Math'!G329</f>
        <v>355</v>
      </c>
      <c r="AT329" s="1">
        <f>'[1]Forward Ranks'!CJ329</f>
        <v>0.32751091703056767</v>
      </c>
      <c r="AU329" s="1">
        <f>'[1]Forward Ranks'!CK329</f>
        <v>0.5633187772925764</v>
      </c>
    </row>
    <row r="330" spans="1:47" x14ac:dyDescent="0.3">
      <c r="A330" t="str">
        <f>'[1]Forward Ranks'!A330</f>
        <v>Noel Acciari</v>
      </c>
      <c r="B330">
        <f>'[1]Forward Ranks'!D330</f>
        <v>0</v>
      </c>
      <c r="C330" s="1">
        <f>'[1]Forward Ranks'!I330</f>
        <v>0.14847161572052403</v>
      </c>
      <c r="D330" s="1">
        <f>'[1]Forward Ranks'!J330</f>
        <v>0.3296943231441048</v>
      </c>
      <c r="E330" s="1">
        <f>'[1]Forward Ranks'!K330</f>
        <v>7.4235807860262015E-2</v>
      </c>
      <c r="F330" s="1">
        <f>'[1]Forward Ranks'!L330</f>
        <v>0.2816593886462882</v>
      </c>
      <c r="G330">
        <f>'[1]Forward Ranks'!N330</f>
        <v>0</v>
      </c>
      <c r="H330" s="1">
        <f>'[1]Forward Ranks'!S330</f>
        <v>0.45414847161572053</v>
      </c>
      <c r="I330" s="1">
        <f>'[1]Forward Ranks'!T330</f>
        <v>8.0786026200873357E-2</v>
      </c>
      <c r="J330" s="1">
        <f>'[1]Forward Ranks'!U330</f>
        <v>8.5152838427947602E-2</v>
      </c>
      <c r="K330" s="1">
        <f>'[1]Forward Ranks'!V330</f>
        <v>0.13100436681222707</v>
      </c>
      <c r="L330">
        <f>'[1]Forward Ranks'!X330</f>
        <v>0</v>
      </c>
      <c r="M330" s="1">
        <f>'[1]Forward Ranks'!AC330</f>
        <v>0.81004366812227069</v>
      </c>
      <c r="N330" s="1">
        <f>'[1]Forward Ranks'!AD330</f>
        <v>0.6746724890829694</v>
      </c>
      <c r="O330" s="1">
        <f>'[1]Forward Ranks'!AE330</f>
        <v>0.69213973799126638</v>
      </c>
      <c r="P330" s="1">
        <f>'[1]Forward Ranks'!AF330</f>
        <v>0.74017467248908297</v>
      </c>
      <c r="Q330">
        <f>'[1]Forward Ranks'!AH330</f>
        <v>0</v>
      </c>
      <c r="R330" s="1">
        <f>'[1]Forward Ranks'!AM330</f>
        <v>0.17467248908296942</v>
      </c>
      <c r="S330" s="1">
        <f>'[1]Forward Ranks'!AN330</f>
        <v>0.36681222707423583</v>
      </c>
      <c r="T330" s="1">
        <f>'[1]Forward Ranks'!AO330</f>
        <v>3.0567685589519649E-2</v>
      </c>
      <c r="U330" s="1">
        <f>'[1]Forward Ranks'!AP330</f>
        <v>0.26200873362445415</v>
      </c>
      <c r="V330">
        <f>'[1]Forward Ranks'!AR330</f>
        <v>0</v>
      </c>
      <c r="W330" s="1">
        <f>'[1]Forward Ranks'!AW330</f>
        <v>0.94978165938864634</v>
      </c>
      <c r="X330" s="1">
        <f>'[1]Forward Ranks'!AX330</f>
        <v>0.85807860262008728</v>
      </c>
      <c r="Y330" s="1">
        <f>'[1]Forward Ranks'!AY330</f>
        <v>0.8733624454148472</v>
      </c>
      <c r="Z330" s="1">
        <f>'[1]Forward Ranks'!AZ330</f>
        <v>0.92576419213973804</v>
      </c>
      <c r="AA330">
        <f>'[1]Forward Ranks'!BB330</f>
        <v>0</v>
      </c>
      <c r="AB330" s="1">
        <f>'[1]Forward Ranks'!BG330</f>
        <v>0.51528384279475981</v>
      </c>
      <c r="AC330" s="1">
        <f>'[1]Forward Ranks'!BH330</f>
        <v>0.1091703056768559</v>
      </c>
      <c r="AD330" s="1">
        <f>'[1]Forward Ranks'!BI330</f>
        <v>8.7336244541484712E-2</v>
      </c>
      <c r="AE330" s="1">
        <f>'[1]Forward Ranks'!BJ330</f>
        <v>0.18995633187772926</v>
      </c>
      <c r="AF330">
        <f>'[1]Forward Ranks'!BL330</f>
        <v>0</v>
      </c>
      <c r="AG330" s="1">
        <f>'[1]Forward Ranks'!BQ330</f>
        <v>0.37772925764192139</v>
      </c>
      <c r="AH330" s="1">
        <f>'[1]Forward Ranks'!BR330</f>
        <v>0.44978165938864628</v>
      </c>
      <c r="AI330" s="1">
        <f>'[1]Forward Ranks'!BS330</f>
        <v>0.18777292576419213</v>
      </c>
      <c r="AJ330" s="1">
        <f>'[1]Forward Ranks'!BT330</f>
        <v>0.45633187772925765</v>
      </c>
      <c r="AL330" s="2">
        <f>'[1]Forward Ranks'!BX330</f>
        <v>0.42358078602620086</v>
      </c>
      <c r="AN330" t="str">
        <f>'[1]Forward Ranks'!B330</f>
        <v>STL, TOR</v>
      </c>
      <c r="AO330">
        <f>'[1]F on ice'!E330</f>
        <v>77</v>
      </c>
      <c r="AP330" s="2">
        <f>'[1]Impact Score Math'!E330</f>
        <v>0.4969939879759519</v>
      </c>
      <c r="AQ330">
        <f>'[1]Impact Score Math'!G330</f>
        <v>252</v>
      </c>
      <c r="AT330" s="1">
        <f>'[1]Forward Ranks'!CJ330</f>
        <v>0.71834061135371174</v>
      </c>
      <c r="AU330" s="1">
        <f>'[1]Forward Ranks'!CK330</f>
        <v>0.57205240174672489</v>
      </c>
    </row>
    <row r="331" spans="1:47" x14ac:dyDescent="0.3">
      <c r="A331" t="str">
        <f>'[1]Forward Ranks'!A331</f>
        <v>Oliver Bjorkstrand</v>
      </c>
      <c r="B331">
        <f>'[1]Forward Ranks'!D331</f>
        <v>0</v>
      </c>
      <c r="C331" s="1">
        <f>'[1]Forward Ranks'!I331</f>
        <v>0.73799126637554591</v>
      </c>
      <c r="D331" s="1">
        <f>'[1]Forward Ranks'!J331</f>
        <v>0.15938864628820962</v>
      </c>
      <c r="E331" s="1">
        <f>'[1]Forward Ranks'!K331</f>
        <v>0.66157205240174677</v>
      </c>
      <c r="F331" s="1">
        <f>'[1]Forward Ranks'!L331</f>
        <v>0.4366812227074236</v>
      </c>
      <c r="G331">
        <f>'[1]Forward Ranks'!N331</f>
        <v>0</v>
      </c>
      <c r="H331" s="1">
        <f>'[1]Forward Ranks'!S331</f>
        <v>0.72707423580786024</v>
      </c>
      <c r="I331" s="1">
        <f>'[1]Forward Ranks'!T331</f>
        <v>0.64410480349344978</v>
      </c>
      <c r="J331" s="1">
        <f>'[1]Forward Ranks'!U331</f>
        <v>0.53711790393013104</v>
      </c>
      <c r="K331" s="1">
        <f>'[1]Forward Ranks'!V331</f>
        <v>0.70742358078602618</v>
      </c>
      <c r="L331">
        <f>'[1]Forward Ranks'!X331</f>
        <v>0</v>
      </c>
      <c r="M331" s="1">
        <f>'[1]Forward Ranks'!AC331</f>
        <v>0.88209606986899558</v>
      </c>
      <c r="N331" s="1">
        <f>'[1]Forward Ranks'!AD331</f>
        <v>0.69213973799126638</v>
      </c>
      <c r="O331" s="1">
        <f>'[1]Forward Ranks'!AE331</f>
        <v>0.45414847161572053</v>
      </c>
      <c r="P331" s="1">
        <f>'[1]Forward Ranks'!AF331</f>
        <v>0.52838427947598254</v>
      </c>
      <c r="Q331">
        <f>'[1]Forward Ranks'!AH331</f>
        <v>0</v>
      </c>
      <c r="R331" s="1">
        <f>'[1]Forward Ranks'!AM331</f>
        <v>0.65938864628820959</v>
      </c>
      <c r="S331" s="1">
        <f>'[1]Forward Ranks'!AN331</f>
        <v>0.25109170305676853</v>
      </c>
      <c r="T331" s="1">
        <f>'[1]Forward Ranks'!AO331</f>
        <v>0.31877729257641924</v>
      </c>
      <c r="U331" s="1">
        <f>'[1]Forward Ranks'!AP331</f>
        <v>0.45196506550218341</v>
      </c>
      <c r="V331">
        <f>'[1]Forward Ranks'!AR331</f>
        <v>0</v>
      </c>
      <c r="W331" s="1">
        <f>'[1]Forward Ranks'!AW331</f>
        <v>0.52620087336244536</v>
      </c>
      <c r="X331" s="1">
        <f>'[1]Forward Ranks'!AX331</f>
        <v>0.41484716157205243</v>
      </c>
      <c r="Y331" s="1">
        <f>'[1]Forward Ranks'!AY331</f>
        <v>0.3056768558951965</v>
      </c>
      <c r="Z331" s="1">
        <f>'[1]Forward Ranks'!AZ331</f>
        <v>0.1965065502183406</v>
      </c>
      <c r="AA331">
        <f>'[1]Forward Ranks'!BB331</f>
        <v>0</v>
      </c>
      <c r="AB331" s="1">
        <f>'[1]Forward Ranks'!BG331</f>
        <v>0.64847161572052403</v>
      </c>
      <c r="AC331" s="1">
        <f>'[1]Forward Ranks'!BH331</f>
        <v>0.73580786026200873</v>
      </c>
      <c r="AD331" s="1">
        <f>'[1]Forward Ranks'!BI331</f>
        <v>0.72052401746724892</v>
      </c>
      <c r="AE331" s="1">
        <f>'[1]Forward Ranks'!BJ331</f>
        <v>0.35807860262008734</v>
      </c>
      <c r="AF331">
        <f>'[1]Forward Ranks'!BL331</f>
        <v>0</v>
      </c>
      <c r="AG331" s="1">
        <f>'[1]Forward Ranks'!BQ331</f>
        <v>0.86462882096069871</v>
      </c>
      <c r="AH331" s="1">
        <f>'[1]Forward Ranks'!BR331</f>
        <v>0.29257641921397382</v>
      </c>
      <c r="AI331" s="1">
        <f>'[1]Forward Ranks'!BS331</f>
        <v>0.59388646288209612</v>
      </c>
      <c r="AJ331" s="1">
        <f>'[1]Forward Ranks'!BT331</f>
        <v>0.48034934497816595</v>
      </c>
      <c r="AL331" s="2">
        <f>'[1]Forward Ranks'!BX331</f>
        <v>0.70305676855895194</v>
      </c>
      <c r="AN331" t="str">
        <f>'[1]Forward Ranks'!B331</f>
        <v>SEA</v>
      </c>
      <c r="AO331">
        <f>'[1]F on ice'!E331</f>
        <v>81</v>
      </c>
      <c r="AP331" s="2">
        <f>'[1]Impact Score Math'!E331</f>
        <v>0.74549098196392782</v>
      </c>
      <c r="AQ331">
        <f>'[1]Impact Score Math'!G331</f>
        <v>128</v>
      </c>
      <c r="AT331" s="1">
        <f>'[1]Forward Ranks'!CJ331</f>
        <v>0.83187772925764192</v>
      </c>
      <c r="AU331" s="1">
        <f>'[1]Forward Ranks'!CK331</f>
        <v>0.3296943231441048</v>
      </c>
    </row>
    <row r="332" spans="1:47" x14ac:dyDescent="0.3">
      <c r="A332" t="str">
        <f>'[1]Forward Ranks'!A332</f>
        <v>Oliver Wahlstrom</v>
      </c>
      <c r="B332">
        <f>'[1]Forward Ranks'!D332</f>
        <v>0</v>
      </c>
      <c r="C332" s="1">
        <f>'[1]Forward Ranks'!I332</f>
        <v>0.56768558951965065</v>
      </c>
      <c r="D332" s="1">
        <f>'[1]Forward Ranks'!J332</f>
        <v>0.28384279475982532</v>
      </c>
      <c r="E332" s="1">
        <f>'[1]Forward Ranks'!K332</f>
        <v>0.83187772925764192</v>
      </c>
      <c r="F332" s="1">
        <f>'[1]Forward Ranks'!L332</f>
        <v>0.33187772925764192</v>
      </c>
      <c r="G332">
        <f>'[1]Forward Ranks'!N332</f>
        <v>0</v>
      </c>
      <c r="H332" s="1">
        <f>'[1]Forward Ranks'!S332</f>
        <v>0.78820960698689957</v>
      </c>
      <c r="I332" s="1">
        <f>'[1]Forward Ranks'!T332</f>
        <v>0.77510917030567683</v>
      </c>
      <c r="J332" s="1">
        <f>'[1]Forward Ranks'!U332</f>
        <v>0.17903930131004367</v>
      </c>
      <c r="K332" s="1">
        <f>'[1]Forward Ranks'!V332</f>
        <v>0.83624454148471616</v>
      </c>
      <c r="L332">
        <f>'[1]Forward Ranks'!X332</f>
        <v>0</v>
      </c>
      <c r="M332" s="1">
        <f>'[1]Forward Ranks'!AC332</f>
        <v>0.51965065502183405</v>
      </c>
      <c r="N332" s="1">
        <f>'[1]Forward Ranks'!AD332</f>
        <v>0.49781659388646288</v>
      </c>
      <c r="O332" s="1">
        <f>'[1]Forward Ranks'!AE332</f>
        <v>0.99344978165938869</v>
      </c>
      <c r="P332" s="1">
        <f>'[1]Forward Ranks'!AF332</f>
        <v>0.69650655021834063</v>
      </c>
      <c r="Q332">
        <f>'[1]Forward Ranks'!AH332</f>
        <v>0</v>
      </c>
      <c r="R332" s="1">
        <f>'[1]Forward Ranks'!AM332</f>
        <v>0.57641921397379914</v>
      </c>
      <c r="S332" s="1">
        <f>'[1]Forward Ranks'!AN332</f>
        <v>0.27074235807860264</v>
      </c>
      <c r="T332" s="1">
        <f>'[1]Forward Ranks'!AO332</f>
        <v>0.67685589519650657</v>
      </c>
      <c r="U332" s="1">
        <f>'[1]Forward Ranks'!AP332</f>
        <v>0.31222707423580787</v>
      </c>
      <c r="V332">
        <f>'[1]Forward Ranks'!AR332</f>
        <v>0</v>
      </c>
      <c r="W332" s="1">
        <f>'[1]Forward Ranks'!AW332</f>
        <v>0.85589519650655022</v>
      </c>
      <c r="X332" s="1">
        <f>'[1]Forward Ranks'!AX332</f>
        <v>0.74235807860262004</v>
      </c>
      <c r="Y332" s="1">
        <f>'[1]Forward Ranks'!AY332</f>
        <v>0.9606986899563319</v>
      </c>
      <c r="Z332" s="1">
        <f>'[1]Forward Ranks'!AZ332</f>
        <v>0.94323144104803491</v>
      </c>
      <c r="AA332">
        <f>'[1]Forward Ranks'!BB332</f>
        <v>0</v>
      </c>
      <c r="AB332" s="1">
        <f>'[1]Forward Ranks'!BG332</f>
        <v>0.27292576419213976</v>
      </c>
      <c r="AC332" s="1">
        <f>'[1]Forward Ranks'!BH332</f>
        <v>1</v>
      </c>
      <c r="AD332" s="1">
        <f>'[1]Forward Ranks'!BI332</f>
        <v>0.88646288209606983</v>
      </c>
      <c r="AE332" s="1">
        <f>'[1]Forward Ranks'!BJ332</f>
        <v>0.99344978165938869</v>
      </c>
      <c r="AF332">
        <f>'[1]Forward Ranks'!BL332</f>
        <v>0</v>
      </c>
      <c r="AG332" s="1">
        <f>'[1]Forward Ranks'!BQ332</f>
        <v>0.54366812227074235</v>
      </c>
      <c r="AH332" s="1">
        <f>'[1]Forward Ranks'!BR332</f>
        <v>0.31222707423580787</v>
      </c>
      <c r="AI332" s="1">
        <f>'[1]Forward Ranks'!BS332</f>
        <v>0.99781659388646293</v>
      </c>
      <c r="AJ332" s="1">
        <f>'[1]Forward Ranks'!BT332</f>
        <v>0.48253275109170307</v>
      </c>
      <c r="AL332" s="2">
        <f>'[1]Forward Ranks'!BX332</f>
        <v>0.75109170305676853</v>
      </c>
      <c r="AN332" t="str">
        <f>'[1]Forward Ranks'!B332</f>
        <v>NYI</v>
      </c>
      <c r="AO332">
        <f>'[1]F on ice'!E332</f>
        <v>35</v>
      </c>
      <c r="AP332" s="2">
        <f>'[1]Impact Score Math'!E332</f>
        <v>0.65330661322645289</v>
      </c>
      <c r="AQ332">
        <f>'[1]Impact Score Math'!G332</f>
        <v>174</v>
      </c>
      <c r="AT332" s="1">
        <f>'[1]Forward Ranks'!CJ332</f>
        <v>5.2401746724890827E-2</v>
      </c>
      <c r="AU332" s="1">
        <f>'[1]Forward Ranks'!CK332</f>
        <v>0.76637554585152834</v>
      </c>
    </row>
    <row r="333" spans="1:47" x14ac:dyDescent="0.3">
      <c r="A333" t="str">
        <f>'[1]Forward Ranks'!A333</f>
        <v>Ondrej Palat</v>
      </c>
      <c r="B333">
        <f>'[1]Forward Ranks'!D333</f>
        <v>0</v>
      </c>
      <c r="C333" s="1">
        <f>'[1]Forward Ranks'!I333</f>
        <v>0.83406113537117899</v>
      </c>
      <c r="D333" s="1">
        <f>'[1]Forward Ranks'!J333</f>
        <v>0.97816593886462877</v>
      </c>
      <c r="E333" s="1">
        <f>'[1]Forward Ranks'!K333</f>
        <v>0.66812227074235808</v>
      </c>
      <c r="F333" s="1">
        <f>'[1]Forward Ranks'!L333</f>
        <v>0.8973799126637555</v>
      </c>
      <c r="G333">
        <f>'[1]Forward Ranks'!N333</f>
        <v>0</v>
      </c>
      <c r="H333" s="1">
        <f>'[1]Forward Ranks'!S333</f>
        <v>0.45414847161572053</v>
      </c>
      <c r="I333" s="1">
        <f>'[1]Forward Ranks'!T333</f>
        <v>0.56986899563318782</v>
      </c>
      <c r="J333" s="1">
        <f>'[1]Forward Ranks'!U333</f>
        <v>0.72052401746724892</v>
      </c>
      <c r="K333" s="1">
        <f>'[1]Forward Ranks'!V333</f>
        <v>0.52838427947598254</v>
      </c>
      <c r="L333">
        <f>'[1]Forward Ranks'!X333</f>
        <v>0</v>
      </c>
      <c r="M333" s="1">
        <f>'[1]Forward Ranks'!AC333</f>
        <v>0.76637554585152834</v>
      </c>
      <c r="N333" s="1">
        <f>'[1]Forward Ranks'!AD333</f>
        <v>0.97161572052401746</v>
      </c>
      <c r="O333" s="1">
        <f>'[1]Forward Ranks'!AE333</f>
        <v>0.6506550218340611</v>
      </c>
      <c r="P333" s="1">
        <f>'[1]Forward Ranks'!AF333</f>
        <v>0.88427947598253276</v>
      </c>
      <c r="Q333">
        <f>'[1]Forward Ranks'!AH333</f>
        <v>0</v>
      </c>
      <c r="R333" s="1">
        <f>'[1]Forward Ranks'!AM333</f>
        <v>0.53711790393013104</v>
      </c>
      <c r="S333" s="1">
        <f>'[1]Forward Ranks'!AN333</f>
        <v>0.84497816593886466</v>
      </c>
      <c r="T333" s="1">
        <f>'[1]Forward Ranks'!AO333</f>
        <v>0.50218340611353707</v>
      </c>
      <c r="U333" s="1">
        <f>'[1]Forward Ranks'!AP333</f>
        <v>0.55021834061135366</v>
      </c>
      <c r="V333">
        <f>'[1]Forward Ranks'!AR333</f>
        <v>0</v>
      </c>
      <c r="W333" s="1">
        <f>'[1]Forward Ranks'!AW333</f>
        <v>0.58515283842794763</v>
      </c>
      <c r="X333" s="1">
        <f>'[1]Forward Ranks'!AX333</f>
        <v>0.81441048034934493</v>
      </c>
      <c r="Y333" s="1">
        <f>'[1]Forward Ranks'!AY333</f>
        <v>0.69868995633187769</v>
      </c>
      <c r="Z333" s="1">
        <f>'[1]Forward Ranks'!AZ333</f>
        <v>0.75327510917030571</v>
      </c>
      <c r="AA333">
        <f>'[1]Forward Ranks'!BB333</f>
        <v>0</v>
      </c>
      <c r="AB333" s="1">
        <f>'[1]Forward Ranks'!BG333</f>
        <v>0.76855895196506552</v>
      </c>
      <c r="AC333" s="1">
        <f>'[1]Forward Ranks'!BH333</f>
        <v>0.59825327510917026</v>
      </c>
      <c r="AD333" s="1">
        <f>'[1]Forward Ranks'!BI333</f>
        <v>0.46724890829694321</v>
      </c>
      <c r="AE333" s="1">
        <f>'[1]Forward Ranks'!BJ333</f>
        <v>0.46288209606986902</v>
      </c>
      <c r="AF333">
        <f>'[1]Forward Ranks'!BL333</f>
        <v>0</v>
      </c>
      <c r="AG333" s="1">
        <f>'[1]Forward Ranks'!BQ333</f>
        <v>0.85807860262008728</v>
      </c>
      <c r="AH333" s="1">
        <f>'[1]Forward Ranks'!BR333</f>
        <v>0.99344978165938869</v>
      </c>
      <c r="AI333" s="1">
        <f>'[1]Forward Ranks'!BS333</f>
        <v>0.75545851528384278</v>
      </c>
      <c r="AJ333" s="1">
        <f>'[1]Forward Ranks'!BT333</f>
        <v>0.95196506550218341</v>
      </c>
      <c r="AL333" s="2">
        <f>'[1]Forward Ranks'!BX333</f>
        <v>0.87554585152838427</v>
      </c>
      <c r="AN333" t="str">
        <f>'[1]Forward Ranks'!B333</f>
        <v>N.J</v>
      </c>
      <c r="AO333">
        <f>'[1]F on ice'!E333</f>
        <v>49</v>
      </c>
      <c r="AP333" s="2">
        <f>'[1]Impact Score Math'!E333</f>
        <v>0.89579158316633267</v>
      </c>
      <c r="AQ333">
        <f>'[1]Impact Score Math'!G333</f>
        <v>53</v>
      </c>
      <c r="AT333" s="1">
        <f>'[1]Forward Ranks'!CJ333</f>
        <v>0.89956331877729256</v>
      </c>
      <c r="AU333" s="1">
        <f>'[1]Forward Ranks'!CK333</f>
        <v>0.46724890829694321</v>
      </c>
    </row>
    <row r="334" spans="1:47" x14ac:dyDescent="0.3">
      <c r="A334" t="str">
        <f>'[1]Forward Ranks'!A334</f>
        <v>Oskar Lindblom</v>
      </c>
      <c r="B334">
        <f>'[1]Forward Ranks'!D334</f>
        <v>0</v>
      </c>
      <c r="C334" s="1">
        <f>'[1]Forward Ranks'!I334</f>
        <v>0.12445414847161572</v>
      </c>
      <c r="D334" s="1">
        <f>'[1]Forward Ranks'!J334</f>
        <v>0.22925764192139739</v>
      </c>
      <c r="E334" s="1">
        <f>'[1]Forward Ranks'!K334</f>
        <v>0.24672489082969432</v>
      </c>
      <c r="F334" s="1">
        <f>'[1]Forward Ranks'!L334</f>
        <v>0.14410480349344978</v>
      </c>
      <c r="G334">
        <f>'[1]Forward Ranks'!N334</f>
        <v>0</v>
      </c>
      <c r="H334" s="1">
        <f>'[1]Forward Ranks'!S334</f>
        <v>0.32096069868995636</v>
      </c>
      <c r="I334" s="1">
        <f>'[1]Forward Ranks'!T334</f>
        <v>0.27074235807860264</v>
      </c>
      <c r="J334" s="1">
        <f>'[1]Forward Ranks'!U334</f>
        <v>0.13755458515283842</v>
      </c>
      <c r="K334" s="1">
        <f>'[1]Forward Ranks'!V334</f>
        <v>0.22270742358078602</v>
      </c>
      <c r="L334">
        <f>'[1]Forward Ranks'!X334</f>
        <v>0</v>
      </c>
      <c r="M334" s="1">
        <f>'[1]Forward Ranks'!AC334</f>
        <v>0.22925764192139739</v>
      </c>
      <c r="N334" s="1">
        <f>'[1]Forward Ranks'!AD334</f>
        <v>0.35589519650655022</v>
      </c>
      <c r="O334" s="1">
        <f>'[1]Forward Ranks'!AE334</f>
        <v>6.9868995633187769E-2</v>
      </c>
      <c r="P334" s="1">
        <f>'[1]Forward Ranks'!AF334</f>
        <v>0.41484716157205243</v>
      </c>
      <c r="Q334">
        <f>'[1]Forward Ranks'!AH334</f>
        <v>0</v>
      </c>
      <c r="R334" s="1">
        <f>'[1]Forward Ranks'!AM334</f>
        <v>8.296943231441048E-2</v>
      </c>
      <c r="S334" s="1">
        <f>'[1]Forward Ranks'!AN334</f>
        <v>1.3100436681222707E-2</v>
      </c>
      <c r="T334" s="1">
        <f>'[1]Forward Ranks'!AO334</f>
        <v>0.20524017467248909</v>
      </c>
      <c r="U334" s="1">
        <f>'[1]Forward Ranks'!AP334</f>
        <v>3.0567685589519649E-2</v>
      </c>
      <c r="V334">
        <f>'[1]Forward Ranks'!AR334</f>
        <v>0</v>
      </c>
      <c r="W334" s="1">
        <f>'[1]Forward Ranks'!AW334</f>
        <v>0.20087336244541484</v>
      </c>
      <c r="X334" s="1">
        <f>'[1]Forward Ranks'!AX334</f>
        <v>0.23580786026200873</v>
      </c>
      <c r="Y334" s="1">
        <f>'[1]Forward Ranks'!AY334</f>
        <v>0.25327510917030566</v>
      </c>
      <c r="Z334" s="1">
        <f>'[1]Forward Ranks'!AZ334</f>
        <v>0.41921397379912662</v>
      </c>
      <c r="AA334">
        <f>'[1]Forward Ranks'!BB334</f>
        <v>0</v>
      </c>
      <c r="AB334" s="1">
        <f>'[1]Forward Ranks'!BG334</f>
        <v>7.4235807860262015E-2</v>
      </c>
      <c r="AC334" s="1">
        <f>'[1]Forward Ranks'!BH334</f>
        <v>0.31659388646288211</v>
      </c>
      <c r="AD334" s="1">
        <f>'[1]Forward Ranks'!BI334</f>
        <v>0.388646288209607</v>
      </c>
      <c r="AE334" s="1">
        <f>'[1]Forward Ranks'!BJ334</f>
        <v>6.9868995633187769E-2</v>
      </c>
      <c r="AF334">
        <f>'[1]Forward Ranks'!BL334</f>
        <v>0</v>
      </c>
      <c r="AG334" s="1">
        <f>'[1]Forward Ranks'!BQ334</f>
        <v>0.11572052401746726</v>
      </c>
      <c r="AH334" s="1">
        <f>'[1]Forward Ranks'!BR334</f>
        <v>0.22270742358078602</v>
      </c>
      <c r="AI334" s="1">
        <f>'[1]Forward Ranks'!BS334</f>
        <v>8.5152838427947602E-2</v>
      </c>
      <c r="AJ334" s="1">
        <f>'[1]Forward Ranks'!BT334</f>
        <v>0.1965065502183406</v>
      </c>
      <c r="AL334" s="2">
        <f>'[1]Forward Ranks'!BX334</f>
        <v>5.458515283842795E-2</v>
      </c>
      <c r="AN334" t="str">
        <f>'[1]Forward Ranks'!B334</f>
        <v>S.J</v>
      </c>
      <c r="AO334">
        <f>'[1]F on ice'!E334</f>
        <v>73</v>
      </c>
      <c r="AP334" s="2">
        <f>'[1]Impact Score Math'!E334</f>
        <v>0.12424849699398798</v>
      </c>
      <c r="AQ334">
        <f>'[1]Impact Score Math'!G334</f>
        <v>438</v>
      </c>
      <c r="AT334" s="1">
        <f>'[1]Forward Ranks'!CJ334</f>
        <v>0.59170305676855894</v>
      </c>
      <c r="AU334" s="1">
        <f>'[1]Forward Ranks'!CK334</f>
        <v>3.0567685589519649E-2</v>
      </c>
    </row>
    <row r="335" spans="1:47" x14ac:dyDescent="0.3">
      <c r="A335" t="str">
        <f>'[1]Forward Ranks'!A335</f>
        <v>Oskar Sundqvist</v>
      </c>
      <c r="B335">
        <f>'[1]Forward Ranks'!D335</f>
        <v>0</v>
      </c>
      <c r="C335" s="1">
        <f>'[1]Forward Ranks'!I335</f>
        <v>8.9519650655021835E-2</v>
      </c>
      <c r="D335" s="1">
        <f>'[1]Forward Ranks'!J335</f>
        <v>0.13973799126637554</v>
      </c>
      <c r="E335" s="1">
        <f>'[1]Forward Ranks'!K335</f>
        <v>0.38209606986899564</v>
      </c>
      <c r="F335" s="1">
        <f>'[1]Forward Ranks'!L335</f>
        <v>0.1943231441048035</v>
      </c>
      <c r="G335">
        <f>'[1]Forward Ranks'!N335</f>
        <v>0</v>
      </c>
      <c r="H335" s="1">
        <f>'[1]Forward Ranks'!S335</f>
        <v>0.27510917030567683</v>
      </c>
      <c r="I335" s="1">
        <f>'[1]Forward Ranks'!T335</f>
        <v>0.56986899563318782</v>
      </c>
      <c r="J335" s="1">
        <f>'[1]Forward Ranks'!U335</f>
        <v>0.31004366812227074</v>
      </c>
      <c r="K335" s="1">
        <f>'[1]Forward Ranks'!V335</f>
        <v>0.41484716157205243</v>
      </c>
      <c r="L335">
        <f>'[1]Forward Ranks'!X335</f>
        <v>0</v>
      </c>
      <c r="M335" s="1">
        <f>'[1]Forward Ranks'!AC335</f>
        <v>0.54366812227074235</v>
      </c>
      <c r="N335" s="1">
        <f>'[1]Forward Ranks'!AD335</f>
        <v>0.27729257641921395</v>
      </c>
      <c r="O335" s="1">
        <f>'[1]Forward Ranks'!AE335</f>
        <v>0.5873362445414847</v>
      </c>
      <c r="P335" s="1">
        <f>'[1]Forward Ranks'!AF335</f>
        <v>0.52838427947598254</v>
      </c>
      <c r="Q335">
        <f>'[1]Forward Ranks'!AH335</f>
        <v>0</v>
      </c>
      <c r="R335" s="1">
        <f>'[1]Forward Ranks'!AM335</f>
        <v>0.24890829694323144</v>
      </c>
      <c r="S335" s="1">
        <f>'[1]Forward Ranks'!AN335</f>
        <v>0.35589519650655022</v>
      </c>
      <c r="T335" s="1">
        <f>'[1]Forward Ranks'!AO335</f>
        <v>0.37991266375545851</v>
      </c>
      <c r="U335" s="1">
        <f>'[1]Forward Ranks'!AP335</f>
        <v>0.41048034934497818</v>
      </c>
      <c r="V335">
        <f>'[1]Forward Ranks'!AR335</f>
        <v>0</v>
      </c>
      <c r="W335" s="1">
        <f>'[1]Forward Ranks'!AW335</f>
        <v>0.78602620087336239</v>
      </c>
      <c r="X335" s="1">
        <f>'[1]Forward Ranks'!AX335</f>
        <v>0.31659388646288211</v>
      </c>
      <c r="Y335" s="1">
        <f>'[1]Forward Ranks'!AY335</f>
        <v>0.55895196506550215</v>
      </c>
      <c r="Z335" s="1">
        <f>'[1]Forward Ranks'!AZ335</f>
        <v>0.63100436681222705</v>
      </c>
      <c r="AA335">
        <f>'[1]Forward Ranks'!BB335</f>
        <v>0</v>
      </c>
      <c r="AB335" s="1">
        <f>'[1]Forward Ranks'!BG335</f>
        <v>0.2576419213973799</v>
      </c>
      <c r="AC335" s="1">
        <f>'[1]Forward Ranks'!BH335</f>
        <v>0.56113537117903933</v>
      </c>
      <c r="AD335" s="1">
        <f>'[1]Forward Ranks'!BI335</f>
        <v>0.73144104803493448</v>
      </c>
      <c r="AE335" s="1">
        <f>'[1]Forward Ranks'!BJ335</f>
        <v>0.66593886462882101</v>
      </c>
      <c r="AF335">
        <f>'[1]Forward Ranks'!BL335</f>
        <v>0</v>
      </c>
      <c r="AG335" s="1">
        <f>'[1]Forward Ranks'!BQ335</f>
        <v>0.17685589519650655</v>
      </c>
      <c r="AH335" s="1">
        <f>'[1]Forward Ranks'!BR335</f>
        <v>0.15283842794759825</v>
      </c>
      <c r="AI335" s="1">
        <f>'[1]Forward Ranks'!BS335</f>
        <v>0.46288209606986902</v>
      </c>
      <c r="AJ335" s="1">
        <f>'[1]Forward Ranks'!BT335</f>
        <v>0.27292576419213976</v>
      </c>
      <c r="AL335" s="2">
        <f>'[1]Forward Ranks'!BX335</f>
        <v>0.29257641921397382</v>
      </c>
      <c r="AN335" t="str">
        <f>'[1]Forward Ranks'!B335</f>
        <v>DET, MIN</v>
      </c>
      <c r="AO335">
        <f>'[1]F on ice'!E335</f>
        <v>67</v>
      </c>
      <c r="AP335" s="2">
        <f>'[1]Impact Score Math'!E335</f>
        <v>0.32464929859719438</v>
      </c>
      <c r="AQ335">
        <f>'[1]Impact Score Math'!G335</f>
        <v>338</v>
      </c>
      <c r="AT335" s="1">
        <f>'[1]Forward Ranks'!CJ335</f>
        <v>0.26419213973799127</v>
      </c>
      <c r="AU335" s="1">
        <f>'[1]Forward Ranks'!CK335</f>
        <v>0.90393013100436681</v>
      </c>
    </row>
    <row r="336" spans="1:47" x14ac:dyDescent="0.3">
      <c r="A336" t="str">
        <f>'[1]Forward Ranks'!A336</f>
        <v>Owen Tippett</v>
      </c>
      <c r="B336">
        <f>'[1]Forward Ranks'!D336</f>
        <v>0</v>
      </c>
      <c r="C336" s="1">
        <f>'[1]Forward Ranks'!I336</f>
        <v>0.61353711790393017</v>
      </c>
      <c r="D336" s="1">
        <f>'[1]Forward Ranks'!J336</f>
        <v>0.61353711790393017</v>
      </c>
      <c r="E336" s="1">
        <f>'[1]Forward Ranks'!K336</f>
        <v>0.71615720524017468</v>
      </c>
      <c r="F336" s="1">
        <f>'[1]Forward Ranks'!L336</f>
        <v>0.59825327510917026</v>
      </c>
      <c r="G336">
        <f>'[1]Forward Ranks'!N336</f>
        <v>0</v>
      </c>
      <c r="H336" s="1">
        <f>'[1]Forward Ranks'!S336</f>
        <v>0.76200873362445409</v>
      </c>
      <c r="I336" s="1">
        <f>'[1]Forward Ranks'!T336</f>
        <v>0.53056768558951961</v>
      </c>
      <c r="J336" s="1">
        <f>'[1]Forward Ranks'!U336</f>
        <v>0.58078602620087338</v>
      </c>
      <c r="K336" s="1">
        <f>'[1]Forward Ranks'!V336</f>
        <v>0.63755458515283847</v>
      </c>
      <c r="L336">
        <f>'[1]Forward Ranks'!X336</f>
        <v>0</v>
      </c>
      <c r="M336" s="1">
        <f>'[1]Forward Ranks'!AC336</f>
        <v>0.34497816593886466</v>
      </c>
      <c r="N336" s="1">
        <f>'[1]Forward Ranks'!AD336</f>
        <v>0.55021834061135366</v>
      </c>
      <c r="O336" s="1">
        <f>'[1]Forward Ranks'!AE336</f>
        <v>8.9519650655021835E-2</v>
      </c>
      <c r="P336" s="1">
        <f>'[1]Forward Ranks'!AF336</f>
        <v>0.42358078602620086</v>
      </c>
      <c r="Q336">
        <f>'[1]Forward Ranks'!AH336</f>
        <v>0</v>
      </c>
      <c r="R336" s="1">
        <f>'[1]Forward Ranks'!AM336</f>
        <v>0.72707423580786024</v>
      </c>
      <c r="S336" s="1">
        <f>'[1]Forward Ranks'!AN336</f>
        <v>0.79475982532751088</v>
      </c>
      <c r="T336" s="1">
        <f>'[1]Forward Ranks'!AO336</f>
        <v>0.86899563318777295</v>
      </c>
      <c r="U336" s="1">
        <f>'[1]Forward Ranks'!AP336</f>
        <v>0.81004366812227069</v>
      </c>
      <c r="V336">
        <f>'[1]Forward Ranks'!AR336</f>
        <v>0</v>
      </c>
      <c r="W336" s="1">
        <f>'[1]Forward Ranks'!AW336</f>
        <v>0.33187772925764192</v>
      </c>
      <c r="X336" s="1">
        <f>'[1]Forward Ranks'!AX336</f>
        <v>0.58078602620087338</v>
      </c>
      <c r="Y336" s="1">
        <f>'[1]Forward Ranks'!AY336</f>
        <v>2.6200873362445413E-2</v>
      </c>
      <c r="Z336" s="1">
        <f>'[1]Forward Ranks'!AZ336</f>
        <v>0.36462882096069871</v>
      </c>
      <c r="AA336">
        <f>'[1]Forward Ranks'!BB336</f>
        <v>0</v>
      </c>
      <c r="AB336" s="1">
        <f>'[1]Forward Ranks'!BG336</f>
        <v>0.87117903930131002</v>
      </c>
      <c r="AC336" s="1">
        <f>'[1]Forward Ranks'!BH336</f>
        <v>0.69432314410480345</v>
      </c>
      <c r="AD336" s="1">
        <f>'[1]Forward Ranks'!BI336</f>
        <v>0.74235807860262004</v>
      </c>
      <c r="AE336" s="1">
        <f>'[1]Forward Ranks'!BJ336</f>
        <v>0.24672489082969432</v>
      </c>
      <c r="AF336">
        <f>'[1]Forward Ranks'!BL336</f>
        <v>0</v>
      </c>
      <c r="AG336" s="1">
        <f>'[1]Forward Ranks'!BQ336</f>
        <v>0.49781659388646288</v>
      </c>
      <c r="AH336" s="1">
        <f>'[1]Forward Ranks'!BR336</f>
        <v>0.57641921397379914</v>
      </c>
      <c r="AI336" s="1">
        <f>'[1]Forward Ranks'!BS336</f>
        <v>0.35589519650655022</v>
      </c>
      <c r="AJ336" s="1">
        <f>'[1]Forward Ranks'!BT336</f>
        <v>0.5240174672489083</v>
      </c>
      <c r="AL336" s="2">
        <f>'[1]Forward Ranks'!BX336</f>
        <v>0.63318777292576423</v>
      </c>
      <c r="AN336" t="str">
        <f>'[1]Forward Ranks'!B336</f>
        <v>PHI</v>
      </c>
      <c r="AO336">
        <f>'[1]F on ice'!E336</f>
        <v>77</v>
      </c>
      <c r="AP336" s="2">
        <f>'[1]Impact Score Math'!E336</f>
        <v>0.75751503006012022</v>
      </c>
      <c r="AQ336">
        <f>'[1]Impact Score Math'!G336</f>
        <v>122</v>
      </c>
      <c r="AT336" s="1">
        <f>'[1]Forward Ranks'!CJ336</f>
        <v>0.86681222707423577</v>
      </c>
      <c r="AU336" s="1">
        <f>'[1]Forward Ranks'!CK336</f>
        <v>0.49781659388646288</v>
      </c>
    </row>
    <row r="337" spans="1:47" x14ac:dyDescent="0.3">
      <c r="A337" t="str">
        <f>'[1]Forward Ranks'!A337</f>
        <v>Parker Kelly</v>
      </c>
      <c r="B337">
        <f>'[1]Forward Ranks'!D337</f>
        <v>0</v>
      </c>
      <c r="C337" s="1">
        <f>'[1]Forward Ranks'!I337</f>
        <v>0.19213973799126638</v>
      </c>
      <c r="D337" s="1">
        <f>'[1]Forward Ranks'!J337</f>
        <v>4.8034934497816595E-2</v>
      </c>
      <c r="E337" s="1">
        <f>'[1]Forward Ranks'!K337</f>
        <v>1.5283842794759825E-2</v>
      </c>
      <c r="F337" s="1">
        <f>'[1]Forward Ranks'!L337</f>
        <v>3.9301310043668124E-2</v>
      </c>
      <c r="G337">
        <f>'[1]Forward Ranks'!N337</f>
        <v>0</v>
      </c>
      <c r="H337" s="1">
        <f>'[1]Forward Ranks'!S337</f>
        <v>2.1834061135371178E-2</v>
      </c>
      <c r="I337" s="1">
        <f>'[1]Forward Ranks'!T337</f>
        <v>3.9301310043668124E-2</v>
      </c>
      <c r="J337" s="1">
        <f>'[1]Forward Ranks'!U337</f>
        <v>2.1834061135371178E-3</v>
      </c>
      <c r="K337" s="1">
        <f>'[1]Forward Ranks'!V337</f>
        <v>1.3100436681222707E-2</v>
      </c>
      <c r="L337">
        <f>'[1]Forward Ranks'!X337</f>
        <v>0</v>
      </c>
      <c r="M337" s="1">
        <f>'[1]Forward Ranks'!AC337</f>
        <v>0.70524017467248912</v>
      </c>
      <c r="N337" s="1">
        <f>'[1]Forward Ranks'!AD337</f>
        <v>0.79257641921397382</v>
      </c>
      <c r="O337" s="1">
        <f>'[1]Forward Ranks'!AE337</f>
        <v>0.48908296943231439</v>
      </c>
      <c r="P337" s="1">
        <f>'[1]Forward Ranks'!AF337</f>
        <v>0.85371179039301315</v>
      </c>
      <c r="Q337">
        <f>'[1]Forward Ranks'!AH337</f>
        <v>0</v>
      </c>
      <c r="R337" s="1">
        <f>'[1]Forward Ranks'!AM337</f>
        <v>5.2401746724890827E-2</v>
      </c>
      <c r="S337" s="1">
        <f>'[1]Forward Ranks'!AN337</f>
        <v>8.7336244541484712E-3</v>
      </c>
      <c r="T337" s="1">
        <f>'[1]Forward Ranks'!AO337</f>
        <v>3.4934497816593885E-2</v>
      </c>
      <c r="U337" s="1">
        <f>'[1]Forward Ranks'!AP337</f>
        <v>6.5502183406113534E-3</v>
      </c>
      <c r="V337">
        <f>'[1]Forward Ranks'!AR337</f>
        <v>0</v>
      </c>
      <c r="W337" s="1">
        <f>'[1]Forward Ranks'!AW337</f>
        <v>0.85807860262008728</v>
      </c>
      <c r="X337" s="1">
        <f>'[1]Forward Ranks'!AX337</f>
        <v>0.82969432314410485</v>
      </c>
      <c r="Y337" s="1">
        <f>'[1]Forward Ranks'!AY337</f>
        <v>0.67248908296943233</v>
      </c>
      <c r="Z337" s="1">
        <f>'[1]Forward Ranks'!AZ337</f>
        <v>0.91048034934497812</v>
      </c>
      <c r="AA337">
        <f>'[1]Forward Ranks'!BB337</f>
        <v>0</v>
      </c>
      <c r="AB337" s="1">
        <f>'[1]Forward Ranks'!BG337</f>
        <v>1.3100436681222707E-2</v>
      </c>
      <c r="AC337" s="1">
        <f>'[1]Forward Ranks'!BH337</f>
        <v>8.296943231441048E-2</v>
      </c>
      <c r="AD337" s="1">
        <f>'[1]Forward Ranks'!BI337</f>
        <v>8.7336244541484712E-3</v>
      </c>
      <c r="AE337" s="1">
        <f>'[1]Forward Ranks'!BJ337</f>
        <v>1.5283842794759825E-2</v>
      </c>
      <c r="AF337">
        <f>'[1]Forward Ranks'!BL337</f>
        <v>0</v>
      </c>
      <c r="AG337" s="1">
        <f>'[1]Forward Ranks'!BQ337</f>
        <v>0.36681222707423583</v>
      </c>
      <c r="AH337" s="1">
        <f>'[1]Forward Ranks'!BR337</f>
        <v>0.21179039301310043</v>
      </c>
      <c r="AI337" s="1">
        <f>'[1]Forward Ranks'!BS337</f>
        <v>1.3100436681222707E-2</v>
      </c>
      <c r="AJ337" s="1">
        <f>'[1]Forward Ranks'!BT337</f>
        <v>0.1943231441048035</v>
      </c>
      <c r="AL337" s="2">
        <f>'[1]Forward Ranks'!BX337</f>
        <v>0.12882096069868995</v>
      </c>
      <c r="AN337" t="str">
        <f>'[1]Forward Ranks'!B337</f>
        <v>OTT</v>
      </c>
      <c r="AO337">
        <f>'[1]F on ice'!E337</f>
        <v>55</v>
      </c>
      <c r="AP337" s="2">
        <f>'[1]Impact Score Math'!E337</f>
        <v>0.13827655310621242</v>
      </c>
      <c r="AQ337">
        <f>'[1]Impact Score Math'!G337</f>
        <v>431</v>
      </c>
      <c r="AT337" s="1">
        <f>'[1]Forward Ranks'!CJ337</f>
        <v>5.458515283842795E-2</v>
      </c>
      <c r="AU337" s="1">
        <f>'[1]Forward Ranks'!CK337</f>
        <v>0.9606986899563319</v>
      </c>
    </row>
    <row r="338" spans="1:47" x14ac:dyDescent="0.3">
      <c r="A338" t="str">
        <f>'[1]Forward Ranks'!A338</f>
        <v>Pat Maroon</v>
      </c>
      <c r="B338">
        <f>'[1]Forward Ranks'!D338</f>
        <v>0</v>
      </c>
      <c r="C338" s="1">
        <f>'[1]Forward Ranks'!I338</f>
        <v>0.51965065502183405</v>
      </c>
      <c r="D338" s="1">
        <f>'[1]Forward Ranks'!J338</f>
        <v>0.67903930131004364</v>
      </c>
      <c r="E338" s="1">
        <f>'[1]Forward Ranks'!K338</f>
        <v>8.0786026200873357E-2</v>
      </c>
      <c r="F338" s="1">
        <f>'[1]Forward Ranks'!L338</f>
        <v>0.45414847161572053</v>
      </c>
      <c r="G338">
        <f>'[1]Forward Ranks'!N338</f>
        <v>0</v>
      </c>
      <c r="H338" s="1">
        <f>'[1]Forward Ranks'!S338</f>
        <v>0.1222707423580786</v>
      </c>
      <c r="I338" s="1">
        <f>'[1]Forward Ranks'!T338</f>
        <v>0.16375545851528384</v>
      </c>
      <c r="J338" s="1">
        <f>'[1]Forward Ranks'!U338</f>
        <v>0.16157205240174671</v>
      </c>
      <c r="K338" s="1">
        <f>'[1]Forward Ranks'!V338</f>
        <v>8.296943231441048E-2</v>
      </c>
      <c r="L338">
        <f>'[1]Forward Ranks'!X338</f>
        <v>0</v>
      </c>
      <c r="M338" s="1">
        <f>'[1]Forward Ranks'!AC338</f>
        <v>0.67685589519650657</v>
      </c>
      <c r="N338" s="1">
        <f>'[1]Forward Ranks'!AD338</f>
        <v>0.69213973799126638</v>
      </c>
      <c r="O338" s="1">
        <f>'[1]Forward Ranks'!AE338</f>
        <v>0.87117903930131002</v>
      </c>
      <c r="P338" s="1">
        <f>'[1]Forward Ranks'!AF338</f>
        <v>0.67248908296943233</v>
      </c>
      <c r="Q338">
        <f>'[1]Forward Ranks'!AH338</f>
        <v>0</v>
      </c>
      <c r="R338" s="1">
        <f>'[1]Forward Ranks'!AM338</f>
        <v>0.33406113537117904</v>
      </c>
      <c r="S338" s="1">
        <f>'[1]Forward Ranks'!AN338</f>
        <v>0.18122270742358079</v>
      </c>
      <c r="T338" s="1">
        <f>'[1]Forward Ranks'!AO338</f>
        <v>3.7117903930131008E-2</v>
      </c>
      <c r="U338" s="1">
        <f>'[1]Forward Ranks'!AP338</f>
        <v>0.18777292576419213</v>
      </c>
      <c r="V338">
        <f>'[1]Forward Ranks'!AR338</f>
        <v>0</v>
      </c>
      <c r="W338" s="1">
        <f>'[1]Forward Ranks'!AW338</f>
        <v>0.70305676855895194</v>
      </c>
      <c r="X338" s="1">
        <f>'[1]Forward Ranks'!AX338</f>
        <v>0.69432314410480345</v>
      </c>
      <c r="Y338" s="1">
        <f>'[1]Forward Ranks'!AY338</f>
        <v>0.888646288209607</v>
      </c>
      <c r="Z338" s="1">
        <f>'[1]Forward Ranks'!AZ338</f>
        <v>0.75327510917030571</v>
      </c>
      <c r="AA338">
        <f>'[1]Forward Ranks'!BB338</f>
        <v>0</v>
      </c>
      <c r="AB338" s="1">
        <f>'[1]Forward Ranks'!BG338</f>
        <v>0.17248908296943233</v>
      </c>
      <c r="AC338" s="1">
        <f>'[1]Forward Ranks'!BH338</f>
        <v>0.65502183406113534</v>
      </c>
      <c r="AD338" s="1">
        <f>'[1]Forward Ranks'!BI338</f>
        <v>8.5152838427947602E-2</v>
      </c>
      <c r="AE338" s="1">
        <f>'[1]Forward Ranks'!BJ338</f>
        <v>0.41484716157205243</v>
      </c>
      <c r="AF338">
        <f>'[1]Forward Ranks'!BL338</f>
        <v>0</v>
      </c>
      <c r="AG338" s="1">
        <f>'[1]Forward Ranks'!BQ338</f>
        <v>0.59825327510917026</v>
      </c>
      <c r="AH338" s="1">
        <f>'[1]Forward Ranks'!BR338</f>
        <v>0.73580786026200873</v>
      </c>
      <c r="AI338" s="1">
        <f>'[1]Forward Ranks'!BS338</f>
        <v>0.32751091703056767</v>
      </c>
      <c r="AJ338" s="1">
        <f>'[1]Forward Ranks'!BT338</f>
        <v>0.56113537117903933</v>
      </c>
      <c r="AL338" s="2">
        <f>'[1]Forward Ranks'!BX338</f>
        <v>0.37336244541484714</v>
      </c>
      <c r="AN338" t="str">
        <f>'[1]Forward Ranks'!B338</f>
        <v>T.B</v>
      </c>
      <c r="AO338">
        <f>'[1]F on ice'!E338</f>
        <v>80</v>
      </c>
      <c r="AP338" s="2">
        <f>'[1]Impact Score Math'!E338</f>
        <v>0.34669338677354711</v>
      </c>
      <c r="AQ338">
        <f>'[1]Impact Score Math'!G338</f>
        <v>327</v>
      </c>
      <c r="AT338" s="1">
        <f>'[1]Forward Ranks'!CJ338</f>
        <v>1.9650655021834062E-2</v>
      </c>
      <c r="AU338" s="1">
        <f>'[1]Forward Ranks'!CK338</f>
        <v>0.87991266375545851</v>
      </c>
    </row>
    <row r="339" spans="1:47" x14ac:dyDescent="0.3">
      <c r="A339" t="str">
        <f>'[1]Forward Ranks'!A339</f>
        <v>Patrice Bergeron</v>
      </c>
      <c r="B339">
        <f>'[1]Forward Ranks'!D339</f>
        <v>0</v>
      </c>
      <c r="C339" s="1">
        <f>'[1]Forward Ranks'!I339</f>
        <v>0.99126637554585151</v>
      </c>
      <c r="D339" s="1">
        <f>'[1]Forward Ranks'!J339</f>
        <v>0.9606986899563319</v>
      </c>
      <c r="E339" s="1">
        <f>'[1]Forward Ranks'!K339</f>
        <v>0.81441048034934493</v>
      </c>
      <c r="F339" s="1">
        <f>'[1]Forward Ranks'!L339</f>
        <v>0.98034934497816595</v>
      </c>
      <c r="G339">
        <f>'[1]Forward Ranks'!N339</f>
        <v>0</v>
      </c>
      <c r="H339" s="1">
        <f>'[1]Forward Ranks'!S339</f>
        <v>0.79475982532751088</v>
      </c>
      <c r="I339" s="1">
        <f>'[1]Forward Ranks'!T339</f>
        <v>0.69868995633187769</v>
      </c>
      <c r="J339" s="1">
        <f>'[1]Forward Ranks'!U339</f>
        <v>0.49563318777292575</v>
      </c>
      <c r="K339" s="1">
        <f>'[1]Forward Ranks'!V339</f>
        <v>0.81222707423580787</v>
      </c>
      <c r="L339">
        <f>'[1]Forward Ranks'!X339</f>
        <v>0</v>
      </c>
      <c r="M339" s="1">
        <f>'[1]Forward Ranks'!AC339</f>
        <v>0.91048034934497812</v>
      </c>
      <c r="N339" s="1">
        <f>'[1]Forward Ranks'!AD339</f>
        <v>0.96943231441048039</v>
      </c>
      <c r="O339" s="1">
        <f>'[1]Forward Ranks'!AE339</f>
        <v>0.99563318777292575</v>
      </c>
      <c r="P339" s="1">
        <f>'[1]Forward Ranks'!AF339</f>
        <v>0.9759825327510917</v>
      </c>
      <c r="Q339">
        <f>'[1]Forward Ranks'!AH339</f>
        <v>0</v>
      </c>
      <c r="R339" s="1">
        <f>'[1]Forward Ranks'!AM339</f>
        <v>0.99781659388646293</v>
      </c>
      <c r="S339" s="1">
        <f>'[1]Forward Ranks'!AN339</f>
        <v>0.98471615720524019</v>
      </c>
      <c r="T339" s="1">
        <f>'[1]Forward Ranks'!AO339</f>
        <v>0.55676855895196509</v>
      </c>
      <c r="U339" s="1">
        <f>'[1]Forward Ranks'!AP339</f>
        <v>0.99563318777292575</v>
      </c>
      <c r="V339">
        <f>'[1]Forward Ranks'!AR339</f>
        <v>0</v>
      </c>
      <c r="W339" s="1">
        <f>'[1]Forward Ranks'!AW339</f>
        <v>0.9126637554585153</v>
      </c>
      <c r="X339" s="1">
        <f>'[1]Forward Ranks'!AX339</f>
        <v>0.94541484716157209</v>
      </c>
      <c r="Y339" s="1">
        <f>'[1]Forward Ranks'!AY339</f>
        <v>0.84716157205240172</v>
      </c>
      <c r="Z339" s="1">
        <f>'[1]Forward Ranks'!AZ339</f>
        <v>0.92576419213973804</v>
      </c>
      <c r="AA339">
        <f>'[1]Forward Ranks'!BB339</f>
        <v>0</v>
      </c>
      <c r="AB339" s="1">
        <f>'[1]Forward Ranks'!BG339</f>
        <v>0.34279475982532753</v>
      </c>
      <c r="AC339" s="1">
        <f>'[1]Forward Ranks'!BH339</f>
        <v>0.68122270742358082</v>
      </c>
      <c r="AD339" s="1">
        <f>'[1]Forward Ranks'!BI339</f>
        <v>0.36026200873362446</v>
      </c>
      <c r="AE339" s="1">
        <f>'[1]Forward Ranks'!BJ339</f>
        <v>0.9126637554585153</v>
      </c>
      <c r="AF339">
        <f>'[1]Forward Ranks'!BL339</f>
        <v>0</v>
      </c>
      <c r="AG339" s="1">
        <f>'[1]Forward Ranks'!BQ339</f>
        <v>0.9759825327510917</v>
      </c>
      <c r="AH339" s="1">
        <f>'[1]Forward Ranks'!BR339</f>
        <v>0.99126637554585151</v>
      </c>
      <c r="AI339" s="1">
        <f>'[1]Forward Ranks'!BS339</f>
        <v>1</v>
      </c>
      <c r="AJ339" s="1">
        <f>'[1]Forward Ranks'!BT339</f>
        <v>0.99344978165938869</v>
      </c>
      <c r="AL339" s="2">
        <f>'[1]Forward Ranks'!BX339</f>
        <v>0.99781659388646293</v>
      </c>
      <c r="AN339" t="str">
        <f>'[1]Forward Ranks'!B339</f>
        <v>BOS</v>
      </c>
      <c r="AO339">
        <f>'[1]F on ice'!E339</f>
        <v>78</v>
      </c>
      <c r="AP339" s="2">
        <f>'[1]Impact Score Math'!E339</f>
        <v>0.93386773547094193</v>
      </c>
      <c r="AQ339">
        <f>'[1]Impact Score Math'!G339</f>
        <v>34</v>
      </c>
      <c r="AT339" s="1">
        <f>'[1]Forward Ranks'!CJ339</f>
        <v>0.89956331877729256</v>
      </c>
      <c r="AU339" s="1">
        <f>'[1]Forward Ranks'!CK339</f>
        <v>0.39519650655021832</v>
      </c>
    </row>
    <row r="340" spans="1:47" x14ac:dyDescent="0.3">
      <c r="A340" t="str">
        <f>'[1]Forward Ranks'!A340</f>
        <v>Patrick Brown</v>
      </c>
      <c r="B340">
        <f>'[1]Forward Ranks'!D340</f>
        <v>0</v>
      </c>
      <c r="C340" s="1">
        <f>'[1]Forward Ranks'!I340</f>
        <v>0.33624454148471616</v>
      </c>
      <c r="D340" s="1">
        <f>'[1]Forward Ranks'!J340</f>
        <v>0.2576419213973799</v>
      </c>
      <c r="E340" s="1">
        <f>'[1]Forward Ranks'!K340</f>
        <v>0.18558951965065501</v>
      </c>
      <c r="F340" s="1">
        <f>'[1]Forward Ranks'!L340</f>
        <v>0.1222707423580786</v>
      </c>
      <c r="G340">
        <f>'[1]Forward Ranks'!N340</f>
        <v>0</v>
      </c>
      <c r="H340" s="1">
        <f>'[1]Forward Ranks'!S340</f>
        <v>7.6419213973799124E-2</v>
      </c>
      <c r="I340" s="1">
        <f>'[1]Forward Ranks'!T340</f>
        <v>0.36026200873362446</v>
      </c>
      <c r="J340" s="1">
        <f>'[1]Forward Ranks'!U340</f>
        <v>0.29475982532751094</v>
      </c>
      <c r="K340" s="1">
        <f>'[1]Forward Ranks'!V340</f>
        <v>0.13755458515283842</v>
      </c>
      <c r="L340">
        <f>'[1]Forward Ranks'!X340</f>
        <v>0</v>
      </c>
      <c r="M340" s="1">
        <f>'[1]Forward Ranks'!AC340</f>
        <v>0.83842794759825323</v>
      </c>
      <c r="N340" s="1">
        <f>'[1]Forward Ranks'!AD340</f>
        <v>0.63318777292576423</v>
      </c>
      <c r="O340" s="1">
        <f>'[1]Forward Ranks'!AE340</f>
        <v>0.73362445414847166</v>
      </c>
      <c r="P340" s="1">
        <f>'[1]Forward Ranks'!AF340</f>
        <v>0.71179039301310043</v>
      </c>
      <c r="Q340">
        <f>'[1]Forward Ranks'!AH340</f>
        <v>0</v>
      </c>
      <c r="R340" s="1">
        <f>'[1]Forward Ranks'!AM340</f>
        <v>0.20960698689956331</v>
      </c>
      <c r="S340" s="1">
        <f>'[1]Forward Ranks'!AN340</f>
        <v>0.22489082969432314</v>
      </c>
      <c r="T340" s="1">
        <f>'[1]Forward Ranks'!AO340</f>
        <v>0.24017467248908297</v>
      </c>
      <c r="U340" s="1">
        <f>'[1]Forward Ranks'!AP340</f>
        <v>0.1222707423580786</v>
      </c>
      <c r="V340">
        <f>'[1]Forward Ranks'!AR340</f>
        <v>0</v>
      </c>
      <c r="W340" s="1">
        <f>'[1]Forward Ranks'!AW340</f>
        <v>0.85371179039301315</v>
      </c>
      <c r="X340" s="1">
        <f>'[1]Forward Ranks'!AX340</f>
        <v>0.88646288209606983</v>
      </c>
      <c r="Y340" s="1">
        <f>'[1]Forward Ranks'!AY340</f>
        <v>0.888646288209607</v>
      </c>
      <c r="Z340" s="1">
        <f>'[1]Forward Ranks'!AZ340</f>
        <v>0.79694323144104806</v>
      </c>
      <c r="AA340">
        <f>'[1]Forward Ranks'!BB340</f>
        <v>0</v>
      </c>
      <c r="AB340" s="1">
        <f>'[1]Forward Ranks'!BG340</f>
        <v>0.14192139737991266</v>
      </c>
      <c r="AC340" s="1">
        <f>'[1]Forward Ranks'!BH340</f>
        <v>4.5851528384279479E-2</v>
      </c>
      <c r="AD340" s="1">
        <f>'[1]Forward Ranks'!BI340</f>
        <v>0.27510917030567683</v>
      </c>
      <c r="AE340" s="1">
        <f>'[1]Forward Ranks'!BJ340</f>
        <v>0.35807860262008734</v>
      </c>
      <c r="AF340">
        <f>'[1]Forward Ranks'!BL340</f>
        <v>0</v>
      </c>
      <c r="AG340" s="1">
        <f>'[1]Forward Ranks'!BQ340</f>
        <v>0.5633187772925764</v>
      </c>
      <c r="AH340" s="1">
        <f>'[1]Forward Ranks'!BR340</f>
        <v>0.37772925764192139</v>
      </c>
      <c r="AI340" s="1">
        <f>'[1]Forward Ranks'!BS340</f>
        <v>0.35371179039301309</v>
      </c>
      <c r="AJ340" s="1">
        <f>'[1]Forward Ranks'!BT340</f>
        <v>0.29475982532751094</v>
      </c>
      <c r="AL340" s="2">
        <f>'[1]Forward Ranks'!BX340</f>
        <v>0.31222707423580787</v>
      </c>
      <c r="AN340" t="str">
        <f>'[1]Forward Ranks'!B340</f>
        <v>OTT, PHI</v>
      </c>
      <c r="AO340">
        <f>'[1]F on ice'!E340</f>
        <v>61</v>
      </c>
      <c r="AP340" s="2">
        <f>'[1]Impact Score Math'!E340</f>
        <v>0.29258517034068138</v>
      </c>
      <c r="AQ340">
        <f>'[1]Impact Score Math'!G340</f>
        <v>354</v>
      </c>
      <c r="AT340" s="1">
        <f>'[1]Forward Ranks'!CJ340</f>
        <v>0.15065502183406113</v>
      </c>
      <c r="AU340" s="1">
        <f>'[1]Forward Ranks'!CK340</f>
        <v>0.4366812227074236</v>
      </c>
    </row>
    <row r="341" spans="1:47" x14ac:dyDescent="0.3">
      <c r="A341" t="str">
        <f>'[1]Forward Ranks'!A341</f>
        <v>Patrick Kane</v>
      </c>
      <c r="B341">
        <f>'[1]Forward Ranks'!D341</f>
        <v>0</v>
      </c>
      <c r="C341" s="1">
        <f>'[1]Forward Ranks'!I341</f>
        <v>0.12008733624454149</v>
      </c>
      <c r="D341" s="1">
        <f>'[1]Forward Ranks'!J341</f>
        <v>0.21179039301310043</v>
      </c>
      <c r="E341" s="1">
        <f>'[1]Forward Ranks'!K341</f>
        <v>0.59170305676855894</v>
      </c>
      <c r="F341" s="1">
        <f>'[1]Forward Ranks'!L341</f>
        <v>0.17685589519650655</v>
      </c>
      <c r="G341">
        <f>'[1]Forward Ranks'!N341</f>
        <v>0</v>
      </c>
      <c r="H341" s="1">
        <f>'[1]Forward Ranks'!S341</f>
        <v>0.73580786026200873</v>
      </c>
      <c r="I341" s="1">
        <f>'[1]Forward Ranks'!T341</f>
        <v>0.5</v>
      </c>
      <c r="J341" s="1">
        <f>'[1]Forward Ranks'!U341</f>
        <v>0.51091703056768556</v>
      </c>
      <c r="K341" s="1">
        <f>'[1]Forward Ranks'!V341</f>
        <v>0.62008733624454149</v>
      </c>
      <c r="L341">
        <f>'[1]Forward Ranks'!X341</f>
        <v>0</v>
      </c>
      <c r="M341" s="1">
        <f>'[1]Forward Ranks'!AC341</f>
        <v>6.768558951965066E-2</v>
      </c>
      <c r="N341" s="1">
        <f>'[1]Forward Ranks'!AD341</f>
        <v>4.5851528384279479E-2</v>
      </c>
      <c r="O341" s="1">
        <f>'[1]Forward Ranks'!AE341</f>
        <v>0.15283842794759825</v>
      </c>
      <c r="P341" s="1">
        <f>'[1]Forward Ranks'!AF341</f>
        <v>2.8384279475982533E-2</v>
      </c>
      <c r="Q341">
        <f>'[1]Forward Ranks'!AH341</f>
        <v>0</v>
      </c>
      <c r="R341" s="1">
        <f>'[1]Forward Ranks'!AM341</f>
        <v>0.52620087336244536</v>
      </c>
      <c r="S341" s="1">
        <f>'[1]Forward Ranks'!AN341</f>
        <v>0.5633187772925764</v>
      </c>
      <c r="T341" s="1">
        <f>'[1]Forward Ranks'!AO341</f>
        <v>0.81877729257641918</v>
      </c>
      <c r="U341" s="1">
        <f>'[1]Forward Ranks'!AP341</f>
        <v>0.5633187772925764</v>
      </c>
      <c r="V341">
        <f>'[1]Forward Ranks'!AR341</f>
        <v>0</v>
      </c>
      <c r="W341" s="1">
        <f>'[1]Forward Ranks'!AW341</f>
        <v>8.9519650655021835E-2</v>
      </c>
      <c r="X341" s="1">
        <f>'[1]Forward Ranks'!AX341</f>
        <v>4.5851528384279479E-2</v>
      </c>
      <c r="Y341" s="1">
        <f>'[1]Forward Ranks'!AY341</f>
        <v>0.25327510917030566</v>
      </c>
      <c r="Z341" s="1">
        <f>'[1]Forward Ranks'!AZ341</f>
        <v>2.4017467248908297E-2</v>
      </c>
      <c r="AA341">
        <f>'[1]Forward Ranks'!BB341</f>
        <v>0</v>
      </c>
      <c r="AB341" s="1">
        <f>'[1]Forward Ranks'!BG341</f>
        <v>0.95851528384279472</v>
      </c>
      <c r="AC341" s="1">
        <f>'[1]Forward Ranks'!BH341</f>
        <v>0.81222707423580787</v>
      </c>
      <c r="AD341" s="1">
        <f>'[1]Forward Ranks'!BI341</f>
        <v>0.85371179039301315</v>
      </c>
      <c r="AE341" s="1">
        <f>'[1]Forward Ranks'!BJ341</f>
        <v>0.74672489082969429</v>
      </c>
      <c r="AF341">
        <f>'[1]Forward Ranks'!BL341</f>
        <v>0</v>
      </c>
      <c r="AG341" s="1">
        <f>'[1]Forward Ranks'!BQ341</f>
        <v>6.1135371179039298E-2</v>
      </c>
      <c r="AH341" s="1">
        <f>'[1]Forward Ranks'!BR341</f>
        <v>7.4235807860262015E-2</v>
      </c>
      <c r="AI341" s="1">
        <f>'[1]Forward Ranks'!BS341</f>
        <v>0.32532751091703055</v>
      </c>
      <c r="AJ341" s="1">
        <f>'[1]Forward Ranks'!BT341</f>
        <v>4.148471615720524E-2</v>
      </c>
      <c r="AL341" s="2">
        <f>'[1]Forward Ranks'!BX341</f>
        <v>0.11572052401746726</v>
      </c>
      <c r="AN341" t="str">
        <f>'[1]Forward Ranks'!B341</f>
        <v>CHI, NYR</v>
      </c>
      <c r="AO341">
        <f>'[1]F on ice'!E341</f>
        <v>73</v>
      </c>
      <c r="AP341" s="2">
        <f>'[1]Impact Score Math'!E341</f>
        <v>0.28657314629258518</v>
      </c>
      <c r="AQ341">
        <f>'[1]Impact Score Math'!G341</f>
        <v>357</v>
      </c>
      <c r="AT341" s="1">
        <f>'[1]Forward Ranks'!CJ341</f>
        <v>0.89956331877729256</v>
      </c>
      <c r="AU341" s="1">
        <f>'[1]Forward Ranks'!CK341</f>
        <v>0.11353711790393013</v>
      </c>
    </row>
    <row r="342" spans="1:47" x14ac:dyDescent="0.3">
      <c r="A342" t="str">
        <f>'[1]Forward Ranks'!A342</f>
        <v>Patrik Laine</v>
      </c>
      <c r="B342">
        <f>'[1]Forward Ranks'!D342</f>
        <v>0</v>
      </c>
      <c r="C342" s="1">
        <f>'[1]Forward Ranks'!I342</f>
        <v>0.68995633187772931</v>
      </c>
      <c r="D342" s="1">
        <f>'[1]Forward Ranks'!J342</f>
        <v>0.33842794759825329</v>
      </c>
      <c r="E342" s="1">
        <f>'[1]Forward Ranks'!K342</f>
        <v>0.60043668122270744</v>
      </c>
      <c r="F342" s="1">
        <f>'[1]Forward Ranks'!L342</f>
        <v>0.44323144104803491</v>
      </c>
      <c r="G342">
        <f>'[1]Forward Ranks'!N342</f>
        <v>0</v>
      </c>
      <c r="H342" s="1">
        <f>'[1]Forward Ranks'!S342</f>
        <v>0.80349344978165937</v>
      </c>
      <c r="I342" s="1">
        <f>'[1]Forward Ranks'!T342</f>
        <v>0.78602620087336239</v>
      </c>
      <c r="J342" s="1">
        <f>'[1]Forward Ranks'!U342</f>
        <v>0.74235807860262004</v>
      </c>
      <c r="K342" s="1">
        <f>'[1]Forward Ranks'!V342</f>
        <v>0.85589519650655022</v>
      </c>
      <c r="L342">
        <f>'[1]Forward Ranks'!X342</f>
        <v>0</v>
      </c>
      <c r="M342" s="1">
        <f>'[1]Forward Ranks'!AC342</f>
        <v>0.14410480349344978</v>
      </c>
      <c r="N342" s="1">
        <f>'[1]Forward Ranks'!AD342</f>
        <v>0.23144104803493451</v>
      </c>
      <c r="O342" s="1">
        <f>'[1]Forward Ranks'!AE342</f>
        <v>0.54803493449781659</v>
      </c>
      <c r="P342" s="1">
        <f>'[1]Forward Ranks'!AF342</f>
        <v>0.17903930131004367</v>
      </c>
      <c r="Q342">
        <f>'[1]Forward Ranks'!AH342</f>
        <v>0</v>
      </c>
      <c r="R342" s="1">
        <f>'[1]Forward Ranks'!AM342</f>
        <v>0.89082969432314407</v>
      </c>
      <c r="S342" s="1">
        <f>'[1]Forward Ranks'!AN342</f>
        <v>0.57641921397379914</v>
      </c>
      <c r="T342" s="1">
        <f>'[1]Forward Ranks'!AO342</f>
        <v>0.87991266375545851</v>
      </c>
      <c r="U342" s="1">
        <f>'[1]Forward Ranks'!AP342</f>
        <v>0.6506550218340611</v>
      </c>
      <c r="V342">
        <f>'[1]Forward Ranks'!AR342</f>
        <v>0</v>
      </c>
      <c r="W342" s="1">
        <f>'[1]Forward Ranks'!AW342</f>
        <v>0.84497816593886466</v>
      </c>
      <c r="X342" s="1">
        <f>'[1]Forward Ranks'!AX342</f>
        <v>0.71397379912663761</v>
      </c>
      <c r="Y342" s="1">
        <f>'[1]Forward Ranks'!AY342</f>
        <v>0.97379912663755464</v>
      </c>
      <c r="Z342" s="1">
        <f>'[1]Forward Ranks'!AZ342</f>
        <v>0.65502183406113534</v>
      </c>
      <c r="AA342">
        <f>'[1]Forward Ranks'!BB342</f>
        <v>0</v>
      </c>
      <c r="AB342" s="1">
        <f>'[1]Forward Ranks'!BG342</f>
        <v>0.93231441048034935</v>
      </c>
      <c r="AC342" s="1">
        <f>'[1]Forward Ranks'!BH342</f>
        <v>0.75327510917030571</v>
      </c>
      <c r="AD342" s="1">
        <f>'[1]Forward Ranks'!BI342</f>
        <v>0.56768558951965065</v>
      </c>
      <c r="AE342" s="1">
        <f>'[1]Forward Ranks'!BJ342</f>
        <v>0.66593886462882101</v>
      </c>
      <c r="AF342">
        <f>'[1]Forward Ranks'!BL342</f>
        <v>0</v>
      </c>
      <c r="AG342" s="1">
        <f>'[1]Forward Ranks'!BQ342</f>
        <v>0.43449781659388648</v>
      </c>
      <c r="AH342" s="1">
        <f>'[1]Forward Ranks'!BR342</f>
        <v>0.25327510917030566</v>
      </c>
      <c r="AI342" s="1">
        <f>'[1]Forward Ranks'!BS342</f>
        <v>0.59606986899563319</v>
      </c>
      <c r="AJ342" s="1">
        <f>'[1]Forward Ranks'!BT342</f>
        <v>0.30131004366812225</v>
      </c>
      <c r="AL342" s="2">
        <f>'[1]Forward Ranks'!BX342</f>
        <v>0.65502183406113534</v>
      </c>
      <c r="AN342" t="str">
        <f>'[1]Forward Ranks'!B342</f>
        <v>CBJ</v>
      </c>
      <c r="AO342">
        <f>'[1]F on ice'!E342</f>
        <v>55</v>
      </c>
      <c r="AP342" s="2">
        <f>'[1]Impact Score Math'!E342</f>
        <v>0.81963927855711427</v>
      </c>
      <c r="AQ342">
        <f>'[1]Impact Score Math'!G342</f>
        <v>91</v>
      </c>
      <c r="AT342" s="1">
        <f>'[1]Forward Ranks'!CJ342</f>
        <v>0.78602620087336239</v>
      </c>
      <c r="AU342" s="1">
        <f>'[1]Forward Ranks'!CK342</f>
        <v>0.24890829694323144</v>
      </c>
    </row>
    <row r="343" spans="1:47" x14ac:dyDescent="0.3">
      <c r="A343" t="str">
        <f>'[1]Forward Ranks'!A343</f>
        <v>Paul Cotter</v>
      </c>
      <c r="B343">
        <f>'[1]Forward Ranks'!D343</f>
        <v>0</v>
      </c>
      <c r="C343" s="1">
        <f>'[1]Forward Ranks'!I343</f>
        <v>0.19868995633187772</v>
      </c>
      <c r="D343" s="1">
        <f>'[1]Forward Ranks'!J343</f>
        <v>0.29912663755458513</v>
      </c>
      <c r="E343" s="1">
        <f>'[1]Forward Ranks'!K343</f>
        <v>0.37336244541484714</v>
      </c>
      <c r="F343" s="1">
        <f>'[1]Forward Ranks'!L343</f>
        <v>0.22707423580786026</v>
      </c>
      <c r="G343">
        <f>'[1]Forward Ranks'!N343</f>
        <v>0</v>
      </c>
      <c r="H343" s="1">
        <f>'[1]Forward Ranks'!S343</f>
        <v>0.888646288209607</v>
      </c>
      <c r="I343" s="1">
        <f>'[1]Forward Ranks'!T343</f>
        <v>7.4235807860262015E-2</v>
      </c>
      <c r="J343" s="1">
        <f>'[1]Forward Ranks'!U343</f>
        <v>7.8602620087336247E-2</v>
      </c>
      <c r="K343" s="1">
        <f>'[1]Forward Ranks'!V343</f>
        <v>0.49344978165938863</v>
      </c>
      <c r="L343">
        <f>'[1]Forward Ranks'!X343</f>
        <v>0</v>
      </c>
      <c r="M343" s="1">
        <f>'[1]Forward Ranks'!AC343</f>
        <v>5.2401746724890827E-2</v>
      </c>
      <c r="N343" s="1">
        <f>'[1]Forward Ranks'!AD343</f>
        <v>0.34716157205240172</v>
      </c>
      <c r="O343" s="1">
        <f>'[1]Forward Ranks'!AE343</f>
        <v>0.36462882096069871</v>
      </c>
      <c r="P343" s="1">
        <f>'[1]Forward Ranks'!AF343</f>
        <v>0.15720524017467249</v>
      </c>
      <c r="Q343">
        <f>'[1]Forward Ranks'!AH343</f>
        <v>0</v>
      </c>
      <c r="R343" s="1">
        <f>'[1]Forward Ranks'!AM343</f>
        <v>0.20960698689956331</v>
      </c>
      <c r="S343" s="1">
        <f>'[1]Forward Ranks'!AN343</f>
        <v>0.27947598253275108</v>
      </c>
      <c r="T343" s="1">
        <f>'[1]Forward Ranks'!AO343</f>
        <v>0.27947598253275108</v>
      </c>
      <c r="U343" s="1">
        <f>'[1]Forward Ranks'!AP343</f>
        <v>0.22925764192139739</v>
      </c>
      <c r="V343">
        <f>'[1]Forward Ranks'!AR343</f>
        <v>0</v>
      </c>
      <c r="W343" s="1">
        <f>'[1]Forward Ranks'!AW343</f>
        <v>8.7336244541484712E-3</v>
      </c>
      <c r="X343" s="1">
        <f>'[1]Forward Ranks'!AX343</f>
        <v>5.6768558951965066E-2</v>
      </c>
      <c r="Y343" s="1">
        <f>'[1]Forward Ranks'!AY343</f>
        <v>0.12882096069868995</v>
      </c>
      <c r="Z343" s="1">
        <f>'[1]Forward Ranks'!AZ343</f>
        <v>3.7117903930131008E-2</v>
      </c>
      <c r="AA343">
        <f>'[1]Forward Ranks'!BB343</f>
        <v>0</v>
      </c>
      <c r="AB343" s="1">
        <f>'[1]Forward Ranks'!BG343</f>
        <v>0.53711790393013104</v>
      </c>
      <c r="AC343" s="1">
        <f>'[1]Forward Ranks'!BH343</f>
        <v>0.56113537117903933</v>
      </c>
      <c r="AD343" s="1">
        <f>'[1]Forward Ranks'!BI343</f>
        <v>0.47161572052401746</v>
      </c>
      <c r="AE343" s="1">
        <f>'[1]Forward Ranks'!BJ343</f>
        <v>0.60698689956331875</v>
      </c>
      <c r="AF343">
        <f>'[1]Forward Ranks'!BL343</f>
        <v>0</v>
      </c>
      <c r="AG343" s="1">
        <f>'[1]Forward Ranks'!BQ343</f>
        <v>7.2052401746724892E-2</v>
      </c>
      <c r="AH343" s="1">
        <f>'[1]Forward Ranks'!BR343</f>
        <v>0.27292576419213976</v>
      </c>
      <c r="AI343" s="1">
        <f>'[1]Forward Ranks'!BS343</f>
        <v>0.31441048034934499</v>
      </c>
      <c r="AJ343" s="1">
        <f>'[1]Forward Ranks'!BT343</f>
        <v>0.15065502183406113</v>
      </c>
      <c r="AL343" s="2">
        <f>'[1]Forward Ranks'!BX343</f>
        <v>6.768558951965066E-2</v>
      </c>
      <c r="AN343" t="str">
        <f>'[1]Forward Ranks'!B343</f>
        <v>VGK</v>
      </c>
      <c r="AO343">
        <f>'[1]F on ice'!E343</f>
        <v>55</v>
      </c>
      <c r="AP343" s="2">
        <f>'[1]Impact Score Math'!E343</f>
        <v>0.17635270541082165</v>
      </c>
      <c r="AQ343">
        <f>'[1]Impact Score Math'!G343</f>
        <v>412</v>
      </c>
      <c r="AT343" s="1">
        <f>'[1]Forward Ranks'!CJ343</f>
        <v>0.79475982532751088</v>
      </c>
      <c r="AU343" s="1">
        <f>'[1]Forward Ranks'!CK343</f>
        <v>0.58296943231441045</v>
      </c>
    </row>
    <row r="344" spans="1:47" x14ac:dyDescent="0.3">
      <c r="A344" t="str">
        <f>'[1]Forward Ranks'!A344</f>
        <v>Paul Stastny</v>
      </c>
      <c r="B344">
        <f>'[1]Forward Ranks'!D344</f>
        <v>0</v>
      </c>
      <c r="C344" s="1">
        <f>'[1]Forward Ranks'!I344</f>
        <v>0.99344978165938869</v>
      </c>
      <c r="D344" s="1">
        <f>'[1]Forward Ranks'!J344</f>
        <v>0.94323144104803491</v>
      </c>
      <c r="E344" s="1">
        <f>'[1]Forward Ranks'!K344</f>
        <v>0.41048034934497818</v>
      </c>
      <c r="F344" s="1">
        <f>'[1]Forward Ranks'!L344</f>
        <v>0.95414847161572047</v>
      </c>
      <c r="G344">
        <f>'[1]Forward Ranks'!N344</f>
        <v>0</v>
      </c>
      <c r="H344" s="1">
        <f>'[1]Forward Ranks'!S344</f>
        <v>0.34934497816593885</v>
      </c>
      <c r="I344" s="1">
        <f>'[1]Forward Ranks'!T344</f>
        <v>0.4606986899563319</v>
      </c>
      <c r="J344" s="1">
        <f>'[1]Forward Ranks'!U344</f>
        <v>0.31004366812227074</v>
      </c>
      <c r="K344" s="1">
        <f>'[1]Forward Ranks'!V344</f>
        <v>0.38209606986899564</v>
      </c>
      <c r="L344">
        <f>'[1]Forward Ranks'!X344</f>
        <v>0</v>
      </c>
      <c r="M344" s="1">
        <f>'[1]Forward Ranks'!AC344</f>
        <v>0.94759825327510916</v>
      </c>
      <c r="N344" s="1">
        <f>'[1]Forward Ranks'!AD344</f>
        <v>0.68558951965065507</v>
      </c>
      <c r="O344" s="1">
        <f>'[1]Forward Ranks'!AE344</f>
        <v>0.81877729257641918</v>
      </c>
      <c r="P344" s="1">
        <f>'[1]Forward Ranks'!AF344</f>
        <v>0.93886462882096067</v>
      </c>
      <c r="Q344">
        <f>'[1]Forward Ranks'!AH344</f>
        <v>0</v>
      </c>
      <c r="R344" s="1">
        <f>'[1]Forward Ranks'!AM344</f>
        <v>0.82314410480349343</v>
      </c>
      <c r="S344" s="1">
        <f>'[1]Forward Ranks'!AN344</f>
        <v>0.74672489082969429</v>
      </c>
      <c r="T344" s="1">
        <f>'[1]Forward Ranks'!AO344</f>
        <v>0.31877729257641924</v>
      </c>
      <c r="U344" s="1">
        <f>'[1]Forward Ranks'!AP344</f>
        <v>0.78820960698689957</v>
      </c>
      <c r="V344">
        <f>'[1]Forward Ranks'!AR344</f>
        <v>0</v>
      </c>
      <c r="W344" s="1">
        <f>'[1]Forward Ranks'!AW344</f>
        <v>0.22489082969432314</v>
      </c>
      <c r="X344" s="1">
        <f>'[1]Forward Ranks'!AX344</f>
        <v>0.17685589519650655</v>
      </c>
      <c r="Y344" s="1">
        <f>'[1]Forward Ranks'!AY344</f>
        <v>0.48908296943231439</v>
      </c>
      <c r="Z344" s="1">
        <f>'[1]Forward Ranks'!AZ344</f>
        <v>0.30131004366812225</v>
      </c>
      <c r="AA344">
        <f>'[1]Forward Ranks'!BB344</f>
        <v>0</v>
      </c>
      <c r="AB344" s="1">
        <f>'[1]Forward Ranks'!BG344</f>
        <v>0.16157205240174671</v>
      </c>
      <c r="AC344" s="1">
        <f>'[1]Forward Ranks'!BH344</f>
        <v>0.92139737991266379</v>
      </c>
      <c r="AD344" s="1">
        <f>'[1]Forward Ranks'!BI344</f>
        <v>0.1331877729257642</v>
      </c>
      <c r="AE344" s="1">
        <f>'[1]Forward Ranks'!BJ344</f>
        <v>0.25982532751091703</v>
      </c>
      <c r="AF344">
        <f>'[1]Forward Ranks'!BL344</f>
        <v>0</v>
      </c>
      <c r="AG344" s="1">
        <f>'[1]Forward Ranks'!BQ344</f>
        <v>0.98908296943231444</v>
      </c>
      <c r="AH344" s="1">
        <f>'[1]Forward Ranks'!BR344</f>
        <v>0.93449781659388642</v>
      </c>
      <c r="AI344" s="1">
        <f>'[1]Forward Ranks'!BS344</f>
        <v>0.66157205240174677</v>
      </c>
      <c r="AJ344" s="1">
        <f>'[1]Forward Ranks'!BT344</f>
        <v>0.98253275109170302</v>
      </c>
      <c r="AL344" s="2">
        <f>'[1]Forward Ranks'!BX344</f>
        <v>0.89301310043668125</v>
      </c>
      <c r="AN344" t="str">
        <f>'[1]Forward Ranks'!B344</f>
        <v>CAR</v>
      </c>
      <c r="AO344">
        <f>'[1]F on ice'!E344</f>
        <v>73</v>
      </c>
      <c r="AP344" s="2">
        <f>'[1]Impact Score Math'!E344</f>
        <v>0.68737474949899802</v>
      </c>
      <c r="AQ344">
        <f>'[1]Impact Score Math'!G344</f>
        <v>157</v>
      </c>
      <c r="AT344" s="1">
        <f>'[1]Forward Ranks'!CJ344</f>
        <v>0.6506550218340611</v>
      </c>
      <c r="AU344" s="1">
        <f>'[1]Forward Ranks'!CK344</f>
        <v>0.22489082969432314</v>
      </c>
    </row>
    <row r="345" spans="1:47" x14ac:dyDescent="0.3">
      <c r="A345" t="str">
        <f>'[1]Forward Ranks'!A345</f>
        <v>Pavel Buchnevich</v>
      </c>
      <c r="B345">
        <f>'[1]Forward Ranks'!D345</f>
        <v>0</v>
      </c>
      <c r="C345" s="1">
        <f>'[1]Forward Ranks'!I345</f>
        <v>0.46943231441048033</v>
      </c>
      <c r="D345" s="1">
        <f>'[1]Forward Ranks'!J345</f>
        <v>0.24890829694323144</v>
      </c>
      <c r="E345" s="1">
        <f>'[1]Forward Ranks'!K345</f>
        <v>0.95414847161572047</v>
      </c>
      <c r="F345" s="1">
        <f>'[1]Forward Ranks'!L345</f>
        <v>0.51528384279475981</v>
      </c>
      <c r="G345">
        <f>'[1]Forward Ranks'!N345</f>
        <v>0</v>
      </c>
      <c r="H345" s="1">
        <f>'[1]Forward Ranks'!S345</f>
        <v>0.9366812227074236</v>
      </c>
      <c r="I345" s="1">
        <f>'[1]Forward Ranks'!T345</f>
        <v>0.8253275109170306</v>
      </c>
      <c r="J345" s="1">
        <f>'[1]Forward Ranks'!U345</f>
        <v>0.91484716157205237</v>
      </c>
      <c r="K345" s="1">
        <f>'[1]Forward Ranks'!V345</f>
        <v>0.94978165938864634</v>
      </c>
      <c r="L345">
        <f>'[1]Forward Ranks'!X345</f>
        <v>0</v>
      </c>
      <c r="M345" s="1">
        <f>'[1]Forward Ranks'!AC345</f>
        <v>0.17248908296943233</v>
      </c>
      <c r="N345" s="1">
        <f>'[1]Forward Ranks'!AD345</f>
        <v>0.48689956331877732</v>
      </c>
      <c r="O345" s="1">
        <f>'[1]Forward Ranks'!AE345</f>
        <v>0.70742358078602618</v>
      </c>
      <c r="P345" s="1">
        <f>'[1]Forward Ranks'!AF345</f>
        <v>0.16157205240174671</v>
      </c>
      <c r="Q345">
        <f>'[1]Forward Ranks'!AH345</f>
        <v>0</v>
      </c>
      <c r="R345" s="1">
        <f>'[1]Forward Ranks'!AM345</f>
        <v>0.82751091703056767</v>
      </c>
      <c r="S345" s="1">
        <f>'[1]Forward Ranks'!AN345</f>
        <v>0.53056768558951961</v>
      </c>
      <c r="T345" s="1">
        <f>'[1]Forward Ranks'!AO345</f>
        <v>0.9366812227074236</v>
      </c>
      <c r="U345" s="1">
        <f>'[1]Forward Ranks'!AP345</f>
        <v>0.79257641921397382</v>
      </c>
      <c r="V345">
        <f>'[1]Forward Ranks'!AR345</f>
        <v>0</v>
      </c>
      <c r="W345" s="1">
        <f>'[1]Forward Ranks'!AW345</f>
        <v>0.2183406113537118</v>
      </c>
      <c r="X345" s="1">
        <f>'[1]Forward Ranks'!AX345</f>
        <v>0.65283842794759828</v>
      </c>
      <c r="Y345" s="1">
        <f>'[1]Forward Ranks'!AY345</f>
        <v>0.85152838427947597</v>
      </c>
      <c r="Z345" s="1">
        <f>'[1]Forward Ranks'!AZ345</f>
        <v>0.28820960698689957</v>
      </c>
      <c r="AA345">
        <f>'[1]Forward Ranks'!BB345</f>
        <v>0</v>
      </c>
      <c r="AB345" s="1">
        <f>'[1]Forward Ranks'!BG345</f>
        <v>0.83406113537117899</v>
      </c>
      <c r="AC345" s="1">
        <f>'[1]Forward Ranks'!BH345</f>
        <v>0.36681222707423583</v>
      </c>
      <c r="AD345" s="1">
        <f>'[1]Forward Ranks'!BI345</f>
        <v>0.98034934497816595</v>
      </c>
      <c r="AE345" s="1">
        <f>'[1]Forward Ranks'!BJ345</f>
        <v>0.98689956331877726</v>
      </c>
      <c r="AF345">
        <f>'[1]Forward Ranks'!BL345</f>
        <v>0</v>
      </c>
      <c r="AG345" s="1">
        <f>'[1]Forward Ranks'!BQ345</f>
        <v>0.3056768558951965</v>
      </c>
      <c r="AH345" s="1">
        <f>'[1]Forward Ranks'!BR345</f>
        <v>0.28384279475982532</v>
      </c>
      <c r="AI345" s="1">
        <f>'[1]Forward Ranks'!BS345</f>
        <v>0.94541484716157209</v>
      </c>
      <c r="AJ345" s="1">
        <f>'[1]Forward Ranks'!BT345</f>
        <v>0.32314410480349343</v>
      </c>
      <c r="AL345" s="2">
        <f>'[1]Forward Ranks'!BX345</f>
        <v>0.60480349344978168</v>
      </c>
      <c r="AN345" t="str">
        <f>'[1]Forward Ranks'!B345</f>
        <v>STL</v>
      </c>
      <c r="AO345">
        <f>'[1]F on ice'!E345</f>
        <v>63</v>
      </c>
      <c r="AP345" s="2">
        <f>'[1]Impact Score Math'!E345</f>
        <v>0.71943887775551107</v>
      </c>
      <c r="AQ345">
        <f>'[1]Impact Score Math'!G345</f>
        <v>141</v>
      </c>
      <c r="AT345" s="1">
        <f>'[1]Forward Ranks'!CJ345</f>
        <v>0.41484716157205243</v>
      </c>
      <c r="AU345" s="1">
        <f>'[1]Forward Ranks'!CK345</f>
        <v>3.7117903930131008E-2</v>
      </c>
    </row>
    <row r="346" spans="1:47" x14ac:dyDescent="0.3">
      <c r="A346" t="str">
        <f>'[1]Forward Ranks'!A346</f>
        <v>Pavel Dorofeyev</v>
      </c>
      <c r="B346">
        <f>'[1]Forward Ranks'!D346</f>
        <v>0</v>
      </c>
      <c r="C346" s="1">
        <f>'[1]Forward Ranks'!I346</f>
        <v>0.22489082969432314</v>
      </c>
      <c r="D346" s="1">
        <f>'[1]Forward Ranks'!J346</f>
        <v>0.64192139737991272</v>
      </c>
      <c r="E346" s="1">
        <f>'[1]Forward Ranks'!K346</f>
        <v>0.61790393013100442</v>
      </c>
      <c r="F346" s="1">
        <f>'[1]Forward Ranks'!L346</f>
        <v>0.72707423580786024</v>
      </c>
      <c r="G346">
        <f>'[1]Forward Ranks'!N346</f>
        <v>0</v>
      </c>
      <c r="H346" s="1">
        <f>'[1]Forward Ranks'!S346</f>
        <v>0.84716157205240172</v>
      </c>
      <c r="I346" s="1">
        <f>'[1]Forward Ranks'!T346</f>
        <v>3.9301310043668124E-2</v>
      </c>
      <c r="J346" s="1">
        <f>'[1]Forward Ranks'!U346</f>
        <v>0.15065502183406113</v>
      </c>
      <c r="K346" s="1">
        <f>'[1]Forward Ranks'!V346</f>
        <v>0.3056768558951965</v>
      </c>
      <c r="L346">
        <f>'[1]Forward Ranks'!X346</f>
        <v>0</v>
      </c>
      <c r="M346" s="1">
        <f>'[1]Forward Ranks'!AC346</f>
        <v>0.64628820960698685</v>
      </c>
      <c r="N346" s="1">
        <f>'[1]Forward Ranks'!AD346</f>
        <v>0.56113537117903933</v>
      </c>
      <c r="O346" s="1">
        <f>'[1]Forward Ranks'!AE346</f>
        <v>0.98253275109170302</v>
      </c>
      <c r="P346" s="1">
        <f>'[1]Forward Ranks'!AF346</f>
        <v>0.44104803493449779</v>
      </c>
      <c r="Q346">
        <f>'[1]Forward Ranks'!AH346</f>
        <v>0</v>
      </c>
      <c r="R346" s="1">
        <f>'[1]Forward Ranks'!AM346</f>
        <v>0.44323144104803491</v>
      </c>
      <c r="S346" s="1">
        <f>'[1]Forward Ranks'!AN346</f>
        <v>0.65502183406113534</v>
      </c>
      <c r="T346" s="1">
        <f>'[1]Forward Ranks'!AO346</f>
        <v>0.38646288209606988</v>
      </c>
      <c r="U346" s="1">
        <f>'[1]Forward Ranks'!AP346</f>
        <v>0.71179039301310043</v>
      </c>
      <c r="V346">
        <f>'[1]Forward Ranks'!AR346</f>
        <v>0</v>
      </c>
      <c r="W346" s="1">
        <f>'[1]Forward Ranks'!AW346</f>
        <v>0.90393013100436681</v>
      </c>
      <c r="X346" s="1">
        <f>'[1]Forward Ranks'!AX346</f>
        <v>0.611353711790393</v>
      </c>
      <c r="Y346" s="1">
        <f>'[1]Forward Ranks'!AY346</f>
        <v>0.98908296943231444</v>
      </c>
      <c r="Z346" s="1">
        <f>'[1]Forward Ranks'!AZ346</f>
        <v>0.68995633187772931</v>
      </c>
      <c r="AA346">
        <f>'[1]Forward Ranks'!BB346</f>
        <v>0</v>
      </c>
      <c r="AB346" s="1">
        <f>'[1]Forward Ranks'!BG346</f>
        <v>0.52183406113537123</v>
      </c>
      <c r="AC346" s="1">
        <f>'[1]Forward Ranks'!BH346</f>
        <v>0.68558951965065507</v>
      </c>
      <c r="AD346" s="1">
        <f>'[1]Forward Ranks'!BI346</f>
        <v>0.79912663755458513</v>
      </c>
      <c r="AE346" s="1">
        <f>'[1]Forward Ranks'!BJ346</f>
        <v>0.98253275109170302</v>
      </c>
      <c r="AF346">
        <f>'[1]Forward Ranks'!BL346</f>
        <v>0</v>
      </c>
      <c r="AG346" s="1">
        <f>'[1]Forward Ranks'!BQ346</f>
        <v>0.36899563318777295</v>
      </c>
      <c r="AH346" s="1">
        <f>'[1]Forward Ranks'!BR346</f>
        <v>0.60043668122270744</v>
      </c>
      <c r="AI346" s="1">
        <f>'[1]Forward Ranks'!BS346</f>
        <v>0.97816593886462877</v>
      </c>
      <c r="AJ346" s="1">
        <f>'[1]Forward Ranks'!BT346</f>
        <v>0.63100436681222705</v>
      </c>
      <c r="AL346" s="2">
        <f>'[1]Forward Ranks'!BX346</f>
        <v>0.59388646288209612</v>
      </c>
      <c r="AN346" t="str">
        <f>'[1]Forward Ranks'!B346</f>
        <v>VGK</v>
      </c>
      <c r="AO346">
        <f>'[1]F on ice'!E346</f>
        <v>18</v>
      </c>
      <c r="AP346" s="2">
        <f>'[1]Impact Score Math'!E346</f>
        <v>0.63727454909819636</v>
      </c>
      <c r="AQ346">
        <f>'[1]Impact Score Math'!G346</f>
        <v>182</v>
      </c>
      <c r="AT346" s="1">
        <f>'[1]Forward Ranks'!CJ346</f>
        <v>0.67903930131004364</v>
      </c>
      <c r="AU346" s="1">
        <f>'[1]Forward Ranks'!CK346</f>
        <v>0.46724890829694321</v>
      </c>
    </row>
    <row r="347" spans="1:47" x14ac:dyDescent="0.3">
      <c r="A347" t="str">
        <f>'[1]Forward Ranks'!A347</f>
        <v>Pavel Zacha</v>
      </c>
      <c r="B347">
        <f>'[1]Forward Ranks'!D347</f>
        <v>0</v>
      </c>
      <c r="C347" s="1">
        <f>'[1]Forward Ranks'!I347</f>
        <v>0.57860262008733621</v>
      </c>
      <c r="D347" s="1">
        <f>'[1]Forward Ranks'!J347</f>
        <v>0.53711790393013104</v>
      </c>
      <c r="E347" s="1">
        <f>'[1]Forward Ranks'!K347</f>
        <v>0.97379912663755464</v>
      </c>
      <c r="F347" s="1">
        <f>'[1]Forward Ranks'!L347</f>
        <v>0.49344978165938863</v>
      </c>
      <c r="G347">
        <f>'[1]Forward Ranks'!N347</f>
        <v>0</v>
      </c>
      <c r="H347" s="1">
        <f>'[1]Forward Ranks'!S347</f>
        <v>0.74890829694323147</v>
      </c>
      <c r="I347" s="1">
        <f>'[1]Forward Ranks'!T347</f>
        <v>0.95851528384279472</v>
      </c>
      <c r="J347" s="1">
        <f>'[1]Forward Ranks'!U347</f>
        <v>0.68995633187772931</v>
      </c>
      <c r="K347" s="1">
        <f>'[1]Forward Ranks'!V347</f>
        <v>0.94104803493449785</v>
      </c>
      <c r="L347">
        <f>'[1]Forward Ranks'!X347</f>
        <v>0</v>
      </c>
      <c r="M347" s="1">
        <f>'[1]Forward Ranks'!AC347</f>
        <v>0.51091703056768556</v>
      </c>
      <c r="N347" s="1">
        <f>'[1]Forward Ranks'!AD347</f>
        <v>0.42576419213973798</v>
      </c>
      <c r="O347" s="1">
        <f>'[1]Forward Ranks'!AE347</f>
        <v>0.64410480349344978</v>
      </c>
      <c r="P347" s="1">
        <f>'[1]Forward Ranks'!AF347</f>
        <v>0.47816593886462883</v>
      </c>
      <c r="Q347">
        <f>'[1]Forward Ranks'!AH347</f>
        <v>0</v>
      </c>
      <c r="R347" s="1">
        <f>'[1]Forward Ranks'!AM347</f>
        <v>0.40829694323144106</v>
      </c>
      <c r="S347" s="1">
        <f>'[1]Forward Ranks'!AN347</f>
        <v>0.28384279475982532</v>
      </c>
      <c r="T347" s="1">
        <f>'[1]Forward Ranks'!AO347</f>
        <v>0.91048034934497812</v>
      </c>
      <c r="U347" s="1">
        <f>'[1]Forward Ranks'!AP347</f>
        <v>0.33624454148471616</v>
      </c>
      <c r="V347">
        <f>'[1]Forward Ranks'!AR347</f>
        <v>0</v>
      </c>
      <c r="W347" s="1">
        <f>'[1]Forward Ranks'!AW347</f>
        <v>0.29475982532751094</v>
      </c>
      <c r="X347" s="1">
        <f>'[1]Forward Ranks'!AX347</f>
        <v>0.15720524017467249</v>
      </c>
      <c r="Y347" s="1">
        <f>'[1]Forward Ranks'!AY347</f>
        <v>8.5152838427947602E-2</v>
      </c>
      <c r="Z347" s="1">
        <f>'[1]Forward Ranks'!AZ347</f>
        <v>0.18122270742358079</v>
      </c>
      <c r="AA347">
        <f>'[1]Forward Ranks'!BB347</f>
        <v>0</v>
      </c>
      <c r="AB347" s="1">
        <f>'[1]Forward Ranks'!BG347</f>
        <v>0.56113537117903933</v>
      </c>
      <c r="AC347" s="1">
        <f>'[1]Forward Ranks'!BH347</f>
        <v>0.78165938864628826</v>
      </c>
      <c r="AD347" s="1">
        <f>'[1]Forward Ranks'!BI347</f>
        <v>0.97816593886462877</v>
      </c>
      <c r="AE347" s="1">
        <f>'[1]Forward Ranks'!BJ347</f>
        <v>0.96943231441048039</v>
      </c>
      <c r="AF347">
        <f>'[1]Forward Ranks'!BL347</f>
        <v>0</v>
      </c>
      <c r="AG347" s="1">
        <f>'[1]Forward Ranks'!BQ347</f>
        <v>0.55021834061135366</v>
      </c>
      <c r="AH347" s="1">
        <f>'[1]Forward Ranks'!BR347</f>
        <v>0.46943231441048033</v>
      </c>
      <c r="AI347" s="1">
        <f>'[1]Forward Ranks'!BS347</f>
        <v>0.94759825327510916</v>
      </c>
      <c r="AJ347" s="1">
        <f>'[1]Forward Ranks'!BT347</f>
        <v>0.49344978165938863</v>
      </c>
      <c r="AL347" s="2">
        <f>'[1]Forward Ranks'!BX347</f>
        <v>0.5393013100436681</v>
      </c>
      <c r="AN347" t="str">
        <f>'[1]Forward Ranks'!B347</f>
        <v>BOS</v>
      </c>
      <c r="AO347">
        <f>'[1]F on ice'!E347</f>
        <v>82</v>
      </c>
      <c r="AP347" s="2">
        <f>'[1]Impact Score Math'!E347</f>
        <v>0.61322645290581157</v>
      </c>
      <c r="AQ347">
        <f>'[1]Impact Score Math'!G347</f>
        <v>194</v>
      </c>
      <c r="AT347" s="1">
        <f>'[1]Forward Ranks'!CJ347</f>
        <v>0.8253275109170306</v>
      </c>
      <c r="AU347" s="1">
        <f>'[1]Forward Ranks'!CK347</f>
        <v>5.458515283842795E-2</v>
      </c>
    </row>
    <row r="348" spans="1:47" x14ac:dyDescent="0.3">
      <c r="A348" t="str">
        <f>'[1]Forward Ranks'!A348</f>
        <v>Peyton Krebs</v>
      </c>
      <c r="B348">
        <f>'[1]Forward Ranks'!D348</f>
        <v>0</v>
      </c>
      <c r="C348" s="1">
        <f>'[1]Forward Ranks'!I348</f>
        <v>0.3296943231441048</v>
      </c>
      <c r="D348" s="1">
        <f>'[1]Forward Ranks'!J348</f>
        <v>2.8384279475982533E-2</v>
      </c>
      <c r="E348" s="1">
        <f>'[1]Forward Ranks'!K348</f>
        <v>0.25982532751091703</v>
      </c>
      <c r="F348" s="1">
        <f>'[1]Forward Ranks'!L348</f>
        <v>8.5152838427947602E-2</v>
      </c>
      <c r="G348">
        <f>'[1]Forward Ranks'!N348</f>
        <v>0</v>
      </c>
      <c r="H348" s="1">
        <f>'[1]Forward Ranks'!S348</f>
        <v>0.25545851528384278</v>
      </c>
      <c r="I348" s="1">
        <f>'[1]Forward Ranks'!T348</f>
        <v>0.54148471615720528</v>
      </c>
      <c r="J348" s="1">
        <f>'[1]Forward Ranks'!U348</f>
        <v>0.41048034934497818</v>
      </c>
      <c r="K348" s="1">
        <f>'[1]Forward Ranks'!V348</f>
        <v>0.36244541484716158</v>
      </c>
      <c r="L348">
        <f>'[1]Forward Ranks'!X348</f>
        <v>0</v>
      </c>
      <c r="M348" s="1">
        <f>'[1]Forward Ranks'!AC348</f>
        <v>0.90829694323144106</v>
      </c>
      <c r="N348" s="1">
        <f>'[1]Forward Ranks'!AD348</f>
        <v>0.50218340611353707</v>
      </c>
      <c r="O348" s="1">
        <f>'[1]Forward Ranks'!AE348</f>
        <v>0.5873362445414847</v>
      </c>
      <c r="P348" s="1">
        <f>'[1]Forward Ranks'!AF348</f>
        <v>0.71179039301310043</v>
      </c>
      <c r="Q348">
        <f>'[1]Forward Ranks'!AH348</f>
        <v>0</v>
      </c>
      <c r="R348" s="1">
        <f>'[1]Forward Ranks'!AM348</f>
        <v>0.12663755458515283</v>
      </c>
      <c r="S348" s="1">
        <f>'[1]Forward Ranks'!AN348</f>
        <v>1.5283842794759825E-2</v>
      </c>
      <c r="T348" s="1">
        <f>'[1]Forward Ranks'!AO348</f>
        <v>6.9868995633187769E-2</v>
      </c>
      <c r="U348" s="1">
        <f>'[1]Forward Ranks'!AP348</f>
        <v>2.1834061135371178E-2</v>
      </c>
      <c r="V348">
        <f>'[1]Forward Ranks'!AR348</f>
        <v>0</v>
      </c>
      <c r="W348" s="1">
        <f>'[1]Forward Ranks'!AW348</f>
        <v>0.98034934497816595</v>
      </c>
      <c r="X348" s="1">
        <f>'[1]Forward Ranks'!AX348</f>
        <v>0.91048034934497812</v>
      </c>
      <c r="Y348" s="1">
        <f>'[1]Forward Ranks'!AY348</f>
        <v>0.93231441048034935</v>
      </c>
      <c r="Z348" s="1">
        <f>'[1]Forward Ranks'!AZ348</f>
        <v>0.94541484716157209</v>
      </c>
      <c r="AA348">
        <f>'[1]Forward Ranks'!BB348</f>
        <v>0</v>
      </c>
      <c r="AB348" s="1">
        <f>'[1]Forward Ranks'!BG348</f>
        <v>0.41703056768558949</v>
      </c>
      <c r="AC348" s="1">
        <f>'[1]Forward Ranks'!BH348</f>
        <v>0.31877729257641924</v>
      </c>
      <c r="AD348" s="1">
        <f>'[1]Forward Ranks'!BI348</f>
        <v>0.31877729257641924</v>
      </c>
      <c r="AE348" s="1">
        <f>'[1]Forward Ranks'!BJ348</f>
        <v>0.25982532751091703</v>
      </c>
      <c r="AF348">
        <f>'[1]Forward Ranks'!BL348</f>
        <v>0</v>
      </c>
      <c r="AG348" s="1">
        <f>'[1]Forward Ranks'!BQ348</f>
        <v>0.63537117903930129</v>
      </c>
      <c r="AH348" s="1">
        <f>'[1]Forward Ranks'!BR348</f>
        <v>6.9868995633187769E-2</v>
      </c>
      <c r="AI348" s="1">
        <f>'[1]Forward Ranks'!BS348</f>
        <v>0.33842794759825329</v>
      </c>
      <c r="AJ348" s="1">
        <f>'[1]Forward Ranks'!BT348</f>
        <v>0.24017467248908297</v>
      </c>
      <c r="AL348" s="2">
        <f>'[1]Forward Ranks'!BX348</f>
        <v>0.41484716157205243</v>
      </c>
      <c r="AN348" t="str">
        <f>'[1]Forward Ranks'!B348</f>
        <v>BUF</v>
      </c>
      <c r="AO348">
        <f>'[1]F on ice'!E348</f>
        <v>74</v>
      </c>
      <c r="AP348" s="2">
        <f>'[1]Impact Score Math'!E348</f>
        <v>0.47294589178356711</v>
      </c>
      <c r="AQ348">
        <f>'[1]Impact Score Math'!G348</f>
        <v>264</v>
      </c>
      <c r="AT348" s="1">
        <f>'[1]Forward Ranks'!CJ348</f>
        <v>0.15938864628820962</v>
      </c>
      <c r="AU348" s="1">
        <f>'[1]Forward Ranks'!CK348</f>
        <v>0.65502183406113534</v>
      </c>
    </row>
    <row r="349" spans="1:47" x14ac:dyDescent="0.3">
      <c r="A349" t="str">
        <f>'[1]Forward Ranks'!A349</f>
        <v>Phil Kessel</v>
      </c>
      <c r="B349">
        <f>'[1]Forward Ranks'!D349</f>
        <v>0</v>
      </c>
      <c r="C349" s="1">
        <f>'[1]Forward Ranks'!I349</f>
        <v>0.56550218340611358</v>
      </c>
      <c r="D349" s="1">
        <f>'[1]Forward Ranks'!J349</f>
        <v>0.6026200873362445</v>
      </c>
      <c r="E349" s="1">
        <f>'[1]Forward Ranks'!K349</f>
        <v>0.50655021834061131</v>
      </c>
      <c r="F349" s="1">
        <f>'[1]Forward Ranks'!L349</f>
        <v>0.50436681222707425</v>
      </c>
      <c r="G349">
        <f>'[1]Forward Ranks'!N349</f>
        <v>0</v>
      </c>
      <c r="H349" s="1">
        <f>'[1]Forward Ranks'!S349</f>
        <v>0.64847161572052403</v>
      </c>
      <c r="I349" s="1">
        <f>'[1]Forward Ranks'!T349</f>
        <v>0.42139737991266374</v>
      </c>
      <c r="J349" s="1">
        <f>'[1]Forward Ranks'!U349</f>
        <v>0.19868995633187772</v>
      </c>
      <c r="K349" s="1">
        <f>'[1]Forward Ranks'!V349</f>
        <v>0.52838427947598254</v>
      </c>
      <c r="L349">
        <f>'[1]Forward Ranks'!X349</f>
        <v>0</v>
      </c>
      <c r="M349" s="1">
        <f>'[1]Forward Ranks'!AC349</f>
        <v>6.1135371179039298E-2</v>
      </c>
      <c r="N349" s="1">
        <f>'[1]Forward Ranks'!AD349</f>
        <v>0.24017467248908297</v>
      </c>
      <c r="O349" s="1">
        <f>'[1]Forward Ranks'!AE349</f>
        <v>0.1943231441048035</v>
      </c>
      <c r="P349" s="1">
        <f>'[1]Forward Ranks'!AF349</f>
        <v>0.20087336244541484</v>
      </c>
      <c r="Q349">
        <f>'[1]Forward Ranks'!AH349</f>
        <v>0</v>
      </c>
      <c r="R349" s="1">
        <f>'[1]Forward Ranks'!AM349</f>
        <v>0.61353711790393017</v>
      </c>
      <c r="S349" s="1">
        <f>'[1]Forward Ranks'!AN349</f>
        <v>0.55240174672489084</v>
      </c>
      <c r="T349" s="1">
        <f>'[1]Forward Ranks'!AO349</f>
        <v>0.45851528384279477</v>
      </c>
      <c r="U349" s="1">
        <f>'[1]Forward Ranks'!AP349</f>
        <v>0.5</v>
      </c>
      <c r="V349">
        <f>'[1]Forward Ranks'!AR349</f>
        <v>0</v>
      </c>
      <c r="W349" s="1">
        <f>'[1]Forward Ranks'!AW349</f>
        <v>1.5283842794759825E-2</v>
      </c>
      <c r="X349" s="1">
        <f>'[1]Forward Ranks'!AX349</f>
        <v>3.4934497816593885E-2</v>
      </c>
      <c r="Y349" s="1">
        <f>'[1]Forward Ranks'!AY349</f>
        <v>2.8384279475982533E-2</v>
      </c>
      <c r="Z349" s="1">
        <f>'[1]Forward Ranks'!AZ349</f>
        <v>6.768558951965066E-2</v>
      </c>
      <c r="AA349">
        <f>'[1]Forward Ranks'!BB349</f>
        <v>0</v>
      </c>
      <c r="AB349" s="1">
        <f>'[1]Forward Ranks'!BG349</f>
        <v>0.31441048034934499</v>
      </c>
      <c r="AC349" s="1">
        <f>'[1]Forward Ranks'!BH349</f>
        <v>0.65720524017467252</v>
      </c>
      <c r="AD349" s="1">
        <f>'[1]Forward Ranks'!BI349</f>
        <v>0.53711790393013104</v>
      </c>
      <c r="AE349" s="1">
        <f>'[1]Forward Ranks'!BJ349</f>
        <v>0.46288209606986902</v>
      </c>
      <c r="AF349">
        <f>'[1]Forward Ranks'!BL349</f>
        <v>0</v>
      </c>
      <c r="AG349" s="1">
        <f>'[1]Forward Ranks'!BQ349</f>
        <v>0.21397379912663755</v>
      </c>
      <c r="AH349" s="1">
        <f>'[1]Forward Ranks'!BR349</f>
        <v>0.40611353711790393</v>
      </c>
      <c r="AI349" s="1">
        <f>'[1]Forward Ranks'!BS349</f>
        <v>0.30349344978165937</v>
      </c>
      <c r="AJ349" s="1">
        <f>'[1]Forward Ranks'!BT349</f>
        <v>0.35152838427947597</v>
      </c>
      <c r="AL349" s="2">
        <f>'[1]Forward Ranks'!BX349</f>
        <v>0.2205240174672489</v>
      </c>
      <c r="AN349" t="str">
        <f>'[1]Forward Ranks'!B349</f>
        <v>VGK</v>
      </c>
      <c r="AO349">
        <f>'[1]F on ice'!E349</f>
        <v>82</v>
      </c>
      <c r="AP349" s="2">
        <f>'[1]Impact Score Math'!E349</f>
        <v>0.28456913827655311</v>
      </c>
      <c r="AQ349">
        <f>'[1]Impact Score Math'!G349</f>
        <v>358</v>
      </c>
      <c r="AT349" s="1">
        <f>'[1]Forward Ranks'!CJ349</f>
        <v>0.39519650655021832</v>
      </c>
      <c r="AU349" s="1">
        <f>'[1]Forward Ranks'!CK349</f>
        <v>4.3668122270742356E-2</v>
      </c>
    </row>
    <row r="350" spans="1:47" x14ac:dyDescent="0.3">
      <c r="A350" t="str">
        <f>'[1]Forward Ranks'!A350</f>
        <v>Philip Tomasino</v>
      </c>
      <c r="B350">
        <f>'[1]Forward Ranks'!D350</f>
        <v>0</v>
      </c>
      <c r="C350" s="1">
        <f>'[1]Forward Ranks'!I350</f>
        <v>0.18558951965065501</v>
      </c>
      <c r="D350" s="1">
        <f>'[1]Forward Ranks'!J350</f>
        <v>9.606986899563319E-2</v>
      </c>
      <c r="E350" s="1">
        <f>'[1]Forward Ranks'!K350</f>
        <v>0.2205240174672489</v>
      </c>
      <c r="F350" s="1">
        <f>'[1]Forward Ranks'!L350</f>
        <v>0.22707423580786026</v>
      </c>
      <c r="G350">
        <f>'[1]Forward Ranks'!N350</f>
        <v>0</v>
      </c>
      <c r="H350" s="1">
        <f>'[1]Forward Ranks'!S350</f>
        <v>2.6200873362445413E-2</v>
      </c>
      <c r="I350" s="1">
        <f>'[1]Forward Ranks'!T350</f>
        <v>0.74672489082969429</v>
      </c>
      <c r="J350" s="1">
        <f>'[1]Forward Ranks'!U350</f>
        <v>0.95196506550218341</v>
      </c>
      <c r="K350" s="1">
        <f>'[1]Forward Ranks'!V350</f>
        <v>0.31222707423580787</v>
      </c>
      <c r="L350">
        <f>'[1]Forward Ranks'!X350</f>
        <v>0</v>
      </c>
      <c r="M350" s="1">
        <f>'[1]Forward Ranks'!AC350</f>
        <v>0.13100436681222707</v>
      </c>
      <c r="N350" s="1">
        <f>'[1]Forward Ranks'!AD350</f>
        <v>0.24672489082969432</v>
      </c>
      <c r="O350" s="1">
        <f>'[1]Forward Ranks'!AE350</f>
        <v>0.96288209606986896</v>
      </c>
      <c r="P350" s="1">
        <f>'[1]Forward Ranks'!AF350</f>
        <v>0.14192139737991266</v>
      </c>
      <c r="Q350">
        <f>'[1]Forward Ranks'!AH350</f>
        <v>0</v>
      </c>
      <c r="R350" s="1">
        <f>'[1]Forward Ranks'!AM350</f>
        <v>0.6746724890829694</v>
      </c>
      <c r="S350" s="1">
        <f>'[1]Forward Ranks'!AN350</f>
        <v>0.30786026200873362</v>
      </c>
      <c r="T350" s="1">
        <f>'[1]Forward Ranks'!AO350</f>
        <v>0.52620087336244536</v>
      </c>
      <c r="U350" s="1">
        <f>'[1]Forward Ranks'!AP350</f>
        <v>0.62445414847161573</v>
      </c>
      <c r="V350">
        <f>'[1]Forward Ranks'!AR350</f>
        <v>0</v>
      </c>
      <c r="W350" s="1">
        <f>'[1]Forward Ranks'!AW350</f>
        <v>0.47161572052401746</v>
      </c>
      <c r="X350" s="1">
        <f>'[1]Forward Ranks'!AX350</f>
        <v>0.45196506550218341</v>
      </c>
      <c r="Y350" s="1">
        <f>'[1]Forward Ranks'!AY350</f>
        <v>0.97161572052401746</v>
      </c>
      <c r="Z350" s="1">
        <f>'[1]Forward Ranks'!AZ350</f>
        <v>0.36462882096069871</v>
      </c>
      <c r="AA350">
        <f>'[1]Forward Ranks'!BB350</f>
        <v>0</v>
      </c>
      <c r="AB350" s="1">
        <f>'[1]Forward Ranks'!BG350</f>
        <v>0.61790393013100442</v>
      </c>
      <c r="AC350" s="1">
        <f>'[1]Forward Ranks'!BH350</f>
        <v>0.80349344978165937</v>
      </c>
      <c r="AD350" s="1">
        <f>'[1]Forward Ranks'!BI350</f>
        <v>0.35589519650655022</v>
      </c>
      <c r="AE350" s="1">
        <f>'[1]Forward Ranks'!BJ350</f>
        <v>0.86026200873362446</v>
      </c>
      <c r="AF350">
        <f>'[1]Forward Ranks'!BL350</f>
        <v>0</v>
      </c>
      <c r="AG350" s="1">
        <f>'[1]Forward Ranks'!BQ350</f>
        <v>0.10698689956331878</v>
      </c>
      <c r="AH350" s="1">
        <f>'[1]Forward Ranks'!BR350</f>
        <v>9.8253275109170299E-2</v>
      </c>
      <c r="AI350" s="1">
        <f>'[1]Forward Ranks'!BS350</f>
        <v>0.79039301310043664</v>
      </c>
      <c r="AJ350" s="1">
        <f>'[1]Forward Ranks'!BT350</f>
        <v>0.13537117903930132</v>
      </c>
      <c r="AL350" s="2">
        <f>'[1]Forward Ranks'!BX350</f>
        <v>0.22707423580786026</v>
      </c>
      <c r="AN350" t="str">
        <f>'[1]Forward Ranks'!B350</f>
        <v>NSH</v>
      </c>
      <c r="AO350">
        <f>'[1]F on ice'!E350</f>
        <v>31</v>
      </c>
      <c r="AP350" s="2">
        <f>'[1]Impact Score Math'!E350</f>
        <v>0.34468937875751504</v>
      </c>
      <c r="AQ350">
        <f>'[1]Impact Score Math'!G350</f>
        <v>328</v>
      </c>
      <c r="AT350" s="1">
        <f>'[1]Forward Ranks'!CJ350</f>
        <v>0.78165938864628826</v>
      </c>
      <c r="AU350" s="1">
        <f>'[1]Forward Ranks'!CK350</f>
        <v>0.92794759825327511</v>
      </c>
    </row>
    <row r="351" spans="1:47" x14ac:dyDescent="0.3">
      <c r="A351" t="str">
        <f>'[1]Forward Ranks'!A351</f>
        <v>Philipp Kurashev</v>
      </c>
      <c r="B351">
        <f>'[1]Forward Ranks'!D351</f>
        <v>0</v>
      </c>
      <c r="C351" s="1">
        <f>'[1]Forward Ranks'!I351</f>
        <v>0.18340611353711792</v>
      </c>
      <c r="D351" s="1">
        <f>'[1]Forward Ranks'!J351</f>
        <v>0.2816593886462882</v>
      </c>
      <c r="E351" s="1">
        <f>'[1]Forward Ranks'!K351</f>
        <v>0.44541484716157204</v>
      </c>
      <c r="F351" s="1">
        <f>'[1]Forward Ranks'!L351</f>
        <v>0.2576419213973799</v>
      </c>
      <c r="G351">
        <f>'[1]Forward Ranks'!N351</f>
        <v>0</v>
      </c>
      <c r="H351" s="1">
        <f>'[1]Forward Ranks'!S351</f>
        <v>0.27510917030567683</v>
      </c>
      <c r="I351" s="1">
        <f>'[1]Forward Ranks'!T351</f>
        <v>0.24890829694323144</v>
      </c>
      <c r="J351" s="1">
        <f>'[1]Forward Ranks'!U351</f>
        <v>0.44104803493449779</v>
      </c>
      <c r="K351" s="1">
        <f>'[1]Forward Ranks'!V351</f>
        <v>0.17248908296943233</v>
      </c>
      <c r="L351">
        <f>'[1]Forward Ranks'!X351</f>
        <v>0</v>
      </c>
      <c r="M351" s="1">
        <f>'[1]Forward Ranks'!AC351</f>
        <v>2.4017467248908297E-2</v>
      </c>
      <c r="N351" s="1">
        <f>'[1]Forward Ranks'!AD351</f>
        <v>5.8951965065502182E-2</v>
      </c>
      <c r="O351" s="1">
        <f>'[1]Forward Ranks'!AE351</f>
        <v>4.148471615720524E-2</v>
      </c>
      <c r="P351" s="1">
        <f>'[1]Forward Ranks'!AF351</f>
        <v>3.0567685589519649E-2</v>
      </c>
      <c r="Q351">
        <f>'[1]Forward Ranks'!AH351</f>
        <v>0</v>
      </c>
      <c r="R351" s="1">
        <f>'[1]Forward Ranks'!AM351</f>
        <v>0.66812227074235808</v>
      </c>
      <c r="S351" s="1">
        <f>'[1]Forward Ranks'!AN351</f>
        <v>0.84061135371179041</v>
      </c>
      <c r="T351" s="1">
        <f>'[1]Forward Ranks'!AO351</f>
        <v>0.75982532751091703</v>
      </c>
      <c r="U351" s="1">
        <f>'[1]Forward Ranks'!AP351</f>
        <v>0.76419213973799127</v>
      </c>
      <c r="V351">
        <f>'[1]Forward Ranks'!AR351</f>
        <v>0</v>
      </c>
      <c r="W351" s="1">
        <f>'[1]Forward Ranks'!AW351</f>
        <v>1.9650655021834062E-2</v>
      </c>
      <c r="X351" s="1">
        <f>'[1]Forward Ranks'!AX351</f>
        <v>6.5502183406113537E-2</v>
      </c>
      <c r="Y351" s="1">
        <f>'[1]Forward Ranks'!AY351</f>
        <v>6.1135371179039298E-2</v>
      </c>
      <c r="Z351" s="1">
        <f>'[1]Forward Ranks'!AZ351</f>
        <v>3.9301310043668124E-2</v>
      </c>
      <c r="AA351">
        <f>'[1]Forward Ranks'!BB351</f>
        <v>0</v>
      </c>
      <c r="AB351" s="1">
        <f>'[1]Forward Ranks'!BG351</f>
        <v>0.84716157205240172</v>
      </c>
      <c r="AC351" s="1">
        <f>'[1]Forward Ranks'!BH351</f>
        <v>0.54366812227074235</v>
      </c>
      <c r="AD351" s="1">
        <f>'[1]Forward Ranks'!BI351</f>
        <v>0.70742358078602618</v>
      </c>
      <c r="AE351" s="1">
        <f>'[1]Forward Ranks'!BJ351</f>
        <v>0.41484716157205243</v>
      </c>
      <c r="AF351">
        <f>'[1]Forward Ranks'!BL351</f>
        <v>0</v>
      </c>
      <c r="AG351" s="1">
        <f>'[1]Forward Ranks'!BQ351</f>
        <v>3.9301310043668124E-2</v>
      </c>
      <c r="AH351" s="1">
        <f>'[1]Forward Ranks'!BR351</f>
        <v>0.1091703056768559</v>
      </c>
      <c r="AI351" s="1">
        <f>'[1]Forward Ranks'!BS351</f>
        <v>0.15938864628820962</v>
      </c>
      <c r="AJ351" s="1">
        <f>'[1]Forward Ranks'!BT351</f>
        <v>7.4235807860262015E-2</v>
      </c>
      <c r="AL351" s="2">
        <f>'[1]Forward Ranks'!BX351</f>
        <v>6.9868995633187769E-2</v>
      </c>
      <c r="AN351" t="str">
        <f>'[1]Forward Ranks'!B351</f>
        <v>CHI</v>
      </c>
      <c r="AO351">
        <f>'[1]F on ice'!E351</f>
        <v>70</v>
      </c>
      <c r="AP351" s="2">
        <f>'[1]Impact Score Math'!E351</f>
        <v>0.21643286573146292</v>
      </c>
      <c r="AQ351">
        <f>'[1]Impact Score Math'!G351</f>
        <v>392</v>
      </c>
      <c r="AT351" s="1">
        <f>'[1]Forward Ranks'!CJ351</f>
        <v>0.8733624454148472</v>
      </c>
      <c r="AU351" s="1">
        <f>'[1]Forward Ranks'!CK351</f>
        <v>0.62882096069868998</v>
      </c>
    </row>
    <row r="352" spans="1:47" x14ac:dyDescent="0.3">
      <c r="A352" t="str">
        <f>'[1]Forward Ranks'!A352</f>
        <v>Phillip Danault</v>
      </c>
      <c r="B352">
        <f>'[1]Forward Ranks'!D352</f>
        <v>0</v>
      </c>
      <c r="C352" s="1">
        <f>'[1]Forward Ranks'!I352</f>
        <v>0.80349344978165937</v>
      </c>
      <c r="D352" s="1">
        <f>'[1]Forward Ranks'!J352</f>
        <v>0.66375545851528384</v>
      </c>
      <c r="E352" s="1">
        <f>'[1]Forward Ranks'!K352</f>
        <v>0.27729257641921395</v>
      </c>
      <c r="F352" s="1">
        <f>'[1]Forward Ranks'!L352</f>
        <v>0.67030567685589515</v>
      </c>
      <c r="G352">
        <f>'[1]Forward Ranks'!N352</f>
        <v>0</v>
      </c>
      <c r="H352" s="1">
        <f>'[1]Forward Ranks'!S352</f>
        <v>0.56986899563318782</v>
      </c>
      <c r="I352" s="1">
        <f>'[1]Forward Ranks'!T352</f>
        <v>0.3930131004366812</v>
      </c>
      <c r="J352" s="1">
        <f>'[1]Forward Ranks'!U352</f>
        <v>0.42358078602620086</v>
      </c>
      <c r="K352" s="1">
        <f>'[1]Forward Ranks'!V352</f>
        <v>0.43886462882096072</v>
      </c>
      <c r="L352">
        <f>'[1]Forward Ranks'!X352</f>
        <v>0</v>
      </c>
      <c r="M352" s="1">
        <f>'[1]Forward Ranks'!AC352</f>
        <v>0.8733624454148472</v>
      </c>
      <c r="N352" s="1">
        <f>'[1]Forward Ranks'!AD352</f>
        <v>0.84497816593886466</v>
      </c>
      <c r="O352" s="1">
        <f>'[1]Forward Ranks'!AE352</f>
        <v>0.55240174672489084</v>
      </c>
      <c r="P352" s="1">
        <f>'[1]Forward Ranks'!AF352</f>
        <v>0.79912663755458513</v>
      </c>
      <c r="Q352">
        <f>'[1]Forward Ranks'!AH352</f>
        <v>0</v>
      </c>
      <c r="R352" s="1">
        <f>'[1]Forward Ranks'!AM352</f>
        <v>0.68340611353711789</v>
      </c>
      <c r="S352" s="1">
        <f>'[1]Forward Ranks'!AN352</f>
        <v>0.44104803493449779</v>
      </c>
      <c r="T352" s="1">
        <f>'[1]Forward Ranks'!AO352</f>
        <v>0.23580786026200873</v>
      </c>
      <c r="U352" s="1">
        <f>'[1]Forward Ranks'!AP352</f>
        <v>0.63973799126637554</v>
      </c>
      <c r="V352">
        <f>'[1]Forward Ranks'!AR352</f>
        <v>0</v>
      </c>
      <c r="W352" s="1">
        <f>'[1]Forward Ranks'!AW352</f>
        <v>0.47379912663755458</v>
      </c>
      <c r="X352" s="1">
        <f>'[1]Forward Ranks'!AX352</f>
        <v>0.65283842794759828</v>
      </c>
      <c r="Y352" s="1">
        <f>'[1]Forward Ranks'!AY352</f>
        <v>0.48034934497816595</v>
      </c>
      <c r="Z352" s="1">
        <f>'[1]Forward Ranks'!AZ352</f>
        <v>0.49563318777292575</v>
      </c>
      <c r="AA352">
        <f>'[1]Forward Ranks'!BB352</f>
        <v>0</v>
      </c>
      <c r="AB352" s="1">
        <f>'[1]Forward Ranks'!BG352</f>
        <v>0.77947598253275108</v>
      </c>
      <c r="AC352" s="1">
        <f>'[1]Forward Ranks'!BH352</f>
        <v>0.29039301310043669</v>
      </c>
      <c r="AD352" s="1">
        <f>'[1]Forward Ranks'!BI352</f>
        <v>0.13100436681222707</v>
      </c>
      <c r="AE352" s="1">
        <f>'[1]Forward Ranks'!BJ352</f>
        <v>0.12663755458515283</v>
      </c>
      <c r="AF352">
        <f>'[1]Forward Ranks'!BL352</f>
        <v>0</v>
      </c>
      <c r="AG352" s="1">
        <f>'[1]Forward Ranks'!BQ352</f>
        <v>0.87772925764192145</v>
      </c>
      <c r="AH352" s="1">
        <f>'[1]Forward Ranks'!BR352</f>
        <v>0.78384279475982532</v>
      </c>
      <c r="AI352" s="1">
        <f>'[1]Forward Ranks'!BS352</f>
        <v>0.35589519650655022</v>
      </c>
      <c r="AJ352" s="1">
        <f>'[1]Forward Ranks'!BT352</f>
        <v>0.80349344978165937</v>
      </c>
      <c r="AL352" s="2">
        <f>'[1]Forward Ranks'!BX352</f>
        <v>0.79694323144104806</v>
      </c>
      <c r="AN352" t="str">
        <f>'[1]Forward Ranks'!B352</f>
        <v>L.A</v>
      </c>
      <c r="AO352">
        <f>'[1]F on ice'!E352</f>
        <v>82</v>
      </c>
      <c r="AP352" s="2">
        <f>'[1]Impact Score Math'!E352</f>
        <v>0.85971943887775548</v>
      </c>
      <c r="AQ352">
        <f>'[1]Impact Score Math'!G352</f>
        <v>71</v>
      </c>
      <c r="AT352" s="1">
        <f>'[1]Forward Ranks'!CJ352</f>
        <v>0.27947598253275108</v>
      </c>
      <c r="AU352" s="1">
        <f>'[1]Forward Ranks'!CK352</f>
        <v>0.72270742358078599</v>
      </c>
    </row>
    <row r="353" spans="1:47" x14ac:dyDescent="0.3">
      <c r="A353" t="str">
        <f>'[1]Forward Ranks'!A353</f>
        <v>Phillip Di Giuseppe</v>
      </c>
      <c r="B353">
        <f>'[1]Forward Ranks'!D353</f>
        <v>0</v>
      </c>
      <c r="C353" s="1">
        <f>'[1]Forward Ranks'!I353</f>
        <v>0.51310043668122274</v>
      </c>
      <c r="D353" s="1">
        <f>'[1]Forward Ranks'!J353</f>
        <v>0.62445414847161573</v>
      </c>
      <c r="E353" s="1">
        <f>'[1]Forward Ranks'!K353</f>
        <v>0.48034934497816595</v>
      </c>
      <c r="F353" s="1">
        <f>'[1]Forward Ranks'!L353</f>
        <v>0.59825327510917026</v>
      </c>
      <c r="G353">
        <f>'[1]Forward Ranks'!N353</f>
        <v>0</v>
      </c>
      <c r="H353" s="1">
        <f>'[1]Forward Ranks'!S353</f>
        <v>0.78820960698689957</v>
      </c>
      <c r="I353" s="1">
        <f>'[1]Forward Ranks'!T353</f>
        <v>0.1943231441048035</v>
      </c>
      <c r="J353" s="1">
        <f>'[1]Forward Ranks'!U353</f>
        <v>0.17903930131004367</v>
      </c>
      <c r="K353" s="1">
        <f>'[1]Forward Ranks'!V353</f>
        <v>0.47816593886462883</v>
      </c>
      <c r="L353">
        <f>'[1]Forward Ranks'!X353</f>
        <v>0</v>
      </c>
      <c r="M353" s="1">
        <f>'[1]Forward Ranks'!AC353</f>
        <v>0.92576419213973804</v>
      </c>
      <c r="N353" s="1">
        <f>'[1]Forward Ranks'!AD353</f>
        <v>0.87772925764192145</v>
      </c>
      <c r="O353" s="1">
        <f>'[1]Forward Ranks'!AE353</f>
        <v>0.32314410480349343</v>
      </c>
      <c r="P353" s="1">
        <f>'[1]Forward Ranks'!AF353</f>
        <v>0.71834061135371174</v>
      </c>
      <c r="Q353">
        <f>'[1]Forward Ranks'!AH353</f>
        <v>0</v>
      </c>
      <c r="R353" s="1">
        <f>'[1]Forward Ranks'!AM353</f>
        <v>0.92139737991266379</v>
      </c>
      <c r="S353" s="1">
        <f>'[1]Forward Ranks'!AN353</f>
        <v>0.69868995633187769</v>
      </c>
      <c r="T353" s="1">
        <f>'[1]Forward Ranks'!AO353</f>
        <v>0.57423580786026196</v>
      </c>
      <c r="U353" s="1">
        <f>'[1]Forward Ranks'!AP353</f>
        <v>0.92139737991266379</v>
      </c>
      <c r="V353">
        <f>'[1]Forward Ranks'!AR353</f>
        <v>0</v>
      </c>
      <c r="W353" s="1">
        <f>'[1]Forward Ranks'!AW353</f>
        <v>0.93013100436681218</v>
      </c>
      <c r="X353" s="1">
        <f>'[1]Forward Ranks'!AX353</f>
        <v>0.94759825327510916</v>
      </c>
      <c r="Y353" s="1">
        <f>'[1]Forward Ranks'!AY353</f>
        <v>0.45196506550218341</v>
      </c>
      <c r="Z353" s="1">
        <f>'[1]Forward Ranks'!AZ353</f>
        <v>0.72052401746724892</v>
      </c>
      <c r="AA353">
        <f>'[1]Forward Ranks'!BB353</f>
        <v>0</v>
      </c>
      <c r="AB353" s="1">
        <f>'[1]Forward Ranks'!BG353</f>
        <v>0.62445414847161573</v>
      </c>
      <c r="AC353" s="1">
        <f>'[1]Forward Ranks'!BH353</f>
        <v>0.16812227074235808</v>
      </c>
      <c r="AD353" s="1">
        <f>'[1]Forward Ranks'!BI353</f>
        <v>0.40174672489082969</v>
      </c>
      <c r="AE353" s="1">
        <f>'[1]Forward Ranks'!BJ353</f>
        <v>0.1091703056768559</v>
      </c>
      <c r="AF353">
        <f>'[1]Forward Ranks'!BL353</f>
        <v>0</v>
      </c>
      <c r="AG353" s="1">
        <f>'[1]Forward Ranks'!BQ353</f>
        <v>0.75764192139737996</v>
      </c>
      <c r="AH353" s="1">
        <f>'[1]Forward Ranks'!BR353</f>
        <v>0.78602620087336239</v>
      </c>
      <c r="AI353" s="1">
        <f>'[1]Forward Ranks'!BS353</f>
        <v>0.39082969432314413</v>
      </c>
      <c r="AJ353" s="1">
        <f>'[1]Forward Ranks'!BT353</f>
        <v>0.71179039301310043</v>
      </c>
      <c r="AL353" s="2">
        <f>'[1]Forward Ranks'!BX353</f>
        <v>0.86462882096069871</v>
      </c>
      <c r="AN353" t="str">
        <f>'[1]Forward Ranks'!B353</f>
        <v>VAN</v>
      </c>
      <c r="AO353">
        <f>'[1]F on ice'!E353</f>
        <v>30</v>
      </c>
      <c r="AP353" s="2">
        <f>'[1]Impact Score Math'!E353</f>
        <v>0.85771543086172342</v>
      </c>
      <c r="AQ353">
        <f>'[1]Impact Score Math'!G353</f>
        <v>72</v>
      </c>
      <c r="AT353" s="1">
        <f>'[1]Forward Ranks'!CJ353</f>
        <v>0.25982532751091703</v>
      </c>
      <c r="AU353" s="1">
        <f>'[1]Forward Ranks'!CK353</f>
        <v>0.14847161572052403</v>
      </c>
    </row>
    <row r="354" spans="1:47" x14ac:dyDescent="0.3">
      <c r="A354" t="str">
        <f>'[1]Forward Ranks'!A354</f>
        <v>Pierre Engvall</v>
      </c>
      <c r="B354">
        <f>'[1]Forward Ranks'!D354</f>
        <v>0</v>
      </c>
      <c r="C354" s="1">
        <f>'[1]Forward Ranks'!I354</f>
        <v>0.76855895196506552</v>
      </c>
      <c r="D354" s="1">
        <f>'[1]Forward Ranks'!J354</f>
        <v>0.85807860262008728</v>
      </c>
      <c r="E354" s="1">
        <f>'[1]Forward Ranks'!K354</f>
        <v>0.74890829694323147</v>
      </c>
      <c r="F354" s="1">
        <f>'[1]Forward Ranks'!L354</f>
        <v>0.82751091703056767</v>
      </c>
      <c r="G354">
        <f>'[1]Forward Ranks'!N354</f>
        <v>0</v>
      </c>
      <c r="H354" s="1">
        <f>'[1]Forward Ranks'!S354</f>
        <v>0.81659388646288211</v>
      </c>
      <c r="I354" s="1">
        <f>'[1]Forward Ranks'!T354</f>
        <v>0.22707423580786026</v>
      </c>
      <c r="J354" s="1">
        <f>'[1]Forward Ranks'!U354</f>
        <v>0.38646288209606988</v>
      </c>
      <c r="K354" s="1">
        <f>'[1]Forward Ranks'!V354</f>
        <v>0.53493449781659386</v>
      </c>
      <c r="L354">
        <f>'[1]Forward Ranks'!X354</f>
        <v>0</v>
      </c>
      <c r="M354" s="1">
        <f>'[1]Forward Ranks'!AC354</f>
        <v>0.74235807860262004</v>
      </c>
      <c r="N354" s="1">
        <f>'[1]Forward Ranks'!AD354</f>
        <v>0.72707423580786024</v>
      </c>
      <c r="O354" s="1">
        <f>'[1]Forward Ranks'!AE354</f>
        <v>0.56113537117903933</v>
      </c>
      <c r="P354" s="1">
        <f>'[1]Forward Ranks'!AF354</f>
        <v>0.77074235807860259</v>
      </c>
      <c r="Q354">
        <f>'[1]Forward Ranks'!AH354</f>
        <v>0</v>
      </c>
      <c r="R354" s="1">
        <f>'[1]Forward Ranks'!AM354</f>
        <v>0.65720524017467252</v>
      </c>
      <c r="S354" s="1">
        <f>'[1]Forward Ranks'!AN354</f>
        <v>0.66593886462882101</v>
      </c>
      <c r="T354" s="1">
        <f>'[1]Forward Ranks'!AO354</f>
        <v>0.58515283842794763</v>
      </c>
      <c r="U354" s="1">
        <f>'[1]Forward Ranks'!AP354</f>
        <v>0.63973799126637554</v>
      </c>
      <c r="V354">
        <f>'[1]Forward Ranks'!AR354</f>
        <v>0</v>
      </c>
      <c r="W354" s="1">
        <f>'[1]Forward Ranks'!AW354</f>
        <v>0.51310043668122274</v>
      </c>
      <c r="X354" s="1">
        <f>'[1]Forward Ranks'!AX354</f>
        <v>0.66157205240174677</v>
      </c>
      <c r="Y354" s="1">
        <f>'[1]Forward Ranks'!AY354</f>
        <v>0.20742358078602621</v>
      </c>
      <c r="Z354" s="1">
        <f>'[1]Forward Ranks'!AZ354</f>
        <v>0.5873362445414847</v>
      </c>
      <c r="AA354">
        <f>'[1]Forward Ranks'!BB354</f>
        <v>0</v>
      </c>
      <c r="AB354" s="1">
        <f>'[1]Forward Ranks'!BG354</f>
        <v>0.45414847161572053</v>
      </c>
      <c r="AC354" s="1">
        <f>'[1]Forward Ranks'!BH354</f>
        <v>0.23362445414847161</v>
      </c>
      <c r="AD354" s="1">
        <f>'[1]Forward Ranks'!BI354</f>
        <v>0.58951965065502188</v>
      </c>
      <c r="AE354" s="1">
        <f>'[1]Forward Ranks'!BJ354</f>
        <v>0.46288209606986902</v>
      </c>
      <c r="AF354">
        <f>'[1]Forward Ranks'!BL354</f>
        <v>0</v>
      </c>
      <c r="AG354" s="1">
        <f>'[1]Forward Ranks'!BQ354</f>
        <v>0.81659388646288211</v>
      </c>
      <c r="AH354" s="1">
        <f>'[1]Forward Ranks'!BR354</f>
        <v>0.88646288209606983</v>
      </c>
      <c r="AI354" s="1">
        <f>'[1]Forward Ranks'!BS354</f>
        <v>0.73144104803493448</v>
      </c>
      <c r="AJ354" s="1">
        <f>'[1]Forward Ranks'!BT354</f>
        <v>0.87117903930131002</v>
      </c>
      <c r="AL354" s="2">
        <f>'[1]Forward Ranks'!BX354</f>
        <v>0.82751091703056767</v>
      </c>
      <c r="AN354" t="str">
        <f>'[1]Forward Ranks'!B354</f>
        <v>NYI, TOR</v>
      </c>
      <c r="AO354">
        <f>'[1]F on ice'!E354</f>
        <v>76</v>
      </c>
      <c r="AP354" s="2">
        <f>'[1]Impact Score Math'!E354</f>
        <v>0.77154308617234468</v>
      </c>
      <c r="AQ354">
        <f>'[1]Impact Score Math'!G354</f>
        <v>115</v>
      </c>
      <c r="AT354" s="1">
        <f>'[1]Forward Ranks'!CJ354</f>
        <v>0.68995633187772931</v>
      </c>
      <c r="AU354" s="1">
        <f>'[1]Forward Ranks'!CK354</f>
        <v>4.3668122270742356E-2</v>
      </c>
    </row>
    <row r="355" spans="1:47" x14ac:dyDescent="0.3">
      <c r="A355" t="str">
        <f>'[1]Forward Ranks'!A355</f>
        <v>Pierre-Edouard Bellemare</v>
      </c>
      <c r="B355">
        <f>'[1]Forward Ranks'!D355</f>
        <v>0</v>
      </c>
      <c r="C355" s="1">
        <f>'[1]Forward Ranks'!I355</f>
        <v>0.20524017467248909</v>
      </c>
      <c r="D355" s="1">
        <f>'[1]Forward Ranks'!J355</f>
        <v>0.39519650655021832</v>
      </c>
      <c r="E355" s="1">
        <f>'[1]Forward Ranks'!K355</f>
        <v>9.8253275109170299E-2</v>
      </c>
      <c r="F355" s="1">
        <f>'[1]Forward Ranks'!L355</f>
        <v>0.15283842794759825</v>
      </c>
      <c r="G355">
        <f>'[1]Forward Ranks'!N355</f>
        <v>0</v>
      </c>
      <c r="H355" s="1">
        <f>'[1]Forward Ranks'!S355</f>
        <v>0.1222707423580786</v>
      </c>
      <c r="I355" s="1">
        <f>'[1]Forward Ranks'!T355</f>
        <v>0.21615720524017468</v>
      </c>
      <c r="J355" s="1">
        <f>'[1]Forward Ranks'!U355</f>
        <v>0.51091703056768556</v>
      </c>
      <c r="K355" s="1">
        <f>'[1]Forward Ranks'!V355</f>
        <v>0.10262008733624454</v>
      </c>
      <c r="L355">
        <f>'[1]Forward Ranks'!X355</f>
        <v>0</v>
      </c>
      <c r="M355" s="1">
        <f>'[1]Forward Ranks'!AC355</f>
        <v>0.60698689956331875</v>
      </c>
      <c r="N355" s="1">
        <f>'[1]Forward Ranks'!AD355</f>
        <v>0.75764192139737996</v>
      </c>
      <c r="O355" s="1">
        <f>'[1]Forward Ranks'!AE355</f>
        <v>0.40611353711790393</v>
      </c>
      <c r="P355" s="1">
        <f>'[1]Forward Ranks'!AF355</f>
        <v>0.63755458515283847</v>
      </c>
      <c r="Q355">
        <f>'[1]Forward Ranks'!AH355</f>
        <v>0</v>
      </c>
      <c r="R355" s="1">
        <f>'[1]Forward Ranks'!AM355</f>
        <v>7.4235807860262015E-2</v>
      </c>
      <c r="S355" s="1">
        <f>'[1]Forward Ranks'!AN355</f>
        <v>2.8384279475982533E-2</v>
      </c>
      <c r="T355" s="1">
        <f>'[1]Forward Ranks'!AO355</f>
        <v>3.7117903930131008E-2</v>
      </c>
      <c r="U355" s="1">
        <f>'[1]Forward Ranks'!AP355</f>
        <v>3.4934497816593885E-2</v>
      </c>
      <c r="V355">
        <f>'[1]Forward Ranks'!AR355</f>
        <v>0</v>
      </c>
      <c r="W355" s="1">
        <f>'[1]Forward Ranks'!AW355</f>
        <v>0.61572052401746724</v>
      </c>
      <c r="X355" s="1">
        <f>'[1]Forward Ranks'!AX355</f>
        <v>0.79257641921397382</v>
      </c>
      <c r="Y355" s="1">
        <f>'[1]Forward Ranks'!AY355</f>
        <v>0.2816593886462882</v>
      </c>
      <c r="Z355" s="1">
        <f>'[1]Forward Ranks'!AZ355</f>
        <v>0.77947598253275108</v>
      </c>
      <c r="AA355">
        <f>'[1]Forward Ranks'!BB355</f>
        <v>0</v>
      </c>
      <c r="AB355" s="1">
        <f>'[1]Forward Ranks'!BG355</f>
        <v>3.9301310043668124E-2</v>
      </c>
      <c r="AC355" s="1">
        <f>'[1]Forward Ranks'!BH355</f>
        <v>0.42576419213973798</v>
      </c>
      <c r="AD355" s="1">
        <f>'[1]Forward Ranks'!BI355</f>
        <v>0.18558951965065501</v>
      </c>
      <c r="AE355" s="1">
        <f>'[1]Forward Ranks'!BJ355</f>
        <v>0.2183406113537118</v>
      </c>
      <c r="AF355">
        <f>'[1]Forward Ranks'!BL355</f>
        <v>0</v>
      </c>
      <c r="AG355" s="1">
        <f>'[1]Forward Ranks'!BQ355</f>
        <v>0.33406113537117904</v>
      </c>
      <c r="AH355" s="1">
        <f>'[1]Forward Ranks'!BR355</f>
        <v>0.52183406113537123</v>
      </c>
      <c r="AI355" s="1">
        <f>'[1]Forward Ranks'!BS355</f>
        <v>0.10480349344978165</v>
      </c>
      <c r="AJ355" s="1">
        <f>'[1]Forward Ranks'!BT355</f>
        <v>0.29257641921397382</v>
      </c>
      <c r="AL355" s="2">
        <f>'[1]Forward Ranks'!BX355</f>
        <v>0.13973799126637554</v>
      </c>
      <c r="AN355" t="str">
        <f>'[1]Forward Ranks'!B355</f>
        <v>T.B</v>
      </c>
      <c r="AO355">
        <f>'[1]F on ice'!E355</f>
        <v>73</v>
      </c>
      <c r="AP355" s="2">
        <f>'[1]Impact Score Math'!E355</f>
        <v>0.15831663326653306</v>
      </c>
      <c r="AQ355">
        <f>'[1]Impact Score Math'!G355</f>
        <v>421</v>
      </c>
      <c r="AT355" s="1">
        <f>'[1]Forward Ranks'!CJ355</f>
        <v>0.41484716157205243</v>
      </c>
      <c r="AU355" s="1">
        <f>'[1]Forward Ranks'!CK355</f>
        <v>0.38646288209606988</v>
      </c>
    </row>
    <row r="356" spans="1:47" x14ac:dyDescent="0.3">
      <c r="A356" t="str">
        <f>'[1]Forward Ranks'!A356</f>
        <v>Pierre-Luc Dubois</v>
      </c>
      <c r="B356">
        <f>'[1]Forward Ranks'!D356</f>
        <v>0</v>
      </c>
      <c r="C356" s="1">
        <f>'[1]Forward Ranks'!I356</f>
        <v>0.79039301310043664</v>
      </c>
      <c r="D356" s="1">
        <f>'[1]Forward Ranks'!J356</f>
        <v>0.79694323144104806</v>
      </c>
      <c r="E356" s="1">
        <f>'[1]Forward Ranks'!K356</f>
        <v>0.71615720524017468</v>
      </c>
      <c r="F356" s="1">
        <f>'[1]Forward Ranks'!L356</f>
        <v>0.77729257641921401</v>
      </c>
      <c r="G356">
        <f>'[1]Forward Ranks'!N356</f>
        <v>0</v>
      </c>
      <c r="H356" s="1">
        <f>'[1]Forward Ranks'!S356</f>
        <v>0.56986899563318782</v>
      </c>
      <c r="I356" s="1">
        <f>'[1]Forward Ranks'!T356</f>
        <v>0.6266375545851528</v>
      </c>
      <c r="J356" s="1">
        <f>'[1]Forward Ranks'!U356</f>
        <v>0.39519650655021832</v>
      </c>
      <c r="K356" s="1">
        <f>'[1]Forward Ranks'!V356</f>
        <v>0.611353711790393</v>
      </c>
      <c r="L356">
        <f>'[1]Forward Ranks'!X356</f>
        <v>0</v>
      </c>
      <c r="M356" s="1">
        <f>'[1]Forward Ranks'!AC356</f>
        <v>0.63755458515283847</v>
      </c>
      <c r="N356" s="1">
        <f>'[1]Forward Ranks'!AD356</f>
        <v>0.62882096069868998</v>
      </c>
      <c r="O356" s="1">
        <f>'[1]Forward Ranks'!AE356</f>
        <v>0.75545851528384278</v>
      </c>
      <c r="P356" s="1">
        <f>'[1]Forward Ranks'!AF356</f>
        <v>0.40174672489082969</v>
      </c>
      <c r="Q356">
        <f>'[1]Forward Ranks'!AH356</f>
        <v>0</v>
      </c>
      <c r="R356" s="1">
        <f>'[1]Forward Ranks'!AM356</f>
        <v>0.69868995633187769</v>
      </c>
      <c r="S356" s="1">
        <f>'[1]Forward Ranks'!AN356</f>
        <v>0.83406113537117899</v>
      </c>
      <c r="T356" s="1">
        <f>'[1]Forward Ranks'!AO356</f>
        <v>0.84279475982532748</v>
      </c>
      <c r="U356" s="1">
        <f>'[1]Forward Ranks'!AP356</f>
        <v>0.66375545851528384</v>
      </c>
      <c r="V356">
        <f>'[1]Forward Ranks'!AR356</f>
        <v>0</v>
      </c>
      <c r="W356" s="1">
        <f>'[1]Forward Ranks'!AW356</f>
        <v>0.5393013100436681</v>
      </c>
      <c r="X356" s="1">
        <f>'[1]Forward Ranks'!AX356</f>
        <v>0.46506550218340609</v>
      </c>
      <c r="Y356" s="1">
        <f>'[1]Forward Ranks'!AY356</f>
        <v>0.51310043668122274</v>
      </c>
      <c r="Z356" s="1">
        <f>'[1]Forward Ranks'!AZ356</f>
        <v>0.28820960698689957</v>
      </c>
      <c r="AA356">
        <f>'[1]Forward Ranks'!BB356</f>
        <v>0</v>
      </c>
      <c r="AB356" s="1">
        <f>'[1]Forward Ranks'!BG356</f>
        <v>0.85807860262008728</v>
      </c>
      <c r="AC356" s="1">
        <f>'[1]Forward Ranks'!BH356</f>
        <v>0.84279475982532748</v>
      </c>
      <c r="AD356" s="1">
        <f>'[1]Forward Ranks'!BI356</f>
        <v>0.81877729257641918</v>
      </c>
      <c r="AE356" s="1">
        <f>'[1]Forward Ranks'!BJ356</f>
        <v>0.87117903930131002</v>
      </c>
      <c r="AF356">
        <f>'[1]Forward Ranks'!BL356</f>
        <v>0</v>
      </c>
      <c r="AG356" s="1">
        <f>'[1]Forward Ranks'!BQ356</f>
        <v>0.77510917030567683</v>
      </c>
      <c r="AH356" s="1">
        <f>'[1]Forward Ranks'!BR356</f>
        <v>0.80567685589519655</v>
      </c>
      <c r="AI356" s="1">
        <f>'[1]Forward Ranks'!BS356</f>
        <v>0.83624454148471616</v>
      </c>
      <c r="AJ356" s="1">
        <f>'[1]Forward Ranks'!BT356</f>
        <v>0.66593886462882101</v>
      </c>
      <c r="AL356" s="2">
        <f>'[1]Forward Ranks'!BX356</f>
        <v>0.73580786026200873</v>
      </c>
      <c r="AN356" t="str">
        <f>'[1]Forward Ranks'!B356</f>
        <v>WPG</v>
      </c>
      <c r="AO356">
        <f>'[1]F on ice'!E356</f>
        <v>73</v>
      </c>
      <c r="AP356" s="2">
        <f>'[1]Impact Score Math'!E356</f>
        <v>0.82565130260521047</v>
      </c>
      <c r="AQ356">
        <f>'[1]Impact Score Math'!G356</f>
        <v>88</v>
      </c>
      <c r="AT356" s="1">
        <f>'[1]Forward Ranks'!CJ356</f>
        <v>5.0218340611353711E-2</v>
      </c>
      <c r="AU356" s="1">
        <f>'[1]Forward Ranks'!CK356</f>
        <v>0.96288209606986896</v>
      </c>
    </row>
    <row r="357" spans="1:47" x14ac:dyDescent="0.3">
      <c r="A357" t="str">
        <f>'[1]Forward Ranks'!A357</f>
        <v>Pius Suter</v>
      </c>
      <c r="B357">
        <f>'[1]Forward Ranks'!D357</f>
        <v>0</v>
      </c>
      <c r="C357" s="1">
        <f>'[1]Forward Ranks'!I357</f>
        <v>0.10698689956331878</v>
      </c>
      <c r="D357" s="1">
        <f>'[1]Forward Ranks'!J357</f>
        <v>0.19868995633187772</v>
      </c>
      <c r="E357" s="1">
        <f>'[1]Forward Ranks'!K357</f>
        <v>0.23144104803493451</v>
      </c>
      <c r="F357" s="1">
        <f>'[1]Forward Ranks'!L357</f>
        <v>0.17685589519650655</v>
      </c>
      <c r="G357">
        <f>'[1]Forward Ranks'!N357</f>
        <v>0</v>
      </c>
      <c r="H357" s="1">
        <f>'[1]Forward Ranks'!S357</f>
        <v>0.63318777292576423</v>
      </c>
      <c r="I357" s="1">
        <f>'[1]Forward Ranks'!T357</f>
        <v>0.11572052401746726</v>
      </c>
      <c r="J357" s="1">
        <f>'[1]Forward Ranks'!U357</f>
        <v>0.19213973799126638</v>
      </c>
      <c r="K357" s="1">
        <f>'[1]Forward Ranks'!V357</f>
        <v>0.25327510917030566</v>
      </c>
      <c r="L357">
        <f>'[1]Forward Ranks'!X357</f>
        <v>0</v>
      </c>
      <c r="M357" s="1">
        <f>'[1]Forward Ranks'!AC357</f>
        <v>0.80786026200873362</v>
      </c>
      <c r="N357" s="1">
        <f>'[1]Forward Ranks'!AD357</f>
        <v>0.64192139737991272</v>
      </c>
      <c r="O357" s="1">
        <f>'[1]Forward Ranks'!AE357</f>
        <v>0.59825327510917026</v>
      </c>
      <c r="P357" s="1">
        <f>'[1]Forward Ranks'!AF357</f>
        <v>0.69868995633187769</v>
      </c>
      <c r="Q357">
        <f>'[1]Forward Ranks'!AH357</f>
        <v>0</v>
      </c>
      <c r="R357" s="1">
        <f>'[1]Forward Ranks'!AM357</f>
        <v>0.37117903930131002</v>
      </c>
      <c r="S357" s="1">
        <f>'[1]Forward Ranks'!AN357</f>
        <v>0.57641921397379914</v>
      </c>
      <c r="T357" s="1">
        <f>'[1]Forward Ranks'!AO357</f>
        <v>0.37991266375545851</v>
      </c>
      <c r="U357" s="1">
        <f>'[1]Forward Ranks'!AP357</f>
        <v>0.49344978165938863</v>
      </c>
      <c r="V357">
        <f>'[1]Forward Ranks'!AR357</f>
        <v>0</v>
      </c>
      <c r="W357" s="1">
        <f>'[1]Forward Ranks'!AW357</f>
        <v>0.94104803493449785</v>
      </c>
      <c r="X357" s="1">
        <f>'[1]Forward Ranks'!AX357</f>
        <v>0.88209606986899558</v>
      </c>
      <c r="Y357" s="1">
        <f>'[1]Forward Ranks'!AY357</f>
        <v>0.84716157205240172</v>
      </c>
      <c r="Z357" s="1">
        <f>'[1]Forward Ranks'!AZ357</f>
        <v>0.77947598253275108</v>
      </c>
      <c r="AA357">
        <f>'[1]Forward Ranks'!BB357</f>
        <v>0</v>
      </c>
      <c r="AB357" s="1">
        <f>'[1]Forward Ranks'!BG357</f>
        <v>0.43449781659388648</v>
      </c>
      <c r="AC357" s="1">
        <f>'[1]Forward Ranks'!BH357</f>
        <v>0.4126637554585153</v>
      </c>
      <c r="AD357" s="1">
        <f>'[1]Forward Ranks'!BI357</f>
        <v>0.37117903930131002</v>
      </c>
      <c r="AE357" s="1">
        <f>'[1]Forward Ranks'!BJ357</f>
        <v>0.29039301310043669</v>
      </c>
      <c r="AF357">
        <f>'[1]Forward Ranks'!BL357</f>
        <v>0</v>
      </c>
      <c r="AG357" s="1">
        <f>'[1]Forward Ranks'!BQ357</f>
        <v>0.33187772925764192</v>
      </c>
      <c r="AH357" s="1">
        <f>'[1]Forward Ranks'!BR357</f>
        <v>0.32751091703056767</v>
      </c>
      <c r="AI357" s="1">
        <f>'[1]Forward Ranks'!BS357</f>
        <v>0.31004366812227074</v>
      </c>
      <c r="AJ357" s="1">
        <f>'[1]Forward Ranks'!BT357</f>
        <v>0.32532751091703055</v>
      </c>
      <c r="AL357" s="2">
        <f>'[1]Forward Ranks'!BX357</f>
        <v>0.47379912663755458</v>
      </c>
      <c r="AN357" t="str">
        <f>'[1]Forward Ranks'!B357</f>
        <v>DET</v>
      </c>
      <c r="AO357">
        <f>'[1]F on ice'!E357</f>
        <v>79</v>
      </c>
      <c r="AP357" s="2">
        <f>'[1]Impact Score Math'!E357</f>
        <v>0.50901803607214424</v>
      </c>
      <c r="AQ357">
        <f>'[1]Impact Score Math'!G357</f>
        <v>246</v>
      </c>
      <c r="AT357" s="1">
        <f>'[1]Forward Ranks'!CJ357</f>
        <v>0.9606986899563319</v>
      </c>
      <c r="AU357" s="1">
        <f>'[1]Forward Ranks'!CK357</f>
        <v>0.12445414847161572</v>
      </c>
    </row>
    <row r="358" spans="1:47" x14ac:dyDescent="0.3">
      <c r="A358" t="str">
        <f>'[1]Forward Ranks'!A358</f>
        <v>Pontus Holmberg</v>
      </c>
      <c r="B358">
        <f>'[1]Forward Ranks'!D358</f>
        <v>0</v>
      </c>
      <c r="C358" s="1">
        <f>'[1]Forward Ranks'!I358</f>
        <v>0.2183406113537118</v>
      </c>
      <c r="D358" s="1">
        <f>'[1]Forward Ranks'!J358</f>
        <v>7.6419213973799124E-2</v>
      </c>
      <c r="E358" s="1">
        <f>'[1]Forward Ranks'!K358</f>
        <v>0.39519650655021832</v>
      </c>
      <c r="F358" s="1">
        <f>'[1]Forward Ranks'!L358</f>
        <v>0.15283842794759825</v>
      </c>
      <c r="G358">
        <f>'[1]Forward Ranks'!N358</f>
        <v>0</v>
      </c>
      <c r="H358" s="1">
        <f>'[1]Forward Ranks'!S358</f>
        <v>0.51528384279475981</v>
      </c>
      <c r="I358" s="1">
        <f>'[1]Forward Ranks'!T358</f>
        <v>0.83624454148471616</v>
      </c>
      <c r="J358" s="1">
        <f>'[1]Forward Ranks'!U358</f>
        <v>0.93013100436681218</v>
      </c>
      <c r="K358" s="1">
        <f>'[1]Forward Ranks'!V358</f>
        <v>0.75109170305676853</v>
      </c>
      <c r="L358">
        <f>'[1]Forward Ranks'!X358</f>
        <v>0</v>
      </c>
      <c r="M358" s="1">
        <f>'[1]Forward Ranks'!AC358</f>
        <v>0.85371179039301315</v>
      </c>
      <c r="N358" s="1">
        <f>'[1]Forward Ranks'!AD358</f>
        <v>0.66812227074235808</v>
      </c>
      <c r="O358" s="1">
        <f>'[1]Forward Ranks'!AE358</f>
        <v>0.73799126637554591</v>
      </c>
      <c r="P358" s="1">
        <f>'[1]Forward Ranks'!AF358</f>
        <v>0.90393013100436681</v>
      </c>
      <c r="Q358">
        <f>'[1]Forward Ranks'!AH358</f>
        <v>0</v>
      </c>
      <c r="R358" s="1">
        <f>'[1]Forward Ranks'!AM358</f>
        <v>5.458515283842795E-2</v>
      </c>
      <c r="S358" s="1">
        <f>'[1]Forward Ranks'!AN358</f>
        <v>4.3668122270742356E-3</v>
      </c>
      <c r="T358" s="1">
        <f>'[1]Forward Ranks'!AO358</f>
        <v>0.12882096069868995</v>
      </c>
      <c r="U358" s="1">
        <f>'[1]Forward Ranks'!AP358</f>
        <v>3.7117903930131008E-2</v>
      </c>
      <c r="V358">
        <f>'[1]Forward Ranks'!AR358</f>
        <v>0</v>
      </c>
      <c r="W358" s="1">
        <f>'[1]Forward Ranks'!AW358</f>
        <v>0.65283842794759828</v>
      </c>
      <c r="X358" s="1">
        <f>'[1]Forward Ranks'!AX358</f>
        <v>0.40174672489082969</v>
      </c>
      <c r="Y358" s="1">
        <f>'[1]Forward Ranks'!AY358</f>
        <v>0.4366812227074236</v>
      </c>
      <c r="Z358" s="1">
        <f>'[1]Forward Ranks'!AZ358</f>
        <v>0.70960698689956336</v>
      </c>
      <c r="AA358">
        <f>'[1]Forward Ranks'!BB358</f>
        <v>0</v>
      </c>
      <c r="AB358" s="1">
        <f>'[1]Forward Ranks'!BG358</f>
        <v>0.11572052401746726</v>
      </c>
      <c r="AC358" s="1">
        <f>'[1]Forward Ranks'!BH358</f>
        <v>0.89301310043668125</v>
      </c>
      <c r="AD358" s="1">
        <f>'[1]Forward Ranks'!BI358</f>
        <v>0.6266375545851528</v>
      </c>
      <c r="AE358" s="1">
        <f>'[1]Forward Ranks'!BJ358</f>
        <v>0.64628820960698685</v>
      </c>
      <c r="AF358">
        <f>'[1]Forward Ranks'!BL358</f>
        <v>0</v>
      </c>
      <c r="AG358" s="1">
        <f>'[1]Forward Ranks'!BQ358</f>
        <v>0.48471615720524019</v>
      </c>
      <c r="AH358" s="1">
        <f>'[1]Forward Ranks'!BR358</f>
        <v>0.2183406113537118</v>
      </c>
      <c r="AI358" s="1">
        <f>'[1]Forward Ranks'!BS358</f>
        <v>0.58296943231441045</v>
      </c>
      <c r="AJ358" s="1">
        <f>'[1]Forward Ranks'!BT358</f>
        <v>0.44978165938864628</v>
      </c>
      <c r="AL358" s="2">
        <f>'[1]Forward Ranks'!BX358</f>
        <v>0.43449781659388648</v>
      </c>
      <c r="AN358" t="str">
        <f>'[1]Forward Ranks'!B358</f>
        <v>TOR</v>
      </c>
      <c r="AO358">
        <f>'[1]F on ice'!E358</f>
        <v>37</v>
      </c>
      <c r="AP358" s="2">
        <f>'[1]Impact Score Math'!E358</f>
        <v>0.37074148296593185</v>
      </c>
      <c r="AQ358">
        <f>'[1]Impact Score Math'!G358</f>
        <v>315</v>
      </c>
      <c r="AT358" s="1">
        <f>'[1]Forward Ranks'!CJ358</f>
        <v>0.22707423580786026</v>
      </c>
      <c r="AU358" s="1">
        <f>'[1]Forward Ranks'!CK358</f>
        <v>0.93013100436681218</v>
      </c>
    </row>
    <row r="359" spans="1:47" x14ac:dyDescent="0.3">
      <c r="A359" t="str">
        <f>'[1]Forward Ranks'!A359</f>
        <v>Quinton Byfield</v>
      </c>
      <c r="B359">
        <f>'[1]Forward Ranks'!D359</f>
        <v>0</v>
      </c>
      <c r="C359" s="1">
        <f>'[1]Forward Ranks'!I359</f>
        <v>0.55240174672489084</v>
      </c>
      <c r="D359" s="1">
        <f>'[1]Forward Ranks'!J359</f>
        <v>0.65938864628820959</v>
      </c>
      <c r="E359" s="1">
        <f>'[1]Forward Ranks'!K359</f>
        <v>0.888646288209607</v>
      </c>
      <c r="F359" s="1">
        <f>'[1]Forward Ranks'!L359</f>
        <v>0.35807860262008734</v>
      </c>
      <c r="G359">
        <f>'[1]Forward Ranks'!N359</f>
        <v>0</v>
      </c>
      <c r="H359" s="1">
        <f>'[1]Forward Ranks'!S359</f>
        <v>1.5283842794759825E-2</v>
      </c>
      <c r="I359" s="1">
        <f>'[1]Forward Ranks'!T359</f>
        <v>0.95851528384279472</v>
      </c>
      <c r="J359" s="1">
        <f>'[1]Forward Ranks'!U359</f>
        <v>0.8733624454148472</v>
      </c>
      <c r="K359" s="1">
        <f>'[1]Forward Ranks'!V359</f>
        <v>0.58296943231441045</v>
      </c>
      <c r="L359">
        <f>'[1]Forward Ranks'!X359</f>
        <v>0</v>
      </c>
      <c r="M359" s="1">
        <f>'[1]Forward Ranks'!AC359</f>
        <v>0.93231441048034935</v>
      </c>
      <c r="N359" s="1">
        <f>'[1]Forward Ranks'!AD359</f>
        <v>0.90611353711790388</v>
      </c>
      <c r="O359" s="1">
        <f>'[1]Forward Ranks'!AE359</f>
        <v>0.78165938864628826</v>
      </c>
      <c r="P359" s="1">
        <f>'[1]Forward Ranks'!AF359</f>
        <v>0.89519650655021832</v>
      </c>
      <c r="Q359">
        <f>'[1]Forward Ranks'!AH359</f>
        <v>0</v>
      </c>
      <c r="R359" s="1">
        <f>'[1]Forward Ranks'!AM359</f>
        <v>0.28820960698689957</v>
      </c>
      <c r="S359" s="1">
        <f>'[1]Forward Ranks'!AN359</f>
        <v>0.42576419213973798</v>
      </c>
      <c r="T359" s="1">
        <f>'[1]Forward Ranks'!AO359</f>
        <v>0.89301310043668125</v>
      </c>
      <c r="U359" s="1">
        <f>'[1]Forward Ranks'!AP359</f>
        <v>0.27947598253275108</v>
      </c>
      <c r="V359">
        <f>'[1]Forward Ranks'!AR359</f>
        <v>0</v>
      </c>
      <c r="W359" s="1">
        <f>'[1]Forward Ranks'!AW359</f>
        <v>0.64410480349344978</v>
      </c>
      <c r="X359" s="1">
        <f>'[1]Forward Ranks'!AX359</f>
        <v>0.73799126637554591</v>
      </c>
      <c r="Y359" s="1">
        <f>'[1]Forward Ranks'!AY359</f>
        <v>0.81222707423580787</v>
      </c>
      <c r="Z359" s="1">
        <f>'[1]Forward Ranks'!AZ359</f>
        <v>0.74454148471615722</v>
      </c>
      <c r="AA359">
        <f>'[1]Forward Ranks'!BB359</f>
        <v>0</v>
      </c>
      <c r="AB359" s="1">
        <f>'[1]Forward Ranks'!BG359</f>
        <v>0.54366812227074235</v>
      </c>
      <c r="AC359" s="1">
        <f>'[1]Forward Ranks'!BH359</f>
        <v>0.35152838427947597</v>
      </c>
      <c r="AD359" s="1">
        <f>'[1]Forward Ranks'!BI359</f>
        <v>0.9606986899563319</v>
      </c>
      <c r="AE359" s="1">
        <f>'[1]Forward Ranks'!BJ359</f>
        <v>0.93886462882096067</v>
      </c>
      <c r="AF359">
        <f>'[1]Forward Ranks'!BL359</f>
        <v>0</v>
      </c>
      <c r="AG359" s="1">
        <f>'[1]Forward Ranks'!BQ359</f>
        <v>0.78820960698689957</v>
      </c>
      <c r="AH359" s="1">
        <f>'[1]Forward Ranks'!BR359</f>
        <v>0.84279475982532748</v>
      </c>
      <c r="AI359" s="1">
        <f>'[1]Forward Ranks'!BS359</f>
        <v>0.92576419213973804</v>
      </c>
      <c r="AJ359" s="1">
        <f>'[1]Forward Ranks'!BT359</f>
        <v>0.67030567685589515</v>
      </c>
      <c r="AL359" s="2">
        <f>'[1]Forward Ranks'!BX359</f>
        <v>0.62227074235807855</v>
      </c>
      <c r="AN359" t="str">
        <f>'[1]Forward Ranks'!B359</f>
        <v>L.A</v>
      </c>
      <c r="AO359">
        <f>'[1]F on ice'!E359</f>
        <v>53</v>
      </c>
      <c r="AP359" s="2">
        <f>'[1]Impact Score Math'!E359</f>
        <v>0.66332665330661322</v>
      </c>
      <c r="AQ359">
        <f>'[1]Impact Score Math'!G359</f>
        <v>169</v>
      </c>
      <c r="AT359" s="1">
        <f>'[1]Forward Ranks'!CJ359</f>
        <v>0.15938864628820962</v>
      </c>
      <c r="AU359" s="1">
        <f>'[1]Forward Ranks'!CK359</f>
        <v>0.53056768558951961</v>
      </c>
    </row>
    <row r="360" spans="1:47" x14ac:dyDescent="0.3">
      <c r="A360" t="str">
        <f>'[1]Forward Ranks'!A360</f>
        <v>Radek Faksa</v>
      </c>
      <c r="B360">
        <f>'[1]Forward Ranks'!D360</f>
        <v>0</v>
      </c>
      <c r="C360" s="1">
        <f>'[1]Forward Ranks'!I360</f>
        <v>0.29039301310043669</v>
      </c>
      <c r="D360" s="1">
        <f>'[1]Forward Ranks'!J360</f>
        <v>0.28820960698689957</v>
      </c>
      <c r="E360" s="1">
        <f>'[1]Forward Ranks'!K360</f>
        <v>0.11353711790393013</v>
      </c>
      <c r="F360" s="1">
        <f>'[1]Forward Ranks'!L360</f>
        <v>0.21179039301310043</v>
      </c>
      <c r="G360">
        <f>'[1]Forward Ranks'!N360</f>
        <v>0</v>
      </c>
      <c r="H360" s="1">
        <f>'[1]Forward Ranks'!S360</f>
        <v>0.46724890829694321</v>
      </c>
      <c r="I360" s="1">
        <f>'[1]Forward Ranks'!T360</f>
        <v>0.13100436681222707</v>
      </c>
      <c r="J360" s="1">
        <f>'[1]Forward Ranks'!U360</f>
        <v>0.19868995633187772</v>
      </c>
      <c r="K360" s="1">
        <f>'[1]Forward Ranks'!V360</f>
        <v>0.17248908296943233</v>
      </c>
      <c r="L360">
        <f>'[1]Forward Ranks'!X360</f>
        <v>0</v>
      </c>
      <c r="M360" s="1">
        <f>'[1]Forward Ranks'!AC360</f>
        <v>0.94323144104803491</v>
      </c>
      <c r="N360" s="1">
        <f>'[1]Forward Ranks'!AD360</f>
        <v>0.95851528384279472</v>
      </c>
      <c r="O360" s="1">
        <f>'[1]Forward Ranks'!AE360</f>
        <v>0.96506550218340614</v>
      </c>
      <c r="P360" s="1">
        <f>'[1]Forward Ranks'!AF360</f>
        <v>0.97816593886462877</v>
      </c>
      <c r="Q360">
        <f>'[1]Forward Ranks'!AH360</f>
        <v>0</v>
      </c>
      <c r="R360" s="1">
        <f>'[1]Forward Ranks'!AM360</f>
        <v>0.14628820960698691</v>
      </c>
      <c r="S360" s="1">
        <f>'[1]Forward Ranks'!AN360</f>
        <v>0.1222707423580786</v>
      </c>
      <c r="T360" s="1">
        <f>'[1]Forward Ranks'!AO360</f>
        <v>5.6768558951965066E-2</v>
      </c>
      <c r="U360" s="1">
        <f>'[1]Forward Ranks'!AP360</f>
        <v>0.11353711790393013</v>
      </c>
      <c r="V360">
        <f>'[1]Forward Ranks'!AR360</f>
        <v>0</v>
      </c>
      <c r="W360" s="1">
        <f>'[1]Forward Ranks'!AW360</f>
        <v>0.96506550218340614</v>
      </c>
      <c r="X360" s="1">
        <f>'[1]Forward Ranks'!AX360</f>
        <v>0.86681222707423577</v>
      </c>
      <c r="Y360" s="1">
        <f>'[1]Forward Ranks'!AY360</f>
        <v>0.93886462882096067</v>
      </c>
      <c r="Z360" s="1">
        <f>'[1]Forward Ranks'!AZ360</f>
        <v>0.94759825327510916</v>
      </c>
      <c r="AA360">
        <f>'[1]Forward Ranks'!BB360</f>
        <v>0</v>
      </c>
      <c r="AB360" s="1">
        <f>'[1]Forward Ranks'!BG360</f>
        <v>0.34716157205240172</v>
      </c>
      <c r="AC360" s="1">
        <f>'[1]Forward Ranks'!BH360</f>
        <v>0.12445414847161572</v>
      </c>
      <c r="AD360" s="1">
        <f>'[1]Forward Ranks'!BI360</f>
        <v>0.11790393013100436</v>
      </c>
      <c r="AE360" s="1">
        <f>'[1]Forward Ranks'!BJ360</f>
        <v>0.60698689956331875</v>
      </c>
      <c r="AF360">
        <f>'[1]Forward Ranks'!BL360</f>
        <v>0</v>
      </c>
      <c r="AG360" s="1">
        <f>'[1]Forward Ranks'!BQ360</f>
        <v>0.64628820960698685</v>
      </c>
      <c r="AH360" s="1">
        <f>'[1]Forward Ranks'!BR360</f>
        <v>0.66812227074235808</v>
      </c>
      <c r="AI360" s="1">
        <f>'[1]Forward Ranks'!BS360</f>
        <v>0.62882096069868998</v>
      </c>
      <c r="AJ360" s="1">
        <f>'[1]Forward Ranks'!BT360</f>
        <v>0.68558951965065507</v>
      </c>
      <c r="AL360" s="2">
        <f>'[1]Forward Ranks'!BX360</f>
        <v>0.53056768558951961</v>
      </c>
      <c r="AN360" t="str">
        <f>'[1]Forward Ranks'!B360</f>
        <v>DAL</v>
      </c>
      <c r="AO360">
        <f>'[1]F on ice'!E360</f>
        <v>81</v>
      </c>
      <c r="AP360" s="2">
        <f>'[1]Impact Score Math'!E360</f>
        <v>0.51903807615230457</v>
      </c>
      <c r="AQ360">
        <f>'[1]Impact Score Math'!G360</f>
        <v>241</v>
      </c>
      <c r="AT360" s="1">
        <f>'[1]Forward Ranks'!CJ360</f>
        <v>0.2205240174672489</v>
      </c>
      <c r="AU360" s="1">
        <f>'[1]Forward Ranks'!CK360</f>
        <v>0.29039301310043669</v>
      </c>
    </row>
    <row r="361" spans="1:47" x14ac:dyDescent="0.3">
      <c r="A361" t="str">
        <f>'[1]Forward Ranks'!A361</f>
        <v>Rafael Harvey-Pinard</v>
      </c>
      <c r="B361">
        <f>'[1]Forward Ranks'!D361</f>
        <v>0</v>
      </c>
      <c r="C361" s="1">
        <f>'[1]Forward Ranks'!I361</f>
        <v>0.12008733624454149</v>
      </c>
      <c r="D361" s="1">
        <f>'[1]Forward Ranks'!J361</f>
        <v>0.40829694323144106</v>
      </c>
      <c r="E361" s="1">
        <f>'[1]Forward Ranks'!K361</f>
        <v>0.94541484716157209</v>
      </c>
      <c r="F361" s="1">
        <f>'[1]Forward Ranks'!L361</f>
        <v>0.49344978165938863</v>
      </c>
      <c r="G361">
        <f>'[1]Forward Ranks'!N361</f>
        <v>0</v>
      </c>
      <c r="H361" s="1">
        <f>'[1]Forward Ranks'!S361</f>
        <v>0.83406113537117899</v>
      </c>
      <c r="I361" s="1">
        <f>'[1]Forward Ranks'!T361</f>
        <v>0.22707423580786026</v>
      </c>
      <c r="J361" s="1">
        <f>'[1]Forward Ranks'!U361</f>
        <v>0.29475982532751094</v>
      </c>
      <c r="K361" s="1">
        <f>'[1]Forward Ranks'!V361</f>
        <v>0.58078602620087338</v>
      </c>
      <c r="L361">
        <f>'[1]Forward Ranks'!X361</f>
        <v>0</v>
      </c>
      <c r="M361" s="1">
        <f>'[1]Forward Ranks'!AC361</f>
        <v>0.28384279475982532</v>
      </c>
      <c r="N361" s="1">
        <f>'[1]Forward Ranks'!AD361</f>
        <v>0.25327510917030566</v>
      </c>
      <c r="O361" s="1">
        <f>'[1]Forward Ranks'!AE361</f>
        <v>0.20742358078602621</v>
      </c>
      <c r="P361" s="1">
        <f>'[1]Forward Ranks'!AF361</f>
        <v>0.27510917030567683</v>
      </c>
      <c r="Q361">
        <f>'[1]Forward Ranks'!AH361</f>
        <v>0</v>
      </c>
      <c r="R361" s="1">
        <f>'[1]Forward Ranks'!AM361</f>
        <v>0.51746724890829698</v>
      </c>
      <c r="S361" s="1">
        <f>'[1]Forward Ranks'!AN361</f>
        <v>0.82969432314410485</v>
      </c>
      <c r="T361" s="1">
        <f>'[1]Forward Ranks'!AO361</f>
        <v>0.91048034934497812</v>
      </c>
      <c r="U361" s="1">
        <f>'[1]Forward Ranks'!AP361</f>
        <v>0.84716157205240172</v>
      </c>
      <c r="V361">
        <f>'[1]Forward Ranks'!AR361</f>
        <v>0</v>
      </c>
      <c r="W361" s="1">
        <f>'[1]Forward Ranks'!AW361</f>
        <v>0.63318777292576423</v>
      </c>
      <c r="X361" s="1">
        <f>'[1]Forward Ranks'!AX361</f>
        <v>0.90174672489082974</v>
      </c>
      <c r="Y361" s="1">
        <f>'[1]Forward Ranks'!AY361</f>
        <v>0.49781659388646288</v>
      </c>
      <c r="Z361" s="1">
        <f>'[1]Forward Ranks'!AZ361</f>
        <v>0.82969432314410485</v>
      </c>
      <c r="AA361">
        <f>'[1]Forward Ranks'!BB361</f>
        <v>0</v>
      </c>
      <c r="AB361" s="1">
        <f>'[1]Forward Ranks'!BG361</f>
        <v>0.74017467248908297</v>
      </c>
      <c r="AC361" s="1">
        <f>'[1]Forward Ranks'!BH361</f>
        <v>0.4759825327510917</v>
      </c>
      <c r="AD361" s="1">
        <f>'[1]Forward Ranks'!BI361</f>
        <v>0.99563318777292575</v>
      </c>
      <c r="AE361" s="1">
        <f>'[1]Forward Ranks'!BJ361</f>
        <v>0.9606986899563319</v>
      </c>
      <c r="AF361">
        <f>'[1]Forward Ranks'!BL361</f>
        <v>0</v>
      </c>
      <c r="AG361" s="1">
        <f>'[1]Forward Ranks'!BQ361</f>
        <v>0.13537117903930132</v>
      </c>
      <c r="AH361" s="1">
        <f>'[1]Forward Ranks'!BR361</f>
        <v>0.29475982532751094</v>
      </c>
      <c r="AI361" s="1">
        <f>'[1]Forward Ranks'!BS361</f>
        <v>0.67248908296943233</v>
      </c>
      <c r="AJ361" s="1">
        <f>'[1]Forward Ranks'!BT361</f>
        <v>0.37336244541484714</v>
      </c>
      <c r="AL361" s="2">
        <f>'[1]Forward Ranks'!BX361</f>
        <v>0.45196506550218341</v>
      </c>
      <c r="AN361" t="str">
        <f>'[1]Forward Ranks'!B361</f>
        <v>MTL</v>
      </c>
      <c r="AO361">
        <f>'[1]F on ice'!E361</f>
        <v>34</v>
      </c>
      <c r="AP361" s="2">
        <f>'[1]Impact Score Math'!E361</f>
        <v>0.57515030060120242</v>
      </c>
      <c r="AQ361">
        <f>'[1]Impact Score Math'!G361</f>
        <v>213</v>
      </c>
      <c r="AT361" s="1">
        <f>'[1]Forward Ranks'!CJ361</f>
        <v>0.55458515283842791</v>
      </c>
      <c r="AU361" s="1">
        <f>'[1]Forward Ranks'!CK361</f>
        <v>0.71179039301310043</v>
      </c>
    </row>
    <row r="362" spans="1:47" x14ac:dyDescent="0.3">
      <c r="A362" t="str">
        <f>'[1]Forward Ranks'!A362</f>
        <v>Rasmus Asplund</v>
      </c>
      <c r="B362">
        <f>'[1]Forward Ranks'!D362</f>
        <v>0</v>
      </c>
      <c r="C362" s="1">
        <f>'[1]Forward Ranks'!I362</f>
        <v>0.23362445414847161</v>
      </c>
      <c r="D362" s="1">
        <f>'[1]Forward Ranks'!J362</f>
        <v>0.14192139737991266</v>
      </c>
      <c r="E362" s="1">
        <f>'[1]Forward Ranks'!K362</f>
        <v>0.17903930131004367</v>
      </c>
      <c r="F362" s="1">
        <f>'[1]Forward Ranks'!L362</f>
        <v>0.15283842794759825</v>
      </c>
      <c r="G362">
        <f>'[1]Forward Ranks'!N362</f>
        <v>0</v>
      </c>
      <c r="H362" s="1">
        <f>'[1]Forward Ranks'!S362</f>
        <v>2.1834061135371178E-2</v>
      </c>
      <c r="I362" s="1">
        <f>'[1]Forward Ranks'!T362</f>
        <v>0.22707423580786026</v>
      </c>
      <c r="J362" s="1">
        <f>'[1]Forward Ranks'!U362</f>
        <v>5.458515283842795E-2</v>
      </c>
      <c r="K362" s="1">
        <f>'[1]Forward Ranks'!V362</f>
        <v>5.0218340611353711E-2</v>
      </c>
      <c r="L362">
        <f>'[1]Forward Ranks'!X362</f>
        <v>0</v>
      </c>
      <c r="M362" s="1">
        <f>'[1]Forward Ranks'!AC362</f>
        <v>0.20087336244541484</v>
      </c>
      <c r="N362" s="1">
        <f>'[1]Forward Ranks'!AD362</f>
        <v>0.10043668122270742</v>
      </c>
      <c r="O362" s="1">
        <f>'[1]Forward Ranks'!AE362</f>
        <v>0.26419213973799127</v>
      </c>
      <c r="P362" s="1">
        <f>'[1]Forward Ranks'!AF362</f>
        <v>0.17903930131004367</v>
      </c>
      <c r="Q362">
        <f>'[1]Forward Ranks'!AH362</f>
        <v>0</v>
      </c>
      <c r="R362" s="1">
        <f>'[1]Forward Ranks'!AM362</f>
        <v>0.35152838427947597</v>
      </c>
      <c r="S362" s="1">
        <f>'[1]Forward Ranks'!AN362</f>
        <v>0.29694323144104806</v>
      </c>
      <c r="T362" s="1">
        <f>'[1]Forward Ranks'!AO362</f>
        <v>0.2183406113537118</v>
      </c>
      <c r="U362" s="1">
        <f>'[1]Forward Ranks'!AP362</f>
        <v>0.26200873362445415</v>
      </c>
      <c r="V362">
        <f>'[1]Forward Ranks'!AR362</f>
        <v>0</v>
      </c>
      <c r="W362" s="1">
        <f>'[1]Forward Ranks'!AW362</f>
        <v>0.27074235807860264</v>
      </c>
      <c r="X362" s="1">
        <f>'[1]Forward Ranks'!AX362</f>
        <v>8.296943231441048E-2</v>
      </c>
      <c r="Y362" s="1">
        <f>'[1]Forward Ranks'!AY362</f>
        <v>0.15283842794759825</v>
      </c>
      <c r="Z362" s="1">
        <f>'[1]Forward Ranks'!AZ362</f>
        <v>0.24890829694323144</v>
      </c>
      <c r="AA362">
        <f>'[1]Forward Ranks'!BB362</f>
        <v>0</v>
      </c>
      <c r="AB362" s="1">
        <f>'[1]Forward Ranks'!BG362</f>
        <v>0.12882096069868995</v>
      </c>
      <c r="AC362" s="1">
        <f>'[1]Forward Ranks'!BH362</f>
        <v>0.11572052401746726</v>
      </c>
      <c r="AD362" s="1">
        <f>'[1]Forward Ranks'!BI362</f>
        <v>0.18340611353711792</v>
      </c>
      <c r="AE362" s="1">
        <f>'[1]Forward Ranks'!BJ362</f>
        <v>0.18122270742358079</v>
      </c>
      <c r="AF362">
        <f>'[1]Forward Ranks'!BL362</f>
        <v>0</v>
      </c>
      <c r="AG362" s="1">
        <f>'[1]Forward Ranks'!BQ362</f>
        <v>0.17903930131004367</v>
      </c>
      <c r="AH362" s="1">
        <f>'[1]Forward Ranks'!BR362</f>
        <v>7.6419213973799124E-2</v>
      </c>
      <c r="AI362" s="1">
        <f>'[1]Forward Ranks'!BS362</f>
        <v>0.12445414847161572</v>
      </c>
      <c r="AJ362" s="1">
        <f>'[1]Forward Ranks'!BT362</f>
        <v>0.12663755458515283</v>
      </c>
      <c r="AL362" s="2">
        <f>'[1]Forward Ranks'!BX362</f>
        <v>3.7117903930131008E-2</v>
      </c>
      <c r="AN362" t="str">
        <f>'[1]Forward Ranks'!B362</f>
        <v>BUF, NSH</v>
      </c>
      <c r="AO362">
        <f>'[1]F on ice'!E362</f>
        <v>46</v>
      </c>
      <c r="AP362" s="2">
        <f>'[1]Impact Score Math'!E362</f>
        <v>0.11422845691382766</v>
      </c>
      <c r="AQ362">
        <f>'[1]Impact Score Math'!G362</f>
        <v>443</v>
      </c>
      <c r="AT362" s="1">
        <f>'[1]Forward Ranks'!CJ362</f>
        <v>0.89956331877729256</v>
      </c>
      <c r="AU362" s="1">
        <f>'[1]Forward Ranks'!CK362</f>
        <v>0.30349344978165937</v>
      </c>
    </row>
    <row r="363" spans="1:47" x14ac:dyDescent="0.3">
      <c r="A363" t="str">
        <f>'[1]Forward Ranks'!A363</f>
        <v>Rasmus Kupari</v>
      </c>
      <c r="B363">
        <f>'[1]Forward Ranks'!D363</f>
        <v>0</v>
      </c>
      <c r="C363" s="1">
        <f>'[1]Forward Ranks'!I363</f>
        <v>0.45633187772925765</v>
      </c>
      <c r="D363" s="1">
        <f>'[1]Forward Ranks'!J363</f>
        <v>0.72707423580786024</v>
      </c>
      <c r="E363" s="1">
        <f>'[1]Forward Ranks'!K363</f>
        <v>0.34934497816593885</v>
      </c>
      <c r="F363" s="1">
        <f>'[1]Forward Ranks'!L363</f>
        <v>0.46943231441048033</v>
      </c>
      <c r="G363">
        <f>'[1]Forward Ranks'!N363</f>
        <v>0</v>
      </c>
      <c r="H363" s="1">
        <f>'[1]Forward Ranks'!S363</f>
        <v>7.8602620087336247E-2</v>
      </c>
      <c r="I363" s="1">
        <f>'[1]Forward Ranks'!T363</f>
        <v>0.68122270742358082</v>
      </c>
      <c r="J363" s="1">
        <f>'[1]Forward Ranks'!U363</f>
        <v>0.70305676855895194</v>
      </c>
      <c r="K363" s="1">
        <f>'[1]Forward Ranks'!V363</f>
        <v>0.36244541484716158</v>
      </c>
      <c r="L363">
        <f>'[1]Forward Ranks'!X363</f>
        <v>0</v>
      </c>
      <c r="M363" s="1">
        <f>'[1]Forward Ranks'!AC363</f>
        <v>0.77947598253275108</v>
      </c>
      <c r="N363" s="1">
        <f>'[1]Forward Ranks'!AD363</f>
        <v>0.77074235807860259</v>
      </c>
      <c r="O363" s="1">
        <f>'[1]Forward Ranks'!AE363</f>
        <v>0.34716157205240172</v>
      </c>
      <c r="P363" s="1">
        <f>'[1]Forward Ranks'!AF363</f>
        <v>0.75109170305676853</v>
      </c>
      <c r="Q363">
        <f>'[1]Forward Ranks'!AH363</f>
        <v>0</v>
      </c>
      <c r="R363" s="1">
        <f>'[1]Forward Ranks'!AM363</f>
        <v>0.23580786026200873</v>
      </c>
      <c r="S363" s="1">
        <f>'[1]Forward Ranks'!AN363</f>
        <v>0.58515283842794763</v>
      </c>
      <c r="T363" s="1">
        <f>'[1]Forward Ranks'!AO363</f>
        <v>0.39519650655021832</v>
      </c>
      <c r="U363" s="1">
        <f>'[1]Forward Ranks'!AP363</f>
        <v>0.43231441048034935</v>
      </c>
      <c r="V363">
        <f>'[1]Forward Ranks'!AR363</f>
        <v>0</v>
      </c>
      <c r="W363" s="1">
        <f>'[1]Forward Ranks'!AW363</f>
        <v>0.2816593886462882</v>
      </c>
      <c r="X363" s="1">
        <f>'[1]Forward Ranks'!AX363</f>
        <v>0.37336244541484714</v>
      </c>
      <c r="Y363" s="1">
        <f>'[1]Forward Ranks'!AY363</f>
        <v>9.3886462882096067E-2</v>
      </c>
      <c r="Z363" s="1">
        <f>'[1]Forward Ranks'!AZ363</f>
        <v>0.36462882096069871</v>
      </c>
      <c r="AA363">
        <f>'[1]Forward Ranks'!BB363</f>
        <v>0</v>
      </c>
      <c r="AB363" s="1">
        <f>'[1]Forward Ranks'!BG363</f>
        <v>3.0567685589519649E-2</v>
      </c>
      <c r="AC363" s="1">
        <f>'[1]Forward Ranks'!BH363</f>
        <v>0.9606986899563319</v>
      </c>
      <c r="AD363" s="1">
        <f>'[1]Forward Ranks'!BI363</f>
        <v>0.37554585152838427</v>
      </c>
      <c r="AE363" s="1">
        <f>'[1]Forward Ranks'!BJ363</f>
        <v>0.13537117903930132</v>
      </c>
      <c r="AF363">
        <f>'[1]Forward Ranks'!BL363</f>
        <v>0</v>
      </c>
      <c r="AG363" s="1">
        <f>'[1]Forward Ranks'!BQ363</f>
        <v>0.61790393013100442</v>
      </c>
      <c r="AH363" s="1">
        <f>'[1]Forward Ranks'!BR363</f>
        <v>0.79039301310043664</v>
      </c>
      <c r="AI363" s="1">
        <f>'[1]Forward Ranks'!BS363</f>
        <v>0.29039301310043669</v>
      </c>
      <c r="AJ363" s="1">
        <f>'[1]Forward Ranks'!BT363</f>
        <v>0.6506550218340611</v>
      </c>
      <c r="AL363" s="2">
        <f>'[1]Forward Ranks'!BX363</f>
        <v>0.44541484716157204</v>
      </c>
      <c r="AN363" t="str">
        <f>'[1]Forward Ranks'!B363</f>
        <v>L.A</v>
      </c>
      <c r="AO363">
        <f>'[1]F on ice'!E363</f>
        <v>66</v>
      </c>
      <c r="AP363" s="2">
        <f>'[1]Impact Score Math'!E363</f>
        <v>0.31863727454909818</v>
      </c>
      <c r="AQ363">
        <f>'[1]Impact Score Math'!G363</f>
        <v>341</v>
      </c>
      <c r="AT363" s="1">
        <f>'[1]Forward Ranks'!CJ363</f>
        <v>0.59170305676855894</v>
      </c>
      <c r="AU363" s="1">
        <f>'[1]Forward Ranks'!CK363</f>
        <v>0.46724890829694321</v>
      </c>
    </row>
    <row r="364" spans="1:47" x14ac:dyDescent="0.3">
      <c r="A364" t="str">
        <f>'[1]Forward Ranks'!A364</f>
        <v>Reese Johnson</v>
      </c>
      <c r="B364">
        <f>'[1]Forward Ranks'!D364</f>
        <v>0</v>
      </c>
      <c r="C364" s="1">
        <f>'[1]Forward Ranks'!I364</f>
        <v>1.0917030567685589E-2</v>
      </c>
      <c r="D364" s="1">
        <f>'[1]Forward Ranks'!J364</f>
        <v>4.3668122270742356E-3</v>
      </c>
      <c r="E364" s="1">
        <f>'[1]Forward Ranks'!K364</f>
        <v>5.8951965065502182E-2</v>
      </c>
      <c r="F364" s="1">
        <f>'[1]Forward Ranks'!L364</f>
        <v>6.5502183406113534E-3</v>
      </c>
      <c r="G364">
        <f>'[1]Forward Ranks'!N364</f>
        <v>0</v>
      </c>
      <c r="H364" s="1">
        <f>'[1]Forward Ranks'!S364</f>
        <v>0.1965065502183406</v>
      </c>
      <c r="I364" s="1">
        <f>'[1]Forward Ranks'!T364</f>
        <v>3.0567685589519649E-2</v>
      </c>
      <c r="J364" s="1">
        <f>'[1]Forward Ranks'!U364</f>
        <v>3.9301310043668124E-2</v>
      </c>
      <c r="K364" s="1">
        <f>'[1]Forward Ranks'!V364</f>
        <v>2.8384279475982533E-2</v>
      </c>
      <c r="L364">
        <f>'[1]Forward Ranks'!X364</f>
        <v>0</v>
      </c>
      <c r="M364" s="1">
        <f>'[1]Forward Ranks'!AC364</f>
        <v>0.20742358078602621</v>
      </c>
      <c r="N364" s="1">
        <f>'[1]Forward Ranks'!AD364</f>
        <v>0.28384279475982532</v>
      </c>
      <c r="O364" s="1">
        <f>'[1]Forward Ranks'!AE364</f>
        <v>0.13100436681222707</v>
      </c>
      <c r="P364" s="1">
        <f>'[1]Forward Ranks'!AF364</f>
        <v>0.4606986899563319</v>
      </c>
      <c r="Q364">
        <f>'[1]Forward Ranks'!AH364</f>
        <v>0</v>
      </c>
      <c r="R364" s="1">
        <f>'[1]Forward Ranks'!AM364</f>
        <v>0.12008733624454149</v>
      </c>
      <c r="S364" s="1">
        <f>'[1]Forward Ranks'!AN364</f>
        <v>3.7117903930131008E-2</v>
      </c>
      <c r="T364" s="1">
        <f>'[1]Forward Ranks'!AO364</f>
        <v>0.28820960698689957</v>
      </c>
      <c r="U364" s="1">
        <f>'[1]Forward Ranks'!AP364</f>
        <v>7.8602620087336247E-2</v>
      </c>
      <c r="V364">
        <f>'[1]Forward Ranks'!AR364</f>
        <v>0</v>
      </c>
      <c r="W364" s="1">
        <f>'[1]Forward Ranks'!AW364</f>
        <v>0.53711790393013104</v>
      </c>
      <c r="X364" s="1">
        <f>'[1]Forward Ranks'!AX364</f>
        <v>0.67903930131004364</v>
      </c>
      <c r="Y364" s="1">
        <f>'[1]Forward Ranks'!AY364</f>
        <v>0.51965065502183405</v>
      </c>
      <c r="Z364" s="1">
        <f>'[1]Forward Ranks'!AZ364</f>
        <v>0.8733624454148472</v>
      </c>
      <c r="AA364">
        <f>'[1]Forward Ranks'!BB364</f>
        <v>0</v>
      </c>
      <c r="AB364" s="1">
        <f>'[1]Forward Ranks'!BG364</f>
        <v>0.12445414847161572</v>
      </c>
      <c r="AC364" s="1">
        <f>'[1]Forward Ranks'!BH364</f>
        <v>0.13537117903930132</v>
      </c>
      <c r="AD364" s="1">
        <f>'[1]Forward Ranks'!BI364</f>
        <v>0.20305676855895197</v>
      </c>
      <c r="AE364" s="1">
        <f>'[1]Forward Ranks'!BJ364</f>
        <v>9.606986899563319E-2</v>
      </c>
      <c r="AF364">
        <f>'[1]Forward Ranks'!BL364</f>
        <v>0</v>
      </c>
      <c r="AG364" s="1">
        <f>'[1]Forward Ranks'!BQ364</f>
        <v>2.4017467248908297E-2</v>
      </c>
      <c r="AH364" s="1">
        <f>'[1]Forward Ranks'!BR364</f>
        <v>2.1834061135371178E-3</v>
      </c>
      <c r="AI364" s="1">
        <f>'[1]Forward Ranks'!BS364</f>
        <v>3.7117903930131008E-2</v>
      </c>
      <c r="AJ364" s="1">
        <f>'[1]Forward Ranks'!BT364</f>
        <v>1.3100436681222707E-2</v>
      </c>
      <c r="AL364" s="2">
        <f>'[1]Forward Ranks'!BX364</f>
        <v>2.6200873362445413E-2</v>
      </c>
      <c r="AN364" t="str">
        <f>'[1]Forward Ranks'!B364</f>
        <v>CHI</v>
      </c>
      <c r="AO364">
        <f>'[1]F on ice'!E364</f>
        <v>57</v>
      </c>
      <c r="AP364" s="2">
        <f>'[1]Impact Score Math'!E364</f>
        <v>0.10420841683366733</v>
      </c>
      <c r="AQ364">
        <f>'[1]Impact Score Math'!G364</f>
        <v>448</v>
      </c>
      <c r="AT364" s="1">
        <f>'[1]Forward Ranks'!CJ364</f>
        <v>0.2205240174672489</v>
      </c>
      <c r="AU364" s="1">
        <f>'[1]Forward Ranks'!CK364</f>
        <v>0.58296943231441045</v>
      </c>
    </row>
    <row r="365" spans="1:47" x14ac:dyDescent="0.3">
      <c r="A365" t="str">
        <f>'[1]Forward Ranks'!A365</f>
        <v>Reilly Smith</v>
      </c>
      <c r="B365">
        <f>'[1]Forward Ranks'!D365</f>
        <v>0</v>
      </c>
      <c r="C365" s="1">
        <f>'[1]Forward Ranks'!I365</f>
        <v>0.74235807860262004</v>
      </c>
      <c r="D365" s="1">
        <f>'[1]Forward Ranks'!J365</f>
        <v>0.53493449781659386</v>
      </c>
      <c r="E365" s="1">
        <f>'[1]Forward Ranks'!K365</f>
        <v>0.69213973799126638</v>
      </c>
      <c r="F365" s="1">
        <f>'[1]Forward Ranks'!L365</f>
        <v>0.69868995633187769</v>
      </c>
      <c r="G365">
        <f>'[1]Forward Ranks'!N365</f>
        <v>0</v>
      </c>
      <c r="H365" s="1">
        <f>'[1]Forward Ranks'!S365</f>
        <v>0.51528384279475981</v>
      </c>
      <c r="I365" s="1">
        <f>'[1]Forward Ranks'!T365</f>
        <v>0.86681222707423577</v>
      </c>
      <c r="J365" s="1">
        <f>'[1]Forward Ranks'!U365</f>
        <v>0.84497816593886466</v>
      </c>
      <c r="K365" s="1">
        <f>'[1]Forward Ranks'!V365</f>
        <v>0.79039301310043664</v>
      </c>
      <c r="L365">
        <f>'[1]Forward Ranks'!X365</f>
        <v>0</v>
      </c>
      <c r="M365" s="1">
        <f>'[1]Forward Ranks'!AC365</f>
        <v>0.55895196506550215</v>
      </c>
      <c r="N365" s="1">
        <f>'[1]Forward Ranks'!AD365</f>
        <v>0.55676855895196509</v>
      </c>
      <c r="O365" s="1">
        <f>'[1]Forward Ranks'!AE365</f>
        <v>0.51965065502183405</v>
      </c>
      <c r="P365" s="1">
        <f>'[1]Forward Ranks'!AF365</f>
        <v>0.44104803493449779</v>
      </c>
      <c r="Q365">
        <f>'[1]Forward Ranks'!AH365</f>
        <v>0</v>
      </c>
      <c r="R365" s="1">
        <f>'[1]Forward Ranks'!AM365</f>
        <v>0.88209606986899558</v>
      </c>
      <c r="S365" s="1">
        <f>'[1]Forward Ranks'!AN365</f>
        <v>0.48253275109170307</v>
      </c>
      <c r="T365" s="1">
        <f>'[1]Forward Ranks'!AO365</f>
        <v>0.63318777292576423</v>
      </c>
      <c r="U365" s="1">
        <f>'[1]Forward Ranks'!AP365</f>
        <v>0.74454148471615722</v>
      </c>
      <c r="V365">
        <f>'[1]Forward Ranks'!AR365</f>
        <v>0</v>
      </c>
      <c r="W365" s="1">
        <f>'[1]Forward Ranks'!AW365</f>
        <v>0.63537117903930129</v>
      </c>
      <c r="X365" s="1">
        <f>'[1]Forward Ranks'!AX365</f>
        <v>0.21179039301310043</v>
      </c>
      <c r="Y365" s="1">
        <f>'[1]Forward Ranks'!AY365</f>
        <v>0.28602620087336245</v>
      </c>
      <c r="Z365" s="1">
        <f>'[1]Forward Ranks'!AZ365</f>
        <v>0.25545851528384278</v>
      </c>
      <c r="AA365">
        <f>'[1]Forward Ranks'!BB365</f>
        <v>0</v>
      </c>
      <c r="AB365" s="1">
        <f>'[1]Forward Ranks'!BG365</f>
        <v>0.60480349344978168</v>
      </c>
      <c r="AC365" s="1">
        <f>'[1]Forward Ranks'!BH365</f>
        <v>0.38427947598253276</v>
      </c>
      <c r="AD365" s="1">
        <f>'[1]Forward Ranks'!BI365</f>
        <v>0.59606986899563319</v>
      </c>
      <c r="AE365" s="1">
        <f>'[1]Forward Ranks'!BJ365</f>
        <v>0.50436681222707425</v>
      </c>
      <c r="AF365">
        <f>'[1]Forward Ranks'!BL365</f>
        <v>0</v>
      </c>
      <c r="AG365" s="1">
        <f>'[1]Forward Ranks'!BQ365</f>
        <v>0.70742358078602618</v>
      </c>
      <c r="AH365" s="1">
        <f>'[1]Forward Ranks'!BR365</f>
        <v>0.51746724890829698</v>
      </c>
      <c r="AI365" s="1">
        <f>'[1]Forward Ranks'!BS365</f>
        <v>0.64847161572052403</v>
      </c>
      <c r="AJ365" s="1">
        <f>'[1]Forward Ranks'!BT365</f>
        <v>0.61790393013100442</v>
      </c>
      <c r="AL365" s="2">
        <f>'[1]Forward Ranks'!BX365</f>
        <v>0.77510917030567683</v>
      </c>
      <c r="AN365" t="str">
        <f>'[1]Forward Ranks'!B365</f>
        <v>VGK</v>
      </c>
      <c r="AO365">
        <f>'[1]F on ice'!E365</f>
        <v>78</v>
      </c>
      <c r="AP365" s="2">
        <f>'[1]Impact Score Math'!E365</f>
        <v>0.77955911823647295</v>
      </c>
      <c r="AQ365">
        <f>'[1]Impact Score Math'!G365</f>
        <v>111</v>
      </c>
      <c r="AT365" s="1">
        <f>'[1]Forward Ranks'!CJ365</f>
        <v>0.80786026200873362</v>
      </c>
      <c r="AU365" s="1">
        <f>'[1]Forward Ranks'!CK365</f>
        <v>0.16812227074235808</v>
      </c>
    </row>
    <row r="366" spans="1:47" x14ac:dyDescent="0.3">
      <c r="A366" t="str">
        <f>'[1]Forward Ranks'!A366</f>
        <v>Rem Pitlick</v>
      </c>
      <c r="B366">
        <f>'[1]Forward Ranks'!D366</f>
        <v>0</v>
      </c>
      <c r="C366" s="1">
        <f>'[1]Forward Ranks'!I366</f>
        <v>3.4934497816593885E-2</v>
      </c>
      <c r="D366" s="1">
        <f>'[1]Forward Ranks'!J366</f>
        <v>6.3318777292576414E-2</v>
      </c>
      <c r="E366" s="1">
        <f>'[1]Forward Ranks'!K366</f>
        <v>8.5152838427947602E-2</v>
      </c>
      <c r="F366" s="1">
        <f>'[1]Forward Ranks'!L366</f>
        <v>7.6419213973799124E-2</v>
      </c>
      <c r="G366">
        <f>'[1]Forward Ranks'!N366</f>
        <v>0</v>
      </c>
      <c r="H366" s="1">
        <f>'[1]Forward Ranks'!S366</f>
        <v>0.10480349344978165</v>
      </c>
      <c r="I366" s="1">
        <f>'[1]Forward Ranks'!T366</f>
        <v>0.5</v>
      </c>
      <c r="J366" s="1">
        <f>'[1]Forward Ranks'!U366</f>
        <v>0.68995633187772931</v>
      </c>
      <c r="K366" s="1">
        <f>'[1]Forward Ranks'!V366</f>
        <v>0.25327510917030566</v>
      </c>
      <c r="L366">
        <f>'[1]Forward Ranks'!X366</f>
        <v>0</v>
      </c>
      <c r="M366" s="1">
        <f>'[1]Forward Ranks'!AC366</f>
        <v>1.5283842794759825E-2</v>
      </c>
      <c r="N366" s="1">
        <f>'[1]Forward Ranks'!AD366</f>
        <v>8.7336244541484712E-3</v>
      </c>
      <c r="O366" s="1">
        <f>'[1]Forward Ranks'!AE366</f>
        <v>0.12445414847161572</v>
      </c>
      <c r="P366" s="1">
        <f>'[1]Forward Ranks'!AF366</f>
        <v>8.7336244541484712E-3</v>
      </c>
      <c r="Q366">
        <f>'[1]Forward Ranks'!AH366</f>
        <v>0</v>
      </c>
      <c r="R366" s="1">
        <f>'[1]Forward Ranks'!AM366</f>
        <v>0.20960698689956331</v>
      </c>
      <c r="S366" s="1">
        <f>'[1]Forward Ranks'!AN366</f>
        <v>0.25109170305676853</v>
      </c>
      <c r="T366" s="1">
        <f>'[1]Forward Ranks'!AO366</f>
        <v>7.4235807860262015E-2</v>
      </c>
      <c r="U366" s="1">
        <f>'[1]Forward Ranks'!AP366</f>
        <v>0.24454148471615719</v>
      </c>
      <c r="V366">
        <f>'[1]Forward Ranks'!AR366</f>
        <v>0</v>
      </c>
      <c r="W366" s="1">
        <f>'[1]Forward Ranks'!AW366</f>
        <v>6.5502183406113534E-3</v>
      </c>
      <c r="X366" s="1">
        <f>'[1]Forward Ranks'!AX366</f>
        <v>1.9650655021834062E-2</v>
      </c>
      <c r="Y366" s="1">
        <f>'[1]Forward Ranks'!AY366</f>
        <v>0.42794759825327511</v>
      </c>
      <c r="Z366" s="1">
        <f>'[1]Forward Ranks'!AZ366</f>
        <v>8.7336244541484712E-3</v>
      </c>
      <c r="AA366">
        <f>'[1]Forward Ranks'!BB366</f>
        <v>0</v>
      </c>
      <c r="AB366" s="1">
        <f>'[1]Forward Ranks'!BG366</f>
        <v>0.32532751091703055</v>
      </c>
      <c r="AC366" s="1">
        <f>'[1]Forward Ranks'!BH366</f>
        <v>0.35371179039301309</v>
      </c>
      <c r="AD366" s="1">
        <f>'[1]Forward Ranks'!BI366</f>
        <v>0.20305676855895197</v>
      </c>
      <c r="AE366" s="1">
        <f>'[1]Forward Ranks'!BJ366</f>
        <v>0.15938864628820962</v>
      </c>
      <c r="AF366">
        <f>'[1]Forward Ranks'!BL366</f>
        <v>0</v>
      </c>
      <c r="AG366" s="1">
        <f>'[1]Forward Ranks'!BQ366</f>
        <v>1.3100436681222707E-2</v>
      </c>
      <c r="AH366" s="1">
        <f>'[1]Forward Ranks'!BR366</f>
        <v>1.0917030567685589E-2</v>
      </c>
      <c r="AI366" s="1">
        <f>'[1]Forward Ranks'!BS366</f>
        <v>5.0218340611353711E-2</v>
      </c>
      <c r="AJ366" s="1">
        <f>'[1]Forward Ranks'!BT366</f>
        <v>8.7336244541484712E-3</v>
      </c>
      <c r="AL366" s="2">
        <f>'[1]Forward Ranks'!BX366</f>
        <v>1.7467248908296942E-2</v>
      </c>
      <c r="AN366" t="str">
        <f>'[1]Forward Ranks'!B366</f>
        <v>MTL</v>
      </c>
      <c r="AO366">
        <f>'[1]F on ice'!E366</f>
        <v>46</v>
      </c>
      <c r="AP366" s="2">
        <f>'[1]Impact Score Math'!E366</f>
        <v>9.8196392785571143E-2</v>
      </c>
      <c r="AQ366">
        <f>'[1]Impact Score Math'!G366</f>
        <v>451</v>
      </c>
      <c r="AT366" s="1">
        <f>'[1]Forward Ranks'!CJ366</f>
        <v>0.22925764192139739</v>
      </c>
      <c r="AU366" s="1">
        <f>'[1]Forward Ranks'!CK366</f>
        <v>0.68340611353711789</v>
      </c>
    </row>
    <row r="367" spans="1:47" x14ac:dyDescent="0.3">
      <c r="A367" t="str">
        <f>'[1]Forward Ranks'!A367</f>
        <v>Rickard Rakell</v>
      </c>
      <c r="B367">
        <f>'[1]Forward Ranks'!D367</f>
        <v>0</v>
      </c>
      <c r="C367" s="1">
        <f>'[1]Forward Ranks'!I367</f>
        <v>0.93013100436681218</v>
      </c>
      <c r="D367" s="1">
        <f>'[1]Forward Ranks'!J367</f>
        <v>0.95414847161572047</v>
      </c>
      <c r="E367" s="1">
        <f>'[1]Forward Ranks'!K367</f>
        <v>0.78602620087336239</v>
      </c>
      <c r="F367" s="1">
        <f>'[1]Forward Ranks'!L367</f>
        <v>0.94978165938864634</v>
      </c>
      <c r="G367">
        <f>'[1]Forward Ranks'!N367</f>
        <v>0</v>
      </c>
      <c r="H367" s="1">
        <f>'[1]Forward Ranks'!S367</f>
        <v>0.67685589519650657</v>
      </c>
      <c r="I367" s="1">
        <f>'[1]Forward Ranks'!T367</f>
        <v>0.53056768558951961</v>
      </c>
      <c r="J367" s="1">
        <f>'[1]Forward Ranks'!U367</f>
        <v>0.17685589519650655</v>
      </c>
      <c r="K367" s="1">
        <f>'[1]Forward Ranks'!V367</f>
        <v>0.59606986899563319</v>
      </c>
      <c r="L367">
        <f>'[1]Forward Ranks'!X367</f>
        <v>0</v>
      </c>
      <c r="M367" s="1">
        <f>'[1]Forward Ranks'!AC367</f>
        <v>0.2183406113537118</v>
      </c>
      <c r="N367" s="1">
        <f>'[1]Forward Ranks'!AD367</f>
        <v>0.28384279475982532</v>
      </c>
      <c r="O367" s="1">
        <f>'[1]Forward Ranks'!AE367</f>
        <v>0.3930131004366812</v>
      </c>
      <c r="P367" s="1">
        <f>'[1]Forward Ranks'!AF367</f>
        <v>0.29694323144104806</v>
      </c>
      <c r="Q367">
        <f>'[1]Forward Ranks'!AH367</f>
        <v>0</v>
      </c>
      <c r="R367" s="1">
        <f>'[1]Forward Ranks'!AM367</f>
        <v>0.84497816593886466</v>
      </c>
      <c r="S367" s="1">
        <f>'[1]Forward Ranks'!AN367</f>
        <v>0.90829694323144106</v>
      </c>
      <c r="T367" s="1">
        <f>'[1]Forward Ranks'!AO367</f>
        <v>0.81877729257641918</v>
      </c>
      <c r="U367" s="1">
        <f>'[1]Forward Ranks'!AP367</f>
        <v>0.88646288209606983</v>
      </c>
      <c r="V367">
        <f>'[1]Forward Ranks'!AR367</f>
        <v>0</v>
      </c>
      <c r="W367" s="1">
        <f>'[1]Forward Ranks'!AW367</f>
        <v>0.18558951965065501</v>
      </c>
      <c r="X367" s="1">
        <f>'[1]Forward Ranks'!AX367</f>
        <v>0.29912663755458513</v>
      </c>
      <c r="Y367" s="1">
        <f>'[1]Forward Ranks'!AY367</f>
        <v>0.41484716157205243</v>
      </c>
      <c r="Z367" s="1">
        <f>'[1]Forward Ranks'!AZ367</f>
        <v>0.25545851528384278</v>
      </c>
      <c r="AA367">
        <f>'[1]Forward Ranks'!BB367</f>
        <v>0</v>
      </c>
      <c r="AB367" s="1">
        <f>'[1]Forward Ranks'!BG367</f>
        <v>0.93449781659388642</v>
      </c>
      <c r="AC367" s="1">
        <f>'[1]Forward Ranks'!BH367</f>
        <v>0.95851528384279472</v>
      </c>
      <c r="AD367" s="1">
        <f>'[1]Forward Ranks'!BI367</f>
        <v>0.62008733624454149</v>
      </c>
      <c r="AE367" s="1">
        <f>'[1]Forward Ranks'!BJ367</f>
        <v>0.64628820960698685</v>
      </c>
      <c r="AF367">
        <f>'[1]Forward Ranks'!BL367</f>
        <v>0</v>
      </c>
      <c r="AG367" s="1">
        <f>'[1]Forward Ranks'!BQ367</f>
        <v>0.75109170305676853</v>
      </c>
      <c r="AH367" s="1">
        <f>'[1]Forward Ranks'!BR367</f>
        <v>0.8493449781659389</v>
      </c>
      <c r="AI367" s="1">
        <f>'[1]Forward Ranks'!BS367</f>
        <v>0.6266375545851528</v>
      </c>
      <c r="AJ367" s="1">
        <f>'[1]Forward Ranks'!BT367</f>
        <v>0.85589519650655022</v>
      </c>
      <c r="AL367" s="2">
        <f>'[1]Forward Ranks'!BX367</f>
        <v>0.70742358078602618</v>
      </c>
      <c r="AN367" t="str">
        <f>'[1]Forward Ranks'!B367</f>
        <v>PIT</v>
      </c>
      <c r="AO367">
        <f>'[1]F on ice'!E367</f>
        <v>82</v>
      </c>
      <c r="AP367" s="2">
        <f>'[1]Impact Score Math'!E367</f>
        <v>0.85170340681362722</v>
      </c>
      <c r="AQ367">
        <f>'[1]Impact Score Math'!G367</f>
        <v>75</v>
      </c>
      <c r="AT367" s="1">
        <f>'[1]Forward Ranks'!CJ367</f>
        <v>0.94541484716157209</v>
      </c>
      <c r="AU367" s="1">
        <f>'[1]Forward Ranks'!CK367</f>
        <v>0.20742358078602621</v>
      </c>
    </row>
    <row r="368" spans="1:47" x14ac:dyDescent="0.3">
      <c r="A368" t="str">
        <f>'[1]Forward Ranks'!A368</f>
        <v>Ridly Greig</v>
      </c>
      <c r="B368">
        <f>'[1]Forward Ranks'!D368</f>
        <v>0</v>
      </c>
      <c r="C368" s="1">
        <f>'[1]Forward Ranks'!I368</f>
        <v>0.90611353711790388</v>
      </c>
      <c r="D368" s="1">
        <f>'[1]Forward Ranks'!J368</f>
        <v>0.95851528384279472</v>
      </c>
      <c r="E368" s="1">
        <f>'[1]Forward Ranks'!K368</f>
        <v>0.85371179039301315</v>
      </c>
      <c r="F368" s="1">
        <f>'[1]Forward Ranks'!L368</f>
        <v>0.8973799126637555</v>
      </c>
      <c r="G368">
        <f>'[1]Forward Ranks'!N368</f>
        <v>0</v>
      </c>
      <c r="H368" s="1">
        <f>'[1]Forward Ranks'!S368</f>
        <v>0.33187772925764192</v>
      </c>
      <c r="I368" s="1">
        <f>'[1]Forward Ranks'!T368</f>
        <v>0.6266375545851528</v>
      </c>
      <c r="J368" s="1">
        <f>'[1]Forward Ranks'!U368</f>
        <v>0.79912663755458513</v>
      </c>
      <c r="K368" s="1">
        <f>'[1]Forward Ranks'!V368</f>
        <v>0.50218340611353707</v>
      </c>
      <c r="L368">
        <f>'[1]Forward Ranks'!X368</f>
        <v>0</v>
      </c>
      <c r="M368" s="1">
        <f>'[1]Forward Ranks'!AC368</f>
        <v>0.55021834061135366</v>
      </c>
      <c r="N368" s="1">
        <f>'[1]Forward Ranks'!AD368</f>
        <v>0.5393013100436681</v>
      </c>
      <c r="O368" s="1">
        <f>'[1]Forward Ranks'!AE368</f>
        <v>0.39956331877729256</v>
      </c>
      <c r="P368" s="1">
        <f>'[1]Forward Ranks'!AF368</f>
        <v>0.90393013100436681</v>
      </c>
      <c r="Q368">
        <f>'[1]Forward Ranks'!AH368</f>
        <v>0</v>
      </c>
      <c r="R368" s="1">
        <f>'[1]Forward Ranks'!AM368</f>
        <v>0.72270742358078599</v>
      </c>
      <c r="S368" s="1">
        <f>'[1]Forward Ranks'!AN368</f>
        <v>0.97816593886462877</v>
      </c>
      <c r="T368" s="1">
        <f>'[1]Forward Ranks'!AO368</f>
        <v>0.85807860262008728</v>
      </c>
      <c r="U368" s="1">
        <f>'[1]Forward Ranks'!AP368</f>
        <v>0.93449781659388642</v>
      </c>
      <c r="V368">
        <f>'[1]Forward Ranks'!AR368</f>
        <v>0</v>
      </c>
      <c r="W368" s="1">
        <f>'[1]Forward Ranks'!AW368</f>
        <v>0.85152838427947597</v>
      </c>
      <c r="X368" s="1">
        <f>'[1]Forward Ranks'!AX368</f>
        <v>0.48253275109170307</v>
      </c>
      <c r="Y368" s="1">
        <f>'[1]Forward Ranks'!AY368</f>
        <v>0.2816593886462882</v>
      </c>
      <c r="Z368" s="1">
        <f>'[1]Forward Ranks'!AZ368</f>
        <v>0.95633187772925765</v>
      </c>
      <c r="AA368">
        <f>'[1]Forward Ranks'!BB368</f>
        <v>0</v>
      </c>
      <c r="AB368" s="1">
        <f>'[1]Forward Ranks'!BG368</f>
        <v>0.31222707423580787</v>
      </c>
      <c r="AC368" s="1">
        <f>'[1]Forward Ranks'!BH368</f>
        <v>0.78602620087336239</v>
      </c>
      <c r="AD368" s="1">
        <f>'[1]Forward Ranks'!BI368</f>
        <v>0.69213973799126638</v>
      </c>
      <c r="AE368" s="1">
        <f>'[1]Forward Ranks'!BJ368</f>
        <v>0.56550218340611358</v>
      </c>
      <c r="AF368">
        <f>'[1]Forward Ranks'!BL368</f>
        <v>0</v>
      </c>
      <c r="AG368" s="1">
        <f>'[1]Forward Ranks'!BQ368</f>
        <v>0.86026200873362446</v>
      </c>
      <c r="AH368" s="1">
        <f>'[1]Forward Ranks'!BR368</f>
        <v>0.91484716157205237</v>
      </c>
      <c r="AI368" s="1">
        <f>'[1]Forward Ranks'!BS368</f>
        <v>0.69650655021834063</v>
      </c>
      <c r="AJ368" s="1">
        <f>'[1]Forward Ranks'!BT368</f>
        <v>0.96288209606986896</v>
      </c>
      <c r="AL368" s="2">
        <f>'[1]Forward Ranks'!BX368</f>
        <v>0.91484716157205237</v>
      </c>
      <c r="AN368" t="str">
        <f>'[1]Forward Ranks'!B368</f>
        <v>OTT</v>
      </c>
      <c r="AO368">
        <f>'[1]F on ice'!E368</f>
        <v>20</v>
      </c>
      <c r="AP368" s="2">
        <f>'[1]Impact Score Math'!E368</f>
        <v>0.79759519038076154</v>
      </c>
      <c r="AQ368">
        <f>'[1]Impact Score Math'!G368</f>
        <v>102</v>
      </c>
      <c r="AT368" s="1">
        <f>'[1]Forward Ranks'!CJ368</f>
        <v>0.10698689956331878</v>
      </c>
      <c r="AU368" s="1">
        <f>'[1]Forward Ranks'!CK368</f>
        <v>3.2751091703056769E-2</v>
      </c>
    </row>
    <row r="369" spans="1:47" x14ac:dyDescent="0.3">
      <c r="A369" t="str">
        <f>'[1]Forward Ranks'!A369</f>
        <v>Robby Fabbri</v>
      </c>
      <c r="B369">
        <f>'[1]Forward Ranks'!D369</f>
        <v>0</v>
      </c>
      <c r="C369" s="1">
        <f>'[1]Forward Ranks'!I369</f>
        <v>2.1834061135371178E-3</v>
      </c>
      <c r="D369" s="1">
        <f>'[1]Forward Ranks'!J369</f>
        <v>3.2751091703056769E-2</v>
      </c>
      <c r="E369" s="1">
        <f>'[1]Forward Ranks'!K369</f>
        <v>0.12882096069868995</v>
      </c>
      <c r="F369" s="1">
        <f>'[1]Forward Ranks'!L369</f>
        <v>2.1834061135371178E-2</v>
      </c>
      <c r="G369">
        <f>'[1]Forward Ranks'!N369</f>
        <v>0</v>
      </c>
      <c r="H369" s="1">
        <f>'[1]Forward Ranks'!S369</f>
        <v>9.8253275109170299E-2</v>
      </c>
      <c r="I369" s="1">
        <f>'[1]Forward Ranks'!T369</f>
        <v>0.11572052401746726</v>
      </c>
      <c r="J369" s="1">
        <f>'[1]Forward Ranks'!U369</f>
        <v>7.2052401746724892E-2</v>
      </c>
      <c r="K369" s="1">
        <f>'[1]Forward Ranks'!V369</f>
        <v>6.5502183406113537E-2</v>
      </c>
      <c r="L369">
        <f>'[1]Forward Ranks'!X369</f>
        <v>0</v>
      </c>
      <c r="M369" s="1">
        <f>'[1]Forward Ranks'!AC369</f>
        <v>8.0786026200873357E-2</v>
      </c>
      <c r="N369" s="1">
        <f>'[1]Forward Ranks'!AD369</f>
        <v>9.606986899563319E-2</v>
      </c>
      <c r="O369" s="1">
        <f>'[1]Forward Ranks'!AE369</f>
        <v>0.93449781659388642</v>
      </c>
      <c r="P369" s="1">
        <f>'[1]Forward Ranks'!AF369</f>
        <v>0.32532751091703055</v>
      </c>
      <c r="Q369">
        <f>'[1]Forward Ranks'!AH369</f>
        <v>0</v>
      </c>
      <c r="R369" s="1">
        <f>'[1]Forward Ranks'!AM369</f>
        <v>1.0917030567685589E-2</v>
      </c>
      <c r="S369" s="1">
        <f>'[1]Forward Ranks'!AN369</f>
        <v>0.13973799126637554</v>
      </c>
      <c r="T369" s="1">
        <f>'[1]Forward Ranks'!AO369</f>
        <v>0.22707423580786026</v>
      </c>
      <c r="U369" s="1">
        <f>'[1]Forward Ranks'!AP369</f>
        <v>0.10262008733624454</v>
      </c>
      <c r="V369">
        <f>'[1]Forward Ranks'!AR369</f>
        <v>0</v>
      </c>
      <c r="W369" s="1">
        <f>'[1]Forward Ranks'!AW369</f>
        <v>2.4017467248908297E-2</v>
      </c>
      <c r="X369" s="1">
        <f>'[1]Forward Ranks'!AX369</f>
        <v>3.7117903930131008E-2</v>
      </c>
      <c r="Y369" s="1">
        <f>'[1]Forward Ranks'!AY369</f>
        <v>0.96943231441048039</v>
      </c>
      <c r="Z369" s="1">
        <f>'[1]Forward Ranks'!AZ369</f>
        <v>9.8253275109170299E-2</v>
      </c>
      <c r="AA369">
        <f>'[1]Forward Ranks'!BB369</f>
        <v>0</v>
      </c>
      <c r="AB369" s="1">
        <f>'[1]Forward Ranks'!BG369</f>
        <v>0.57205240174672489</v>
      </c>
      <c r="AC369" s="1">
        <f>'[1]Forward Ranks'!BH369</f>
        <v>0.24017467248908297</v>
      </c>
      <c r="AD369" s="1">
        <f>'[1]Forward Ranks'!BI369</f>
        <v>0.58078602620087338</v>
      </c>
      <c r="AE369" s="1">
        <f>'[1]Forward Ranks'!BJ369</f>
        <v>0.91921397379912662</v>
      </c>
      <c r="AF369">
        <f>'[1]Forward Ranks'!BL369</f>
        <v>0</v>
      </c>
      <c r="AG369" s="1">
        <f>'[1]Forward Ranks'!BQ369</f>
        <v>6.5502183406113534E-3</v>
      </c>
      <c r="AH369" s="1">
        <f>'[1]Forward Ranks'!BR369</f>
        <v>2.8384279475982533E-2</v>
      </c>
      <c r="AI369" s="1">
        <f>'[1]Forward Ranks'!BS369</f>
        <v>0.48471615720524019</v>
      </c>
      <c r="AJ369" s="1">
        <f>'[1]Forward Ranks'!BT369</f>
        <v>3.0567685589519649E-2</v>
      </c>
      <c r="AL369" s="2">
        <f>'[1]Forward Ranks'!BX369</f>
        <v>6.5502183406113534E-3</v>
      </c>
      <c r="AN369" t="str">
        <f>'[1]Forward Ranks'!B369</f>
        <v>DET</v>
      </c>
      <c r="AO369">
        <f>'[1]F on ice'!E369</f>
        <v>28</v>
      </c>
      <c r="AP369" s="2">
        <f>'[1]Impact Score Math'!E369</f>
        <v>9.4188376753507011E-2</v>
      </c>
      <c r="AQ369">
        <f>'[1]Impact Score Math'!G369</f>
        <v>453</v>
      </c>
      <c r="AT369" s="1">
        <f>'[1]Forward Ranks'!CJ369</f>
        <v>0.27947598253275108</v>
      </c>
      <c r="AU369" s="1">
        <f>'[1]Forward Ranks'!CK369</f>
        <v>0.61353711790393017</v>
      </c>
    </row>
    <row r="370" spans="1:47" x14ac:dyDescent="0.3">
      <c r="A370" t="str">
        <f>'[1]Forward Ranks'!A370</f>
        <v>Robert Thomas</v>
      </c>
      <c r="B370">
        <f>'[1]Forward Ranks'!D370</f>
        <v>0</v>
      </c>
      <c r="C370" s="1">
        <f>'[1]Forward Ranks'!I370</f>
        <v>0.43013100436681223</v>
      </c>
      <c r="D370" s="1">
        <f>'[1]Forward Ranks'!J370</f>
        <v>0.15720524017467249</v>
      </c>
      <c r="E370" s="1">
        <f>'[1]Forward Ranks'!K370</f>
        <v>0.89519650655021832</v>
      </c>
      <c r="F370" s="1">
        <f>'[1]Forward Ranks'!L370</f>
        <v>0.38427947598253276</v>
      </c>
      <c r="G370">
        <f>'[1]Forward Ranks'!N370</f>
        <v>0</v>
      </c>
      <c r="H370" s="1">
        <f>'[1]Forward Ranks'!S370</f>
        <v>0.32096069868995636</v>
      </c>
      <c r="I370" s="1">
        <f>'[1]Forward Ranks'!T370</f>
        <v>0.92358078602620086</v>
      </c>
      <c r="J370" s="1">
        <f>'[1]Forward Ranks'!U370</f>
        <v>0.93013100436681218</v>
      </c>
      <c r="K370" s="1">
        <f>'[1]Forward Ranks'!V370</f>
        <v>0.78384279475982532</v>
      </c>
      <c r="L370">
        <f>'[1]Forward Ranks'!X370</f>
        <v>0</v>
      </c>
      <c r="M370" s="1">
        <f>'[1]Forward Ranks'!AC370</f>
        <v>0.19868995633187772</v>
      </c>
      <c r="N370" s="1">
        <f>'[1]Forward Ranks'!AD370</f>
        <v>0.23144104803493451</v>
      </c>
      <c r="O370" s="1">
        <f>'[1]Forward Ranks'!AE370</f>
        <v>0.18122270742358079</v>
      </c>
      <c r="P370" s="1">
        <f>'[1]Forward Ranks'!AF370</f>
        <v>7.2052401746724892E-2</v>
      </c>
      <c r="Q370">
        <f>'[1]Forward Ranks'!AH370</f>
        <v>0</v>
      </c>
      <c r="R370" s="1">
        <f>'[1]Forward Ranks'!AM370</f>
        <v>0.76200873362445409</v>
      </c>
      <c r="S370" s="1">
        <f>'[1]Forward Ranks'!AN370</f>
        <v>0.388646288209607</v>
      </c>
      <c r="T370" s="1">
        <f>'[1]Forward Ranks'!AO370</f>
        <v>0.92139737991266379</v>
      </c>
      <c r="U370" s="1">
        <f>'[1]Forward Ranks'!AP370</f>
        <v>0.66375545851528384</v>
      </c>
      <c r="V370">
        <f>'[1]Forward Ranks'!AR370</f>
        <v>0</v>
      </c>
      <c r="W370" s="1">
        <f>'[1]Forward Ranks'!AW370</f>
        <v>0.30786026200873362</v>
      </c>
      <c r="X370" s="1">
        <f>'[1]Forward Ranks'!AX370</f>
        <v>0.39519650655021832</v>
      </c>
      <c r="Y370" s="1">
        <f>'[1]Forward Ranks'!AY370</f>
        <v>0.21397379912663755</v>
      </c>
      <c r="Z370" s="1">
        <f>'[1]Forward Ranks'!AZ370</f>
        <v>9.8253275109170299E-2</v>
      </c>
      <c r="AA370">
        <f>'[1]Forward Ranks'!BB370</f>
        <v>0</v>
      </c>
      <c r="AB370" s="1">
        <f>'[1]Forward Ranks'!BG370</f>
        <v>0.88427947598253276</v>
      </c>
      <c r="AC370" s="1">
        <f>'[1]Forward Ranks'!BH370</f>
        <v>0.611353711790393</v>
      </c>
      <c r="AD370" s="1">
        <f>'[1]Forward Ranks'!BI370</f>
        <v>0.94978165938864634</v>
      </c>
      <c r="AE370" s="1">
        <f>'[1]Forward Ranks'!BJ370</f>
        <v>0.80349344978165937</v>
      </c>
      <c r="AF370">
        <f>'[1]Forward Ranks'!BL370</f>
        <v>0</v>
      </c>
      <c r="AG370" s="1">
        <f>'[1]Forward Ranks'!BQ370</f>
        <v>0.30786026200873362</v>
      </c>
      <c r="AH370" s="1">
        <f>'[1]Forward Ranks'!BR370</f>
        <v>0.13755458515283842</v>
      </c>
      <c r="AI370" s="1">
        <f>'[1]Forward Ranks'!BS370</f>
        <v>0.60043668122270744</v>
      </c>
      <c r="AJ370" s="1">
        <f>'[1]Forward Ranks'!BT370</f>
        <v>0.17467248908296942</v>
      </c>
      <c r="AL370" s="2">
        <f>'[1]Forward Ranks'!BX370</f>
        <v>0.36899563318777295</v>
      </c>
      <c r="AN370" t="str">
        <f>'[1]Forward Ranks'!B370</f>
        <v>STL</v>
      </c>
      <c r="AO370">
        <f>'[1]F on ice'!E370</f>
        <v>73</v>
      </c>
      <c r="AP370" s="2">
        <f>'[1]Impact Score Math'!E370</f>
        <v>0.53707414829659317</v>
      </c>
      <c r="AQ370">
        <f>'[1]Impact Score Math'!G370</f>
        <v>232</v>
      </c>
      <c r="AT370" s="1">
        <f>'[1]Forward Ranks'!CJ370</f>
        <v>0.68995633187772931</v>
      </c>
      <c r="AU370" s="1">
        <f>'[1]Forward Ranks'!CK370</f>
        <v>0.29039301310043669</v>
      </c>
    </row>
    <row r="371" spans="1:47" x14ac:dyDescent="0.3">
      <c r="A371" t="str">
        <f>'[1]Forward Ranks'!A371</f>
        <v>Roope Hintz</v>
      </c>
      <c r="B371">
        <f>'[1]Forward Ranks'!D371</f>
        <v>0</v>
      </c>
      <c r="C371" s="1">
        <f>'[1]Forward Ranks'!I371</f>
        <v>0.83842794759825323</v>
      </c>
      <c r="D371" s="1">
        <f>'[1]Forward Ranks'!J371</f>
        <v>0.9366812227074236</v>
      </c>
      <c r="E371" s="1">
        <f>'[1]Forward Ranks'!K371</f>
        <v>0.96506550218340614</v>
      </c>
      <c r="F371" s="1">
        <f>'[1]Forward Ranks'!L371</f>
        <v>0.90611353711790388</v>
      </c>
      <c r="G371">
        <f>'[1]Forward Ranks'!N371</f>
        <v>0</v>
      </c>
      <c r="H371" s="1">
        <f>'[1]Forward Ranks'!S371</f>
        <v>0.96506550218340614</v>
      </c>
      <c r="I371" s="1">
        <f>'[1]Forward Ranks'!T371</f>
        <v>0.87554585152838427</v>
      </c>
      <c r="J371" s="1">
        <f>'[1]Forward Ranks'!U371</f>
        <v>0.94323144104803491</v>
      </c>
      <c r="K371" s="1">
        <f>'[1]Forward Ranks'!V371</f>
        <v>0.96724890829694321</v>
      </c>
      <c r="L371">
        <f>'[1]Forward Ranks'!X371</f>
        <v>0</v>
      </c>
      <c r="M371" s="1">
        <f>'[1]Forward Ranks'!AC371</f>
        <v>0.70742358078602618</v>
      </c>
      <c r="N371" s="1">
        <f>'[1]Forward Ranks'!AD371</f>
        <v>0.84279475982532748</v>
      </c>
      <c r="O371" s="1">
        <f>'[1]Forward Ranks'!AE371</f>
        <v>0.79475982532751088</v>
      </c>
      <c r="P371" s="1">
        <f>'[1]Forward Ranks'!AF371</f>
        <v>0.69868995633187769</v>
      </c>
      <c r="Q371">
        <f>'[1]Forward Ranks'!AH371</f>
        <v>0</v>
      </c>
      <c r="R371" s="1">
        <f>'[1]Forward Ranks'!AM371</f>
        <v>0.91048034934497812</v>
      </c>
      <c r="S371" s="1">
        <f>'[1]Forward Ranks'!AN371</f>
        <v>0.99126637554585151</v>
      </c>
      <c r="T371" s="1">
        <f>'[1]Forward Ranks'!AO371</f>
        <v>0.98034934497816595</v>
      </c>
      <c r="U371" s="1">
        <f>'[1]Forward Ranks'!AP371</f>
        <v>0.96724890829694321</v>
      </c>
      <c r="V371">
        <f>'[1]Forward Ranks'!AR371</f>
        <v>0</v>
      </c>
      <c r="W371" s="1">
        <f>'[1]Forward Ranks'!AW371</f>
        <v>0.65502183406113534</v>
      </c>
      <c r="X371" s="1">
        <f>'[1]Forward Ranks'!AX371</f>
        <v>0.60043668122270744</v>
      </c>
      <c r="Y371" s="1">
        <f>'[1]Forward Ranks'!AY371</f>
        <v>0.69868995633187769</v>
      </c>
      <c r="Z371" s="1">
        <f>'[1]Forward Ranks'!AZ371</f>
        <v>0.46288209606986902</v>
      </c>
      <c r="AA371">
        <f>'[1]Forward Ranks'!BB371</f>
        <v>0</v>
      </c>
      <c r="AB371" s="1">
        <f>'[1]Forward Ranks'!BG371</f>
        <v>0.61353711790393017</v>
      </c>
      <c r="AC371" s="1">
        <f>'[1]Forward Ranks'!BH371</f>
        <v>0.78165938864628826</v>
      </c>
      <c r="AD371" s="1">
        <f>'[1]Forward Ranks'!BI371</f>
        <v>0.91484716157205237</v>
      </c>
      <c r="AE371" s="1">
        <f>'[1]Forward Ranks'!BJ371</f>
        <v>0.93449781659388642</v>
      </c>
      <c r="AF371">
        <f>'[1]Forward Ranks'!BL371</f>
        <v>0</v>
      </c>
      <c r="AG371" s="1">
        <f>'[1]Forward Ranks'!BQ371</f>
        <v>0.84497816593886466</v>
      </c>
      <c r="AH371" s="1">
        <f>'[1]Forward Ranks'!BR371</f>
        <v>0.95414847161572047</v>
      </c>
      <c r="AI371" s="1">
        <f>'[1]Forward Ranks'!BS371</f>
        <v>0.96943231441048039</v>
      </c>
      <c r="AJ371" s="1">
        <f>'[1]Forward Ranks'!BT371</f>
        <v>0.91921397379912662</v>
      </c>
      <c r="AL371" s="2">
        <f>'[1]Forward Ranks'!BX371</f>
        <v>0.9759825327510917</v>
      </c>
      <c r="AN371" t="str">
        <f>'[1]Forward Ranks'!B371</f>
        <v>DAL</v>
      </c>
      <c r="AO371">
        <f>'[1]F on ice'!E371</f>
        <v>73</v>
      </c>
      <c r="AP371" s="2">
        <f>'[1]Impact Score Math'!E371</f>
        <v>0.95991983967935868</v>
      </c>
      <c r="AQ371">
        <f>'[1]Impact Score Math'!G371</f>
        <v>21</v>
      </c>
      <c r="AT371" s="1">
        <f>'[1]Forward Ranks'!CJ371</f>
        <v>0.40393013100436681</v>
      </c>
      <c r="AU371" s="1">
        <f>'[1]Forward Ranks'!CK371</f>
        <v>0.52183406113537123</v>
      </c>
    </row>
    <row r="372" spans="1:47" x14ac:dyDescent="0.3">
      <c r="A372" t="str">
        <f>'[1]Forward Ranks'!A372</f>
        <v>Ross Colton</v>
      </c>
      <c r="B372">
        <f>'[1]Forward Ranks'!D372</f>
        <v>0</v>
      </c>
      <c r="C372" s="1">
        <f>'[1]Forward Ranks'!I372</f>
        <v>0.71834061135371174</v>
      </c>
      <c r="D372" s="1">
        <f>'[1]Forward Ranks'!J372</f>
        <v>0.75982532751091703</v>
      </c>
      <c r="E372" s="1">
        <f>'[1]Forward Ranks'!K372</f>
        <v>0.29475982532751094</v>
      </c>
      <c r="F372" s="1">
        <f>'[1]Forward Ranks'!L372</f>
        <v>0.61353711790393017</v>
      </c>
      <c r="G372">
        <f>'[1]Forward Ranks'!N372</f>
        <v>0</v>
      </c>
      <c r="H372" s="1">
        <f>'[1]Forward Ranks'!S372</f>
        <v>0.69213973799126638</v>
      </c>
      <c r="I372" s="1">
        <f>'[1]Forward Ranks'!T372</f>
        <v>0.30786026200873362</v>
      </c>
      <c r="J372" s="1">
        <f>'[1]Forward Ranks'!U372</f>
        <v>0.49563318777292575</v>
      </c>
      <c r="K372" s="1">
        <f>'[1]Forward Ranks'!V372</f>
        <v>0.46943231441048033</v>
      </c>
      <c r="L372">
        <f>'[1]Forward Ranks'!X372</f>
        <v>0</v>
      </c>
      <c r="M372" s="1">
        <f>'[1]Forward Ranks'!AC372</f>
        <v>0.57423580786026196</v>
      </c>
      <c r="N372" s="1">
        <f>'[1]Forward Ranks'!AD372</f>
        <v>0.73144104803493448</v>
      </c>
      <c r="O372" s="1">
        <f>'[1]Forward Ranks'!AE372</f>
        <v>0.47816593886462883</v>
      </c>
      <c r="P372" s="1">
        <f>'[1]Forward Ranks'!AF372</f>
        <v>0.51310043668122274</v>
      </c>
      <c r="Q372">
        <f>'[1]Forward Ranks'!AH372</f>
        <v>0</v>
      </c>
      <c r="R372" s="1">
        <f>'[1]Forward Ranks'!AM372</f>
        <v>0.63755458515283847</v>
      </c>
      <c r="S372" s="1">
        <f>'[1]Forward Ranks'!AN372</f>
        <v>0.34279475982532753</v>
      </c>
      <c r="T372" s="1">
        <f>'[1]Forward Ranks'!AO372</f>
        <v>0.2183406113537118</v>
      </c>
      <c r="U372" s="1">
        <f>'[1]Forward Ranks'!AP372</f>
        <v>0.34934497816593885</v>
      </c>
      <c r="V372">
        <f>'[1]Forward Ranks'!AR372</f>
        <v>0</v>
      </c>
      <c r="W372" s="1">
        <f>'[1]Forward Ranks'!AW372</f>
        <v>0.51091703056768556</v>
      </c>
      <c r="X372" s="1">
        <f>'[1]Forward Ranks'!AX372</f>
        <v>0.73362445414847166</v>
      </c>
      <c r="Y372" s="1">
        <f>'[1]Forward Ranks'!AY372</f>
        <v>0.39737991266375544</v>
      </c>
      <c r="Z372" s="1">
        <f>'[1]Forward Ranks'!AZ372</f>
        <v>0.53493449781659386</v>
      </c>
      <c r="AA372">
        <f>'[1]Forward Ranks'!BB372</f>
        <v>0</v>
      </c>
      <c r="AB372" s="1">
        <f>'[1]Forward Ranks'!BG372</f>
        <v>0.28384279475982532</v>
      </c>
      <c r="AC372" s="1">
        <f>'[1]Forward Ranks'!BH372</f>
        <v>0.45633187772925765</v>
      </c>
      <c r="AD372" s="1">
        <f>'[1]Forward Ranks'!BI372</f>
        <v>0.25327510917030566</v>
      </c>
      <c r="AE372" s="1">
        <f>'[1]Forward Ranks'!BJ372</f>
        <v>0.3056768558951965</v>
      </c>
      <c r="AF372">
        <f>'[1]Forward Ranks'!BL372</f>
        <v>0</v>
      </c>
      <c r="AG372" s="1">
        <f>'[1]Forward Ranks'!BQ372</f>
        <v>0.68122270742358082</v>
      </c>
      <c r="AH372" s="1">
        <f>'[1]Forward Ranks'!BR372</f>
        <v>0.79912663755458513</v>
      </c>
      <c r="AI372" s="1">
        <f>'[1]Forward Ranks'!BS372</f>
        <v>0.32096069868995636</v>
      </c>
      <c r="AJ372" s="1">
        <f>'[1]Forward Ranks'!BT372</f>
        <v>0.58951965065502188</v>
      </c>
      <c r="AL372" s="2">
        <f>'[1]Forward Ranks'!BX372</f>
        <v>0.60043668122270744</v>
      </c>
      <c r="AN372" t="str">
        <f>'[1]Forward Ranks'!B372</f>
        <v>T.B</v>
      </c>
      <c r="AO372">
        <f>'[1]F on ice'!E372</f>
        <v>81</v>
      </c>
      <c r="AP372" s="2">
        <f>'[1]Impact Score Math'!E372</f>
        <v>0.55711422845691383</v>
      </c>
      <c r="AQ372">
        <f>'[1]Impact Score Math'!G372</f>
        <v>222</v>
      </c>
      <c r="AT372" s="1">
        <f>'[1]Forward Ranks'!CJ372</f>
        <v>0.20305676855895197</v>
      </c>
      <c r="AU372" s="1">
        <f>'[1]Forward Ranks'!CK372</f>
        <v>0.77074235807860259</v>
      </c>
    </row>
    <row r="373" spans="1:47" x14ac:dyDescent="0.3">
      <c r="A373" t="str">
        <f>'[1]Forward Ranks'!A373</f>
        <v>Ryan Donato</v>
      </c>
      <c r="B373">
        <f>'[1]Forward Ranks'!D373</f>
        <v>0</v>
      </c>
      <c r="C373" s="1">
        <f>'[1]Forward Ranks'!I373</f>
        <v>0.58296943231441045</v>
      </c>
      <c r="D373" s="1">
        <f>'[1]Forward Ranks'!J373</f>
        <v>0.4126637554585153</v>
      </c>
      <c r="E373" s="1">
        <f>'[1]Forward Ranks'!K373</f>
        <v>0.88427947598253276</v>
      </c>
      <c r="F373" s="1">
        <f>'[1]Forward Ranks'!L373</f>
        <v>0.46943231441048033</v>
      </c>
      <c r="G373">
        <f>'[1]Forward Ranks'!N373</f>
        <v>0</v>
      </c>
      <c r="H373" s="1">
        <f>'[1]Forward Ranks'!S373</f>
        <v>0.86244541484716153</v>
      </c>
      <c r="I373" s="1">
        <f>'[1]Forward Ranks'!T373</f>
        <v>0.44978165938864628</v>
      </c>
      <c r="J373" s="1">
        <f>'[1]Forward Ranks'!U373</f>
        <v>0.61790393013100442</v>
      </c>
      <c r="K373" s="1">
        <f>'[1]Forward Ranks'!V373</f>
        <v>0.75109170305676853</v>
      </c>
      <c r="L373">
        <f>'[1]Forward Ranks'!X373</f>
        <v>0</v>
      </c>
      <c r="M373" s="1">
        <f>'[1]Forward Ranks'!AC373</f>
        <v>0.80567685589519655</v>
      </c>
      <c r="N373" s="1">
        <f>'[1]Forward Ranks'!AD373</f>
        <v>0.65283842794759828</v>
      </c>
      <c r="O373" s="1">
        <f>'[1]Forward Ranks'!AE373</f>
        <v>0.86462882096069871</v>
      </c>
      <c r="P373" s="1">
        <f>'[1]Forward Ranks'!AF373</f>
        <v>0.71179039301310043</v>
      </c>
      <c r="Q373">
        <f>'[1]Forward Ranks'!AH373</f>
        <v>0</v>
      </c>
      <c r="R373" s="1">
        <f>'[1]Forward Ranks'!AM373</f>
        <v>0.40393013100436681</v>
      </c>
      <c r="S373" s="1">
        <f>'[1]Forward Ranks'!AN373</f>
        <v>0.69868995633187769</v>
      </c>
      <c r="T373" s="1">
        <f>'[1]Forward Ranks'!AO373</f>
        <v>0.72270742358078599</v>
      </c>
      <c r="U373" s="1">
        <f>'[1]Forward Ranks'!AP373</f>
        <v>0.54148471615720528</v>
      </c>
      <c r="V373">
        <f>'[1]Forward Ranks'!AR373</f>
        <v>0</v>
      </c>
      <c r="W373" s="1">
        <f>'[1]Forward Ranks'!AW373</f>
        <v>0.37991266375545851</v>
      </c>
      <c r="X373" s="1">
        <f>'[1]Forward Ranks'!AX373</f>
        <v>0.42794759825327511</v>
      </c>
      <c r="Y373" s="1">
        <f>'[1]Forward Ranks'!AY373</f>
        <v>0.84061135371179041</v>
      </c>
      <c r="Z373" s="1">
        <f>'[1]Forward Ranks'!AZ373</f>
        <v>0.41921397379912662</v>
      </c>
      <c r="AA373">
        <f>'[1]Forward Ranks'!BB373</f>
        <v>0</v>
      </c>
      <c r="AB373" s="1">
        <f>'[1]Forward Ranks'!BG373</f>
        <v>0.22270742358078602</v>
      </c>
      <c r="AC373" s="1">
        <f>'[1]Forward Ranks'!BH373</f>
        <v>0.72925764192139741</v>
      </c>
      <c r="AD373" s="1">
        <f>'[1]Forward Ranks'!BI373</f>
        <v>0.93231441048034935</v>
      </c>
      <c r="AE373" s="1">
        <f>'[1]Forward Ranks'!BJ373</f>
        <v>0.96506550218340614</v>
      </c>
      <c r="AF373">
        <f>'[1]Forward Ranks'!BL373</f>
        <v>0</v>
      </c>
      <c r="AG373" s="1">
        <f>'[1]Forward Ranks'!BQ373</f>
        <v>0.71397379912663761</v>
      </c>
      <c r="AH373" s="1">
        <f>'[1]Forward Ranks'!BR373</f>
        <v>0.49126637554585151</v>
      </c>
      <c r="AI373" s="1">
        <f>'[1]Forward Ranks'!BS373</f>
        <v>0.95851528384279472</v>
      </c>
      <c r="AJ373" s="1">
        <f>'[1]Forward Ranks'!BT373</f>
        <v>0.62008733624454149</v>
      </c>
      <c r="AL373" s="2">
        <f>'[1]Forward Ranks'!BX373</f>
        <v>0.65283842794759828</v>
      </c>
      <c r="AN373" t="str">
        <f>'[1]Forward Ranks'!B373</f>
        <v>SEA</v>
      </c>
      <c r="AO373">
        <f>'[1]F on ice'!E373</f>
        <v>71</v>
      </c>
      <c r="AP373" s="2">
        <f>'[1]Impact Score Math'!E373</f>
        <v>0.57114228456913829</v>
      </c>
      <c r="AQ373">
        <f>'[1]Impact Score Math'!G373</f>
        <v>215</v>
      </c>
      <c r="AT373" s="1">
        <f>'[1]Forward Ranks'!CJ373</f>
        <v>0.17685589519650655</v>
      </c>
      <c r="AU373" s="1">
        <f>'[1]Forward Ranks'!CK373</f>
        <v>0.77074235807860259</v>
      </c>
    </row>
    <row r="374" spans="1:47" x14ac:dyDescent="0.3">
      <c r="A374" t="str">
        <f>'[1]Forward Ranks'!A374</f>
        <v>Ryan Hartman</v>
      </c>
      <c r="B374">
        <f>'[1]Forward Ranks'!D374</f>
        <v>0</v>
      </c>
      <c r="C374" s="1">
        <f>'[1]Forward Ranks'!I374</f>
        <v>0.91703056768558955</v>
      </c>
      <c r="D374" s="1">
        <f>'[1]Forward Ranks'!J374</f>
        <v>0.55240174672489084</v>
      </c>
      <c r="E374" s="1">
        <f>'[1]Forward Ranks'!K374</f>
        <v>0.56550218340611358</v>
      </c>
      <c r="F374" s="1">
        <f>'[1]Forward Ranks'!L374</f>
        <v>0.72925764192139741</v>
      </c>
      <c r="G374">
        <f>'[1]Forward Ranks'!N374</f>
        <v>0</v>
      </c>
      <c r="H374" s="1">
        <f>'[1]Forward Ranks'!S374</f>
        <v>0.70524017467248912</v>
      </c>
      <c r="I374" s="1">
        <f>'[1]Forward Ranks'!T374</f>
        <v>0.73580786026200873</v>
      </c>
      <c r="J374" s="1">
        <f>'[1]Forward Ranks'!U374</f>
        <v>0.75109170305676853</v>
      </c>
      <c r="K374" s="1">
        <f>'[1]Forward Ranks'!V374</f>
        <v>0.77510917030567683</v>
      </c>
      <c r="L374">
        <f>'[1]Forward Ranks'!X374</f>
        <v>0</v>
      </c>
      <c r="M374" s="1">
        <f>'[1]Forward Ranks'!AC374</f>
        <v>0.29475982532751094</v>
      </c>
      <c r="N374" s="1">
        <f>'[1]Forward Ranks'!AD374</f>
        <v>0.4759825327510917</v>
      </c>
      <c r="O374" s="1">
        <f>'[1]Forward Ranks'!AE374</f>
        <v>0.45851528384279477</v>
      </c>
      <c r="P374" s="1">
        <f>'[1]Forward Ranks'!AF374</f>
        <v>0.44104803493449779</v>
      </c>
      <c r="Q374">
        <f>'[1]Forward Ranks'!AH374</f>
        <v>0</v>
      </c>
      <c r="R374" s="1">
        <f>'[1]Forward Ranks'!AM374</f>
        <v>0.98689956331877726</v>
      </c>
      <c r="S374" s="1">
        <f>'[1]Forward Ranks'!AN374</f>
        <v>0.82096069868995636</v>
      </c>
      <c r="T374" s="1">
        <f>'[1]Forward Ranks'!AO374</f>
        <v>0.79912663755458513</v>
      </c>
      <c r="U374" s="1">
        <f>'[1]Forward Ranks'!AP374</f>
        <v>0.89519650655021832</v>
      </c>
      <c r="V374">
        <f>'[1]Forward Ranks'!AR374</f>
        <v>0</v>
      </c>
      <c r="W374" s="1">
        <f>'[1]Forward Ranks'!AW374</f>
        <v>0.3296943231441048</v>
      </c>
      <c r="X374" s="1">
        <f>'[1]Forward Ranks'!AX374</f>
        <v>0.21615720524017468</v>
      </c>
      <c r="Y374" s="1">
        <f>'[1]Forward Ranks'!AY374</f>
        <v>0.15938864628820962</v>
      </c>
      <c r="Z374" s="1">
        <f>'[1]Forward Ranks'!AZ374</f>
        <v>0.32532751091703055</v>
      </c>
      <c r="AA374">
        <f>'[1]Forward Ranks'!BB374</f>
        <v>0</v>
      </c>
      <c r="AB374" s="1">
        <f>'[1]Forward Ranks'!BG374</f>
        <v>0.78384279475982532</v>
      </c>
      <c r="AC374" s="1">
        <f>'[1]Forward Ranks'!BH374</f>
        <v>0.63100436681222705</v>
      </c>
      <c r="AD374" s="1">
        <f>'[1]Forward Ranks'!BI374</f>
        <v>0.34934497816593885</v>
      </c>
      <c r="AE374" s="1">
        <f>'[1]Forward Ranks'!BJ374</f>
        <v>0.42794759825327511</v>
      </c>
      <c r="AF374">
        <f>'[1]Forward Ranks'!BL374</f>
        <v>0</v>
      </c>
      <c r="AG374" s="1">
        <f>'[1]Forward Ranks'!BQ374</f>
        <v>0.78602620087336239</v>
      </c>
      <c r="AH374" s="1">
        <f>'[1]Forward Ranks'!BR374</f>
        <v>0.49781659388646288</v>
      </c>
      <c r="AI374" s="1">
        <f>'[1]Forward Ranks'!BS374</f>
        <v>0.54366812227074235</v>
      </c>
      <c r="AJ374" s="1">
        <f>'[1]Forward Ranks'!BT374</f>
        <v>0.6506550218340611</v>
      </c>
      <c r="AL374" s="2">
        <f>'[1]Forward Ranks'!BX374</f>
        <v>0.84061135371179041</v>
      </c>
      <c r="AN374" t="str">
        <f>'[1]Forward Ranks'!B374</f>
        <v>MIN</v>
      </c>
      <c r="AO374">
        <f>'[1]F on ice'!E374</f>
        <v>59</v>
      </c>
      <c r="AP374" s="2">
        <f>'[1]Impact Score Math'!E374</f>
        <v>0.88376753507014028</v>
      </c>
      <c r="AQ374">
        <f>'[1]Impact Score Math'!G374</f>
        <v>59</v>
      </c>
      <c r="AT374" s="1">
        <f>'[1]Forward Ranks'!CJ374</f>
        <v>3.0567685589519649E-2</v>
      </c>
      <c r="AU374" s="1">
        <f>'[1]Forward Ranks'!CK374</f>
        <v>0.95196506550218341</v>
      </c>
    </row>
    <row r="375" spans="1:47" x14ac:dyDescent="0.3">
      <c r="A375" t="str">
        <f>'[1]Forward Ranks'!A375</f>
        <v>Ryan Johansen</v>
      </c>
      <c r="B375">
        <f>'[1]Forward Ranks'!D375</f>
        <v>0</v>
      </c>
      <c r="C375" s="1">
        <f>'[1]Forward Ranks'!I375</f>
        <v>0.74672489082969429</v>
      </c>
      <c r="D375" s="1">
        <f>'[1]Forward Ranks'!J375</f>
        <v>0.63100436681222705</v>
      </c>
      <c r="E375" s="1">
        <f>'[1]Forward Ranks'!K375</f>
        <v>0.26419213973799127</v>
      </c>
      <c r="F375" s="1">
        <f>'[1]Forward Ranks'!L375</f>
        <v>0.70960698689956336</v>
      </c>
      <c r="G375">
        <f>'[1]Forward Ranks'!N375</f>
        <v>0</v>
      </c>
      <c r="H375" s="1">
        <f>'[1]Forward Ranks'!S375</f>
        <v>0.34934497816593885</v>
      </c>
      <c r="I375" s="1">
        <f>'[1]Forward Ranks'!T375</f>
        <v>0.42139737991266374</v>
      </c>
      <c r="J375" s="1">
        <f>'[1]Forward Ranks'!U375</f>
        <v>0.39519650655021832</v>
      </c>
      <c r="K375" s="1">
        <f>'[1]Forward Ranks'!V375</f>
        <v>0.35589519650655022</v>
      </c>
      <c r="L375">
        <f>'[1]Forward Ranks'!X375</f>
        <v>0</v>
      </c>
      <c r="M375" s="1">
        <f>'[1]Forward Ranks'!AC375</f>
        <v>0.28602620087336245</v>
      </c>
      <c r="N375" s="1">
        <f>'[1]Forward Ranks'!AD375</f>
        <v>0.29039301310043669</v>
      </c>
      <c r="O375" s="1">
        <f>'[1]Forward Ranks'!AE375</f>
        <v>0.41703056768558949</v>
      </c>
      <c r="P375" s="1">
        <f>'[1]Forward Ranks'!AF375</f>
        <v>0.29694323144104806</v>
      </c>
      <c r="Q375">
        <f>'[1]Forward Ranks'!AH375</f>
        <v>0</v>
      </c>
      <c r="R375" s="1">
        <f>'[1]Forward Ranks'!AM375</f>
        <v>0.73580786026200873</v>
      </c>
      <c r="S375" s="1">
        <f>'[1]Forward Ranks'!AN375</f>
        <v>0.49344978165938863</v>
      </c>
      <c r="T375" s="1">
        <f>'[1]Forward Ranks'!AO375</f>
        <v>0.34061135371179041</v>
      </c>
      <c r="U375" s="1">
        <f>'[1]Forward Ranks'!AP375</f>
        <v>0.5633187772925764</v>
      </c>
      <c r="V375">
        <f>'[1]Forward Ranks'!AR375</f>
        <v>0</v>
      </c>
      <c r="W375" s="1">
        <f>'[1]Forward Ranks'!AW375</f>
        <v>0.54148471615720528</v>
      </c>
      <c r="X375" s="1">
        <f>'[1]Forward Ranks'!AX375</f>
        <v>0.35807860262008734</v>
      </c>
      <c r="Y375" s="1">
        <f>'[1]Forward Ranks'!AY375</f>
        <v>0.21615720524017468</v>
      </c>
      <c r="Z375" s="1">
        <f>'[1]Forward Ranks'!AZ375</f>
        <v>0.55240174672489084</v>
      </c>
      <c r="AA375">
        <f>'[1]Forward Ranks'!BB375</f>
        <v>0</v>
      </c>
      <c r="AB375" s="1">
        <f>'[1]Forward Ranks'!BG375</f>
        <v>0.37117903930131002</v>
      </c>
      <c r="AC375" s="1">
        <f>'[1]Forward Ranks'!BH375</f>
        <v>0.27947598253275108</v>
      </c>
      <c r="AD375" s="1">
        <f>'[1]Forward Ranks'!BI375</f>
        <v>0.18777292576419213</v>
      </c>
      <c r="AE375" s="1">
        <f>'[1]Forward Ranks'!BJ375</f>
        <v>0.27510917030567683</v>
      </c>
      <c r="AF375">
        <f>'[1]Forward Ranks'!BL375</f>
        <v>0</v>
      </c>
      <c r="AG375" s="1">
        <f>'[1]Forward Ranks'!BQ375</f>
        <v>0.57641921397379914</v>
      </c>
      <c r="AH375" s="1">
        <f>'[1]Forward Ranks'!BR375</f>
        <v>0.46288209606986902</v>
      </c>
      <c r="AI375" s="1">
        <f>'[1]Forward Ranks'!BS375</f>
        <v>0.25982532751091703</v>
      </c>
      <c r="AJ375" s="1">
        <f>'[1]Forward Ranks'!BT375</f>
        <v>0.55021834061135366</v>
      </c>
      <c r="AL375" s="2">
        <f>'[1]Forward Ranks'!BX375</f>
        <v>0.51310043668122274</v>
      </c>
      <c r="AN375" t="str">
        <f>'[1]Forward Ranks'!B375</f>
        <v>NSH</v>
      </c>
      <c r="AO375">
        <f>'[1]F on ice'!E375</f>
        <v>55</v>
      </c>
      <c r="AP375" s="2">
        <f>'[1]Impact Score Math'!E375</f>
        <v>0.53306613226452904</v>
      </c>
      <c r="AQ375">
        <f>'[1]Impact Score Math'!G375</f>
        <v>234</v>
      </c>
      <c r="AT375" s="1">
        <f>'[1]Forward Ranks'!CJ375</f>
        <v>0.13537117903930132</v>
      </c>
      <c r="AU375" s="1">
        <f>'[1]Forward Ranks'!CK375</f>
        <v>0.22489082969432314</v>
      </c>
    </row>
    <row r="376" spans="1:47" x14ac:dyDescent="0.3">
      <c r="A376" t="str">
        <f>'[1]Forward Ranks'!A376</f>
        <v>Ryan Lomberg</v>
      </c>
      <c r="B376">
        <f>'[1]Forward Ranks'!D376</f>
        <v>0</v>
      </c>
      <c r="C376" s="1">
        <f>'[1]Forward Ranks'!I376</f>
        <v>0.9126637554585153</v>
      </c>
      <c r="D376" s="1">
        <f>'[1]Forward Ranks'!J376</f>
        <v>0.84497816593886466</v>
      </c>
      <c r="E376" s="1">
        <f>'[1]Forward Ranks'!K376</f>
        <v>0.51965065502183405</v>
      </c>
      <c r="F376" s="1">
        <f>'[1]Forward Ranks'!L376</f>
        <v>0.85589519650655022</v>
      </c>
      <c r="G376">
        <f>'[1]Forward Ranks'!N376</f>
        <v>0</v>
      </c>
      <c r="H376" s="1">
        <f>'[1]Forward Ranks'!S376</f>
        <v>0.70087336244541487</v>
      </c>
      <c r="I376" s="1">
        <f>'[1]Forward Ranks'!T376</f>
        <v>0.14410480349344978</v>
      </c>
      <c r="J376" s="1">
        <f>'[1]Forward Ranks'!U376</f>
        <v>0.21615720524017468</v>
      </c>
      <c r="K376" s="1">
        <f>'[1]Forward Ranks'!V376</f>
        <v>0.3056768558951965</v>
      </c>
      <c r="L376">
        <f>'[1]Forward Ranks'!X376</f>
        <v>0</v>
      </c>
      <c r="M376" s="1">
        <f>'[1]Forward Ranks'!AC376</f>
        <v>0.20087336244541484</v>
      </c>
      <c r="N376" s="1">
        <f>'[1]Forward Ranks'!AD376</f>
        <v>0.27292576419213976</v>
      </c>
      <c r="O376" s="1">
        <f>'[1]Forward Ranks'!AE376</f>
        <v>0.5</v>
      </c>
      <c r="P376" s="1">
        <f>'[1]Forward Ranks'!AF376</f>
        <v>0.21179039301310043</v>
      </c>
      <c r="Q376">
        <f>'[1]Forward Ranks'!AH376</f>
        <v>0</v>
      </c>
      <c r="R376" s="1">
        <f>'[1]Forward Ranks'!AM376</f>
        <v>0.59825327510917026</v>
      </c>
      <c r="S376" s="1">
        <f>'[1]Forward Ranks'!AN376</f>
        <v>0.43449781659388648</v>
      </c>
      <c r="T376" s="1">
        <f>'[1]Forward Ranks'!AO376</f>
        <v>0.26855895196506552</v>
      </c>
      <c r="U376" s="1">
        <f>'[1]Forward Ranks'!AP376</f>
        <v>0.43231441048034935</v>
      </c>
      <c r="V376">
        <f>'[1]Forward Ranks'!AR376</f>
        <v>0</v>
      </c>
      <c r="W376" s="1">
        <f>'[1]Forward Ranks'!AW376</f>
        <v>0.15720524017467249</v>
      </c>
      <c r="X376" s="1">
        <f>'[1]Forward Ranks'!AX376</f>
        <v>0.48034934497816595</v>
      </c>
      <c r="Y376" s="1">
        <f>'[1]Forward Ranks'!AY376</f>
        <v>0.48908296943231439</v>
      </c>
      <c r="Z376" s="1">
        <f>'[1]Forward Ranks'!AZ376</f>
        <v>0.20305676855895197</v>
      </c>
      <c r="AA376">
        <f>'[1]Forward Ranks'!BB376</f>
        <v>0</v>
      </c>
      <c r="AB376" s="1">
        <f>'[1]Forward Ranks'!BG376</f>
        <v>0.24672489082969432</v>
      </c>
      <c r="AC376" s="1">
        <f>'[1]Forward Ranks'!BH376</f>
        <v>0.59388646288209612</v>
      </c>
      <c r="AD376" s="1">
        <f>'[1]Forward Ranks'!BI376</f>
        <v>0.25109170305676853</v>
      </c>
      <c r="AE376" s="1">
        <f>'[1]Forward Ranks'!BJ376</f>
        <v>0.41484716157205243</v>
      </c>
      <c r="AF376">
        <f>'[1]Forward Ranks'!BL376</f>
        <v>0</v>
      </c>
      <c r="AG376" s="1">
        <f>'[1]Forward Ranks'!BQ376</f>
        <v>0.71834061135371174</v>
      </c>
      <c r="AH376" s="1">
        <f>'[1]Forward Ranks'!BR376</f>
        <v>0.69868995633187769</v>
      </c>
      <c r="AI376" s="1">
        <f>'[1]Forward Ranks'!BS376</f>
        <v>0.54148471615720528</v>
      </c>
      <c r="AJ376" s="1">
        <f>'[1]Forward Ranks'!BT376</f>
        <v>0.63973799126637554</v>
      </c>
      <c r="AL376" s="2">
        <f>'[1]Forward Ranks'!BX376</f>
        <v>0.41484716157205243</v>
      </c>
      <c r="AN376" t="str">
        <f>'[1]Forward Ranks'!B376</f>
        <v>FLA</v>
      </c>
      <c r="AO376">
        <f>'[1]F on ice'!E376</f>
        <v>82</v>
      </c>
      <c r="AP376" s="2">
        <f>'[1]Impact Score Math'!E376</f>
        <v>0.42885771543086171</v>
      </c>
      <c r="AQ376">
        <f>'[1]Impact Score Math'!G376</f>
        <v>286</v>
      </c>
      <c r="AT376" s="1">
        <f>'[1]Forward Ranks'!CJ376</f>
        <v>6.1135371179039298E-2</v>
      </c>
      <c r="AU376" s="1">
        <f>'[1]Forward Ranks'!CK376</f>
        <v>0.86462882096069871</v>
      </c>
    </row>
    <row r="377" spans="1:47" x14ac:dyDescent="0.3">
      <c r="A377" t="str">
        <f>'[1]Forward Ranks'!A377</f>
        <v>Ryan McLeod</v>
      </c>
      <c r="B377">
        <f>'[1]Forward Ranks'!D377</f>
        <v>0</v>
      </c>
      <c r="C377" s="1">
        <f>'[1]Forward Ranks'!I377</f>
        <v>0.60043668122270744</v>
      </c>
      <c r="D377" s="1">
        <f>'[1]Forward Ranks'!J377</f>
        <v>0.81222707423580787</v>
      </c>
      <c r="E377" s="1">
        <f>'[1]Forward Ranks'!K377</f>
        <v>0.48471615720524019</v>
      </c>
      <c r="F377" s="1">
        <f>'[1]Forward Ranks'!L377</f>
        <v>0.76855895196506552</v>
      </c>
      <c r="G377">
        <f>'[1]Forward Ranks'!N377</f>
        <v>0</v>
      </c>
      <c r="H377" s="1">
        <f>'[1]Forward Ranks'!S377</f>
        <v>0.70960698689956336</v>
      </c>
      <c r="I377" s="1">
        <f>'[1]Forward Ranks'!T377</f>
        <v>0.59170305676855894</v>
      </c>
      <c r="J377" s="1">
        <f>'[1]Forward Ranks'!U377</f>
        <v>0.72925764192139741</v>
      </c>
      <c r="K377" s="1">
        <f>'[1]Forward Ranks'!V377</f>
        <v>0.64410480349344978</v>
      </c>
      <c r="L377">
        <f>'[1]Forward Ranks'!X377</f>
        <v>0</v>
      </c>
      <c r="M377" s="1">
        <f>'[1]Forward Ranks'!AC377</f>
        <v>0.82314410480349343</v>
      </c>
      <c r="N377" s="1">
        <f>'[1]Forward Ranks'!AD377</f>
        <v>0.94759825327510916</v>
      </c>
      <c r="O377" s="1">
        <f>'[1]Forward Ranks'!AE377</f>
        <v>0.57205240174672489</v>
      </c>
      <c r="P377" s="1">
        <f>'[1]Forward Ranks'!AF377</f>
        <v>0.82751091703056767</v>
      </c>
      <c r="Q377">
        <f>'[1]Forward Ranks'!AH377</f>
        <v>0</v>
      </c>
      <c r="R377" s="1">
        <f>'[1]Forward Ranks'!AM377</f>
        <v>0.5</v>
      </c>
      <c r="S377" s="1">
        <f>'[1]Forward Ranks'!AN377</f>
        <v>0.55895196506550215</v>
      </c>
      <c r="T377" s="1">
        <f>'[1]Forward Ranks'!AO377</f>
        <v>0.29694323144104806</v>
      </c>
      <c r="U377" s="1">
        <f>'[1]Forward Ranks'!AP377</f>
        <v>0.44759825327510916</v>
      </c>
      <c r="V377">
        <f>'[1]Forward Ranks'!AR377</f>
        <v>0</v>
      </c>
      <c r="W377" s="1">
        <f>'[1]Forward Ranks'!AW377</f>
        <v>0.86681222707423577</v>
      </c>
      <c r="X377" s="1">
        <f>'[1]Forward Ranks'!AX377</f>
        <v>0.80349344978165937</v>
      </c>
      <c r="Y377" s="1">
        <f>'[1]Forward Ranks'!AY377</f>
        <v>0.68558951965065507</v>
      </c>
      <c r="Z377" s="1">
        <f>'[1]Forward Ranks'!AZ377</f>
        <v>0.82969432314410485</v>
      </c>
      <c r="AA377">
        <f>'[1]Forward Ranks'!BB377</f>
        <v>0</v>
      </c>
      <c r="AB377" s="1">
        <f>'[1]Forward Ranks'!BG377</f>
        <v>0.34497816593886466</v>
      </c>
      <c r="AC377" s="1">
        <f>'[1]Forward Ranks'!BH377</f>
        <v>0.57860262008733621</v>
      </c>
      <c r="AD377" s="1">
        <f>'[1]Forward Ranks'!BI377</f>
        <v>0.47161572052401746</v>
      </c>
      <c r="AE377" s="1">
        <f>'[1]Forward Ranks'!BJ377</f>
        <v>0.49126637554585151</v>
      </c>
      <c r="AF377">
        <f>'[1]Forward Ranks'!BL377</f>
        <v>0</v>
      </c>
      <c r="AG377" s="1">
        <f>'[1]Forward Ranks'!BQ377</f>
        <v>0.73799126637554591</v>
      </c>
      <c r="AH377" s="1">
        <f>'[1]Forward Ranks'!BR377</f>
        <v>0.9366812227074236</v>
      </c>
      <c r="AI377" s="1">
        <f>'[1]Forward Ranks'!BS377</f>
        <v>0.54803493449781659</v>
      </c>
      <c r="AJ377" s="1">
        <f>'[1]Forward Ranks'!BT377</f>
        <v>0.85152838427947597</v>
      </c>
      <c r="AL377" s="2">
        <f>'[1]Forward Ranks'!BX377</f>
        <v>0.888646288209607</v>
      </c>
      <c r="AN377" t="str">
        <f>'[1]Forward Ranks'!B377</f>
        <v>EDM</v>
      </c>
      <c r="AO377">
        <f>'[1]F on ice'!E377</f>
        <v>57</v>
      </c>
      <c r="AP377" s="2">
        <f>'[1]Impact Score Math'!E377</f>
        <v>0.76553106212424848</v>
      </c>
      <c r="AQ377">
        <f>'[1]Impact Score Math'!G377</f>
        <v>118</v>
      </c>
      <c r="AT377" s="1">
        <f>'[1]Forward Ranks'!CJ377</f>
        <v>0.48689956331877732</v>
      </c>
      <c r="AU377" s="1">
        <f>'[1]Forward Ranks'!CK377</f>
        <v>0.21615720524017468</v>
      </c>
    </row>
    <row r="378" spans="1:47" x14ac:dyDescent="0.3">
      <c r="A378" t="str">
        <f>'[1]Forward Ranks'!A378</f>
        <v>Ryan Nugent-Hopkins</v>
      </c>
      <c r="B378">
        <f>'[1]Forward Ranks'!D378</f>
        <v>0</v>
      </c>
      <c r="C378" s="1">
        <f>'[1]Forward Ranks'!I378</f>
        <v>0.58515283842794763</v>
      </c>
      <c r="D378" s="1">
        <f>'[1]Forward Ranks'!J378</f>
        <v>0.76200873362445409</v>
      </c>
      <c r="E378" s="1">
        <f>'[1]Forward Ranks'!K378</f>
        <v>0.91703056768558955</v>
      </c>
      <c r="F378" s="1">
        <f>'[1]Forward Ranks'!L378</f>
        <v>0.74235807860262004</v>
      </c>
      <c r="G378">
        <f>'[1]Forward Ranks'!N378</f>
        <v>0</v>
      </c>
      <c r="H378" s="1">
        <f>'[1]Forward Ranks'!S378</f>
        <v>0.74890829694323147</v>
      </c>
      <c r="I378" s="1">
        <f>'[1]Forward Ranks'!T378</f>
        <v>0.77510917030567683</v>
      </c>
      <c r="J378" s="1">
        <f>'[1]Forward Ranks'!U378</f>
        <v>0.56550218340611358</v>
      </c>
      <c r="K378" s="1">
        <f>'[1]Forward Ranks'!V378</f>
        <v>0.8253275109170306</v>
      </c>
      <c r="L378">
        <f>'[1]Forward Ranks'!X378</f>
        <v>0</v>
      </c>
      <c r="M378" s="1">
        <f>'[1]Forward Ranks'!AC378</f>
        <v>0.53056768558951961</v>
      </c>
      <c r="N378" s="1">
        <f>'[1]Forward Ranks'!AD378</f>
        <v>0.67685589519650657</v>
      </c>
      <c r="O378" s="1">
        <f>'[1]Forward Ranks'!AE378</f>
        <v>0.36462882096069871</v>
      </c>
      <c r="P378" s="1">
        <f>'[1]Forward Ranks'!AF378</f>
        <v>0.56550218340611358</v>
      </c>
      <c r="Q378">
        <f>'[1]Forward Ranks'!AH378</f>
        <v>0</v>
      </c>
      <c r="R378" s="1">
        <f>'[1]Forward Ranks'!AM378</f>
        <v>0.45196506550218341</v>
      </c>
      <c r="S378" s="1">
        <f>'[1]Forward Ranks'!AN378</f>
        <v>0.4606986899563319</v>
      </c>
      <c r="T378" s="1">
        <f>'[1]Forward Ranks'!AO378</f>
        <v>0.83842794759825323</v>
      </c>
      <c r="U378" s="1">
        <f>'[1]Forward Ranks'!AP378</f>
        <v>0.43231441048034935</v>
      </c>
      <c r="V378">
        <f>'[1]Forward Ranks'!AR378</f>
        <v>0</v>
      </c>
      <c r="W378" s="1">
        <f>'[1]Forward Ranks'!AW378</f>
        <v>0.32096069868995636</v>
      </c>
      <c r="X378" s="1">
        <f>'[1]Forward Ranks'!AX378</f>
        <v>0.35152838427947597</v>
      </c>
      <c r="Y378" s="1">
        <f>'[1]Forward Ranks'!AY378</f>
        <v>0.30131004366812225</v>
      </c>
      <c r="Z378" s="1">
        <f>'[1]Forward Ranks'!AZ378</f>
        <v>0.4366812227074236</v>
      </c>
      <c r="AA378">
        <f>'[1]Forward Ranks'!BB378</f>
        <v>0</v>
      </c>
      <c r="AB378" s="1">
        <f>'[1]Forward Ranks'!BG378</f>
        <v>0.74454148471615722</v>
      </c>
      <c r="AC378" s="1">
        <f>'[1]Forward Ranks'!BH378</f>
        <v>0.45851528384279477</v>
      </c>
      <c r="AD378" s="1">
        <f>'[1]Forward Ranks'!BI378</f>
        <v>0.89956331877729256</v>
      </c>
      <c r="AE378" s="1">
        <f>'[1]Forward Ranks'!BJ378</f>
        <v>0.81877729257641918</v>
      </c>
      <c r="AF378">
        <f>'[1]Forward Ranks'!BL378</f>
        <v>0</v>
      </c>
      <c r="AG378" s="1">
        <f>'[1]Forward Ranks'!BQ378</f>
        <v>0.56986899563318782</v>
      </c>
      <c r="AH378" s="1">
        <f>'[1]Forward Ranks'!BR378</f>
        <v>0.78165938864628826</v>
      </c>
      <c r="AI378" s="1">
        <f>'[1]Forward Ranks'!BS378</f>
        <v>0.77292576419213976</v>
      </c>
      <c r="AJ378" s="1">
        <f>'[1]Forward Ranks'!BT378</f>
        <v>0.73799126637554591</v>
      </c>
      <c r="AL378" s="2">
        <f>'[1]Forward Ranks'!BX378</f>
        <v>0.64628820960698685</v>
      </c>
      <c r="AN378" t="str">
        <f>'[1]Forward Ranks'!B378</f>
        <v>EDM</v>
      </c>
      <c r="AO378">
        <f>'[1]F on ice'!E378</f>
        <v>82</v>
      </c>
      <c r="AP378" s="2">
        <f>'[1]Impact Score Math'!E378</f>
        <v>0.73547094188376749</v>
      </c>
      <c r="AQ378">
        <f>'[1]Impact Score Math'!G378</f>
        <v>133</v>
      </c>
      <c r="AT378" s="1">
        <f>'[1]Forward Ranks'!CJ378</f>
        <v>0.51965065502183405</v>
      </c>
      <c r="AU378" s="1">
        <f>'[1]Forward Ranks'!CK378</f>
        <v>0.11353711790393013</v>
      </c>
    </row>
    <row r="379" spans="1:47" x14ac:dyDescent="0.3">
      <c r="A379" t="str">
        <f>'[1]Forward Ranks'!A379</f>
        <v>Ryan O'Reilly</v>
      </c>
      <c r="B379">
        <f>'[1]Forward Ranks'!D379</f>
        <v>0</v>
      </c>
      <c r="C379" s="1">
        <f>'[1]Forward Ranks'!I379</f>
        <v>0.61790393013100442</v>
      </c>
      <c r="D379" s="1">
        <f>'[1]Forward Ranks'!J379</f>
        <v>0.80131004366812231</v>
      </c>
      <c r="E379" s="1">
        <f>'[1]Forward Ranks'!K379</f>
        <v>0.61790393013100442</v>
      </c>
      <c r="F379" s="1">
        <f>'[1]Forward Ranks'!L379</f>
        <v>0.82096069868995636</v>
      </c>
      <c r="G379">
        <f>'[1]Forward Ranks'!N379</f>
        <v>0</v>
      </c>
      <c r="H379" s="1">
        <f>'[1]Forward Ranks'!S379</f>
        <v>0.77074235807860259</v>
      </c>
      <c r="I379" s="1">
        <f>'[1]Forward Ranks'!T379</f>
        <v>0.3930131004366812</v>
      </c>
      <c r="J379" s="1">
        <f>'[1]Forward Ranks'!U379</f>
        <v>0.31004366812227074</v>
      </c>
      <c r="K379" s="1">
        <f>'[1]Forward Ranks'!V379</f>
        <v>0.58296943231441045</v>
      </c>
      <c r="L379">
        <f>'[1]Forward Ranks'!X379</f>
        <v>0</v>
      </c>
      <c r="M379" s="1">
        <f>'[1]Forward Ranks'!AC379</f>
        <v>0.46288209606986902</v>
      </c>
      <c r="N379" s="1">
        <f>'[1]Forward Ranks'!AD379</f>
        <v>0.53056768558951961</v>
      </c>
      <c r="O379" s="1">
        <f>'[1]Forward Ranks'!AE379</f>
        <v>3.2751091703056769E-2</v>
      </c>
      <c r="P379" s="1">
        <f>'[1]Forward Ranks'!AF379</f>
        <v>0.34934497816593885</v>
      </c>
      <c r="Q379">
        <f>'[1]Forward Ranks'!AH379</f>
        <v>0</v>
      </c>
      <c r="R379" s="1">
        <f>'[1]Forward Ranks'!AM379</f>
        <v>0.77510917030567683</v>
      </c>
      <c r="S379" s="1">
        <f>'[1]Forward Ranks'!AN379</f>
        <v>0.95196506550218341</v>
      </c>
      <c r="T379" s="1">
        <f>'[1]Forward Ranks'!AO379</f>
        <v>0.57860262008733621</v>
      </c>
      <c r="U379" s="1">
        <f>'[1]Forward Ranks'!AP379</f>
        <v>0.84716157205240172</v>
      </c>
      <c r="V379">
        <f>'[1]Forward Ranks'!AR379</f>
        <v>0</v>
      </c>
      <c r="W379" s="1">
        <f>'[1]Forward Ranks'!AW379</f>
        <v>0.60698689956331875</v>
      </c>
      <c r="X379" s="1">
        <f>'[1]Forward Ranks'!AX379</f>
        <v>0.68340611353711789</v>
      </c>
      <c r="Y379" s="1">
        <f>'[1]Forward Ranks'!AY379</f>
        <v>8.7336244541484712E-3</v>
      </c>
      <c r="Z379" s="1">
        <f>'[1]Forward Ranks'!AZ379</f>
        <v>0.57205240174672489</v>
      </c>
      <c r="AA379">
        <f>'[1]Forward Ranks'!BB379</f>
        <v>0</v>
      </c>
      <c r="AB379" s="1">
        <f>'[1]Forward Ranks'!BG379</f>
        <v>0.83842794759825323</v>
      </c>
      <c r="AC379" s="1">
        <f>'[1]Forward Ranks'!BH379</f>
        <v>0.10480349344978165</v>
      </c>
      <c r="AD379" s="1">
        <f>'[1]Forward Ranks'!BI379</f>
        <v>0.53275109170305679</v>
      </c>
      <c r="AE379" s="1">
        <f>'[1]Forward Ranks'!BJ379</f>
        <v>7.8602620087336247E-2</v>
      </c>
      <c r="AF379">
        <f>'[1]Forward Ranks'!BL379</f>
        <v>0</v>
      </c>
      <c r="AG379" s="1">
        <f>'[1]Forward Ranks'!BQ379</f>
        <v>0.55676855895196509</v>
      </c>
      <c r="AH379" s="1">
        <f>'[1]Forward Ranks'!BR379</f>
        <v>0.75545851528384278</v>
      </c>
      <c r="AI379" s="1">
        <f>'[1]Forward Ranks'!BS379</f>
        <v>0.21615720524017468</v>
      </c>
      <c r="AJ379" s="1">
        <f>'[1]Forward Ranks'!BT379</f>
        <v>0.67030567685589515</v>
      </c>
      <c r="AL379" s="2">
        <f>'[1]Forward Ranks'!BX379</f>
        <v>0.74890829694323147</v>
      </c>
      <c r="AN379" t="str">
        <f>'[1]Forward Ranks'!B379</f>
        <v>STL, TOR</v>
      </c>
      <c r="AO379">
        <f>'[1]F on ice'!E379</f>
        <v>53</v>
      </c>
      <c r="AP379" s="2">
        <f>'[1]Impact Score Math'!E379</f>
        <v>0.82765531062124253</v>
      </c>
      <c r="AQ379">
        <f>'[1]Impact Score Math'!G379</f>
        <v>87</v>
      </c>
      <c r="AT379" s="1">
        <f>'[1]Forward Ranks'!CJ379</f>
        <v>0.63100436681222705</v>
      </c>
      <c r="AU379" s="1">
        <f>'[1]Forward Ranks'!CK379</f>
        <v>0.30349344978165937</v>
      </c>
    </row>
    <row r="380" spans="1:47" x14ac:dyDescent="0.3">
      <c r="A380" t="str">
        <f>'[1]Forward Ranks'!A380</f>
        <v>Ryan Poehling</v>
      </c>
      <c r="B380">
        <f>'[1]Forward Ranks'!D380</f>
        <v>0</v>
      </c>
      <c r="C380" s="1">
        <f>'[1]Forward Ranks'!I380</f>
        <v>0.57641921397379914</v>
      </c>
      <c r="D380" s="1">
        <f>'[1]Forward Ranks'!J380</f>
        <v>0.45414847161572053</v>
      </c>
      <c r="E380" s="1">
        <f>'[1]Forward Ranks'!K380</f>
        <v>0.17903930131004367</v>
      </c>
      <c r="F380" s="1">
        <f>'[1]Forward Ranks'!L380</f>
        <v>0.53493449781659386</v>
      </c>
      <c r="G380">
        <f>'[1]Forward Ranks'!N380</f>
        <v>0</v>
      </c>
      <c r="H380" s="1">
        <f>'[1]Forward Ranks'!S380</f>
        <v>0.27510917030567683</v>
      </c>
      <c r="I380" s="1">
        <f>'[1]Forward Ranks'!T380</f>
        <v>0.30786026200873362</v>
      </c>
      <c r="J380" s="1">
        <f>'[1]Forward Ranks'!U380</f>
        <v>0.58078602620087338</v>
      </c>
      <c r="K380" s="1">
        <f>'[1]Forward Ranks'!V380</f>
        <v>0.22270742358078602</v>
      </c>
      <c r="L380">
        <f>'[1]Forward Ranks'!X380</f>
        <v>0</v>
      </c>
      <c r="M380" s="1">
        <f>'[1]Forward Ranks'!AC380</f>
        <v>0.40611353711790393</v>
      </c>
      <c r="N380" s="1">
        <f>'[1]Forward Ranks'!AD380</f>
        <v>0.75327510917030571</v>
      </c>
      <c r="O380" s="1">
        <f>'[1]Forward Ranks'!AE380</f>
        <v>0.60698689956331875</v>
      </c>
      <c r="P380" s="1">
        <f>'[1]Forward Ranks'!AF380</f>
        <v>0.82751091703056767</v>
      </c>
      <c r="Q380">
        <f>'[1]Forward Ranks'!AH380</f>
        <v>0</v>
      </c>
      <c r="R380" s="1">
        <f>'[1]Forward Ranks'!AM380</f>
        <v>0.1222707423580786</v>
      </c>
      <c r="S380" s="1">
        <f>'[1]Forward Ranks'!AN380</f>
        <v>5.6768558951965066E-2</v>
      </c>
      <c r="T380" s="1">
        <f>'[1]Forward Ranks'!AO380</f>
        <v>0.15720524017467249</v>
      </c>
      <c r="U380" s="1">
        <f>'[1]Forward Ranks'!AP380</f>
        <v>0.11353711790393013</v>
      </c>
      <c r="V380">
        <f>'[1]Forward Ranks'!AR380</f>
        <v>0</v>
      </c>
      <c r="W380" s="1">
        <f>'[1]Forward Ranks'!AW380</f>
        <v>0.44978165938864628</v>
      </c>
      <c r="X380" s="1">
        <f>'[1]Forward Ranks'!AX380</f>
        <v>0.74454148471615722</v>
      </c>
      <c r="Y380" s="1">
        <f>'[1]Forward Ranks'!AY380</f>
        <v>0.62445414847161573</v>
      </c>
      <c r="Z380" s="1">
        <f>'[1]Forward Ranks'!AZ380</f>
        <v>0.84279475982532748</v>
      </c>
      <c r="AA380">
        <f>'[1]Forward Ranks'!BB380</f>
        <v>0</v>
      </c>
      <c r="AB380" s="1">
        <f>'[1]Forward Ranks'!BG380</f>
        <v>5.8951965065502182E-2</v>
      </c>
      <c r="AC380" s="1">
        <f>'[1]Forward Ranks'!BH380</f>
        <v>2.8384279475982533E-2</v>
      </c>
      <c r="AD380" s="1">
        <f>'[1]Forward Ranks'!BI380</f>
        <v>0.10262008733624454</v>
      </c>
      <c r="AE380" s="1">
        <f>'[1]Forward Ranks'!BJ380</f>
        <v>0.3056768558951965</v>
      </c>
      <c r="AF380">
        <f>'[1]Forward Ranks'!BL380</f>
        <v>0</v>
      </c>
      <c r="AG380" s="1">
        <f>'[1]Forward Ranks'!BQ380</f>
        <v>0.49344978165938863</v>
      </c>
      <c r="AH380" s="1">
        <f>'[1]Forward Ranks'!BR380</f>
        <v>0.57423580786026196</v>
      </c>
      <c r="AI380" s="1">
        <f>'[1]Forward Ranks'!BS380</f>
        <v>0.26419213973799127</v>
      </c>
      <c r="AJ380" s="1">
        <f>'[1]Forward Ranks'!BT380</f>
        <v>0.74890829694323147</v>
      </c>
      <c r="AL380" s="2">
        <f>'[1]Forward Ranks'!BX380</f>
        <v>0.38209606986899564</v>
      </c>
      <c r="AN380" t="str">
        <f>'[1]Forward Ranks'!B380</f>
        <v>PIT</v>
      </c>
      <c r="AO380">
        <f>'[1]F on ice'!E380</f>
        <v>53</v>
      </c>
      <c r="AP380" s="2">
        <f>'[1]Impact Score Math'!E380</f>
        <v>0.29659318637274551</v>
      </c>
      <c r="AQ380">
        <f>'[1]Impact Score Math'!G380</f>
        <v>352</v>
      </c>
      <c r="AT380" s="1">
        <f>'[1]Forward Ranks'!CJ380</f>
        <v>0.85152838427947597</v>
      </c>
      <c r="AU380" s="1">
        <f>'[1]Forward Ranks'!CK380</f>
        <v>0.74890829694323147</v>
      </c>
    </row>
    <row r="381" spans="1:47" x14ac:dyDescent="0.3">
      <c r="A381" t="str">
        <f>'[1]Forward Ranks'!A381</f>
        <v>Ryan Reaves</v>
      </c>
      <c r="B381">
        <f>'[1]Forward Ranks'!D381</f>
        <v>0</v>
      </c>
      <c r="C381" s="1">
        <f>'[1]Forward Ranks'!I381</f>
        <v>0.17467248908296942</v>
      </c>
      <c r="D381" s="1">
        <f>'[1]Forward Ranks'!J381</f>
        <v>8.0786026200873357E-2</v>
      </c>
      <c r="E381" s="1">
        <f>'[1]Forward Ranks'!K381</f>
        <v>0.18558951965065501</v>
      </c>
      <c r="F381" s="1">
        <f>'[1]Forward Ranks'!L381</f>
        <v>0.10262008733624454</v>
      </c>
      <c r="G381">
        <f>'[1]Forward Ranks'!N381</f>
        <v>0</v>
      </c>
      <c r="H381" s="1">
        <f>'[1]Forward Ranks'!S381</f>
        <v>0.2205240174672489</v>
      </c>
      <c r="I381" s="1">
        <f>'[1]Forward Ranks'!T381</f>
        <v>0.4606986899563319</v>
      </c>
      <c r="J381" s="1">
        <f>'[1]Forward Ranks'!U381</f>
        <v>0.36244541484716158</v>
      </c>
      <c r="K381" s="1">
        <f>'[1]Forward Ranks'!V381</f>
        <v>0.28602620087336245</v>
      </c>
      <c r="L381">
        <f>'[1]Forward Ranks'!X381</f>
        <v>0</v>
      </c>
      <c r="M381" s="1">
        <f>'[1]Forward Ranks'!AC381</f>
        <v>0.36244541484716158</v>
      </c>
      <c r="N381" s="1">
        <f>'[1]Forward Ranks'!AD381</f>
        <v>0.91921397379912662</v>
      </c>
      <c r="O381" s="1">
        <f>'[1]Forward Ranks'!AE381</f>
        <v>0.69213973799126638</v>
      </c>
      <c r="P381" s="1">
        <f>'[1]Forward Ranks'!AF381</f>
        <v>0.79912663755458513</v>
      </c>
      <c r="Q381">
        <f>'[1]Forward Ranks'!AH381</f>
        <v>0</v>
      </c>
      <c r="R381" s="1">
        <f>'[1]Forward Ranks'!AM381</f>
        <v>7.6419213973799124E-2</v>
      </c>
      <c r="S381" s="1">
        <f>'[1]Forward Ranks'!AN381</f>
        <v>8.0786026200873357E-2</v>
      </c>
      <c r="T381" s="1">
        <f>'[1]Forward Ranks'!AO381</f>
        <v>0.34279475982532753</v>
      </c>
      <c r="U381" s="1">
        <f>'[1]Forward Ranks'!AP381</f>
        <v>8.9519650655021835E-2</v>
      </c>
      <c r="V381">
        <f>'[1]Forward Ranks'!AR381</f>
        <v>0</v>
      </c>
      <c r="W381" s="1">
        <f>'[1]Forward Ranks'!AW381</f>
        <v>0.16157205240174671</v>
      </c>
      <c r="X381" s="1">
        <f>'[1]Forward Ranks'!AX381</f>
        <v>0.84279475982532748</v>
      </c>
      <c r="Y381" s="1">
        <f>'[1]Forward Ranks'!AY381</f>
        <v>0.37117903930131002</v>
      </c>
      <c r="Z381" s="1">
        <f>'[1]Forward Ranks'!AZ381</f>
        <v>0.68995633187772931</v>
      </c>
      <c r="AA381">
        <f>'[1]Forward Ranks'!BB381</f>
        <v>0</v>
      </c>
      <c r="AB381" s="1">
        <f>'[1]Forward Ranks'!BG381</f>
        <v>6.9868995633187769E-2</v>
      </c>
      <c r="AC381" s="1">
        <f>'[1]Forward Ranks'!BH381</f>
        <v>0.23144104803493451</v>
      </c>
      <c r="AD381" s="1">
        <f>'[1]Forward Ranks'!BI381</f>
        <v>0.29039301310043669</v>
      </c>
      <c r="AE381" s="1">
        <f>'[1]Forward Ranks'!BJ381</f>
        <v>0.54803493449781659</v>
      </c>
      <c r="AF381">
        <f>'[1]Forward Ranks'!BL381</f>
        <v>0</v>
      </c>
      <c r="AG381" s="1">
        <f>'[1]Forward Ranks'!BQ381</f>
        <v>0.20305676855895197</v>
      </c>
      <c r="AH381" s="1">
        <f>'[1]Forward Ranks'!BR381</f>
        <v>0.37336244541484714</v>
      </c>
      <c r="AI381" s="1">
        <f>'[1]Forward Ranks'!BS381</f>
        <v>0.31877729257641924</v>
      </c>
      <c r="AJ381" s="1">
        <f>'[1]Forward Ranks'!BT381</f>
        <v>0.29694323144104806</v>
      </c>
      <c r="AL381" s="2">
        <f>'[1]Forward Ranks'!BX381</f>
        <v>0.15283842794759825</v>
      </c>
      <c r="AN381" t="str">
        <f>'[1]Forward Ranks'!B381</f>
        <v>MIN, NYR</v>
      </c>
      <c r="AO381">
        <f>'[1]F on ice'!E381</f>
        <v>73</v>
      </c>
      <c r="AP381" s="2">
        <f>'[1]Impact Score Math'!E381</f>
        <v>0.17835671342685372</v>
      </c>
      <c r="AQ381">
        <f>'[1]Impact Score Math'!G381</f>
        <v>411</v>
      </c>
      <c r="AT381" s="1">
        <f>'[1]Forward Ranks'!CJ381</f>
        <v>0.36899563318777295</v>
      </c>
      <c r="AU381" s="1">
        <f>'[1]Forward Ranks'!CK381</f>
        <v>0.68340611353711789</v>
      </c>
    </row>
    <row r="382" spans="1:47" x14ac:dyDescent="0.3">
      <c r="A382" t="str">
        <f>'[1]Forward Ranks'!A382</f>
        <v>Ryan Strome</v>
      </c>
      <c r="B382">
        <f>'[1]Forward Ranks'!D382</f>
        <v>0</v>
      </c>
      <c r="C382" s="1">
        <f>'[1]Forward Ranks'!I382</f>
        <v>0.40829694323144106</v>
      </c>
      <c r="D382" s="1">
        <f>'[1]Forward Ranks'!J382</f>
        <v>0.22489082969432314</v>
      </c>
      <c r="E382" s="1">
        <f>'[1]Forward Ranks'!K382</f>
        <v>0.4759825327510917</v>
      </c>
      <c r="F382" s="1">
        <f>'[1]Forward Ranks'!L382</f>
        <v>0.33624454148471616</v>
      </c>
      <c r="G382">
        <f>'[1]Forward Ranks'!N382</f>
        <v>0</v>
      </c>
      <c r="H382" s="1">
        <f>'[1]Forward Ranks'!S382</f>
        <v>0.32096069868995636</v>
      </c>
      <c r="I382" s="1">
        <f>'[1]Forward Ranks'!T382</f>
        <v>0.71179039301310043</v>
      </c>
      <c r="J382" s="1">
        <f>'[1]Forward Ranks'!U382</f>
        <v>0.48034934497816595</v>
      </c>
      <c r="K382" s="1">
        <f>'[1]Forward Ranks'!V382</f>
        <v>0.5633187772925764</v>
      </c>
      <c r="L382">
        <f>'[1]Forward Ranks'!X382</f>
        <v>0</v>
      </c>
      <c r="M382" s="1">
        <f>'[1]Forward Ranks'!AC382</f>
        <v>6.5502183406113534E-3</v>
      </c>
      <c r="N382" s="1">
        <f>'[1]Forward Ranks'!AD382</f>
        <v>2.1834061135371178E-3</v>
      </c>
      <c r="O382" s="1">
        <f>'[1]Forward Ranks'!AE382</f>
        <v>1.5283842794759825E-2</v>
      </c>
      <c r="P382" s="1">
        <f>'[1]Forward Ranks'!AF382</f>
        <v>2.1834061135371178E-3</v>
      </c>
      <c r="Q382">
        <f>'[1]Forward Ranks'!AH382</f>
        <v>0</v>
      </c>
      <c r="R382" s="1">
        <f>'[1]Forward Ranks'!AM382</f>
        <v>0.81441048034934493</v>
      </c>
      <c r="S382" s="1">
        <f>'[1]Forward Ranks'!AN382</f>
        <v>0.50218340611353707</v>
      </c>
      <c r="T382" s="1">
        <f>'[1]Forward Ranks'!AO382</f>
        <v>0.74890829694323147</v>
      </c>
      <c r="U382" s="1">
        <f>'[1]Forward Ranks'!AP382</f>
        <v>0.71179039301310043</v>
      </c>
      <c r="V382">
        <f>'[1]Forward Ranks'!AR382</f>
        <v>0</v>
      </c>
      <c r="W382" s="1">
        <f>'[1]Forward Ranks'!AW382</f>
        <v>5.2401746724890827E-2</v>
      </c>
      <c r="X382" s="1">
        <f>'[1]Forward Ranks'!AX382</f>
        <v>8.7336244541484712E-3</v>
      </c>
      <c r="Y382" s="1">
        <f>'[1]Forward Ranks'!AY382</f>
        <v>0.10262008733624454</v>
      </c>
      <c r="Z382" s="1">
        <f>'[1]Forward Ranks'!AZ382</f>
        <v>1.5283842794759825E-2</v>
      </c>
      <c r="AA382">
        <f>'[1]Forward Ranks'!BB382</f>
        <v>0</v>
      </c>
      <c r="AB382" s="1">
        <f>'[1]Forward Ranks'!BG382</f>
        <v>0.85152838427947597</v>
      </c>
      <c r="AC382" s="1">
        <f>'[1]Forward Ranks'!BH382</f>
        <v>0.58296943231441045</v>
      </c>
      <c r="AD382" s="1">
        <f>'[1]Forward Ranks'!BI382</f>
        <v>0.55458515283842791</v>
      </c>
      <c r="AE382" s="1">
        <f>'[1]Forward Ranks'!BJ382</f>
        <v>0.388646288209607</v>
      </c>
      <c r="AF382">
        <f>'[1]Forward Ranks'!BL382</f>
        <v>0</v>
      </c>
      <c r="AG382" s="1">
        <f>'[1]Forward Ranks'!BQ382</f>
        <v>5.0218340611353711E-2</v>
      </c>
      <c r="AH382" s="1">
        <f>'[1]Forward Ranks'!BR382</f>
        <v>2.1834061135371178E-2</v>
      </c>
      <c r="AI382" s="1">
        <f>'[1]Forward Ranks'!BS382</f>
        <v>0.1331877729257642</v>
      </c>
      <c r="AJ382" s="1">
        <f>'[1]Forward Ranks'!BT382</f>
        <v>2.4017467248908297E-2</v>
      </c>
      <c r="AL382" s="2">
        <f>'[1]Forward Ranks'!BX382</f>
        <v>0.20305676855895197</v>
      </c>
      <c r="AN382" t="str">
        <f>'[1]Forward Ranks'!B382</f>
        <v>ANA</v>
      </c>
      <c r="AO382">
        <f>'[1]F on ice'!E382</f>
        <v>82</v>
      </c>
      <c r="AP382" s="2">
        <f>'[1]Impact Score Math'!E382</f>
        <v>0.38076152304609218</v>
      </c>
      <c r="AQ382">
        <f>'[1]Impact Score Math'!G382</f>
        <v>310</v>
      </c>
      <c r="AT382" s="1">
        <f>'[1]Forward Ranks'!CJ382</f>
        <v>0.15502183406113537</v>
      </c>
      <c r="AU382" s="1">
        <f>'[1]Forward Ranks'!CK382</f>
        <v>0.19213973799126638</v>
      </c>
    </row>
    <row r="383" spans="1:47" x14ac:dyDescent="0.3">
      <c r="A383" t="str">
        <f>'[1]Forward Ranks'!A383</f>
        <v>Saku Maenalanen</v>
      </c>
      <c r="B383">
        <f>'[1]Forward Ranks'!D383</f>
        <v>0</v>
      </c>
      <c r="C383" s="1">
        <f>'[1]Forward Ranks'!I383</f>
        <v>5.458515283842795E-2</v>
      </c>
      <c r="D383" s="1">
        <f>'[1]Forward Ranks'!J383</f>
        <v>0.12008733624454149</v>
      </c>
      <c r="E383" s="1">
        <f>'[1]Forward Ranks'!K383</f>
        <v>5.2401746724890827E-2</v>
      </c>
      <c r="F383" s="1">
        <f>'[1]Forward Ranks'!L383</f>
        <v>6.768558951965066E-2</v>
      </c>
      <c r="G383">
        <f>'[1]Forward Ranks'!N383</f>
        <v>0</v>
      </c>
      <c r="H383" s="1">
        <f>'[1]Forward Ranks'!S383</f>
        <v>0.1965065502183406</v>
      </c>
      <c r="I383" s="1">
        <f>'[1]Forward Ranks'!T383</f>
        <v>0.20524017467248909</v>
      </c>
      <c r="J383" s="1">
        <f>'[1]Forward Ranks'!U383</f>
        <v>9.606986899563319E-2</v>
      </c>
      <c r="K383" s="1">
        <f>'[1]Forward Ranks'!V383</f>
        <v>0.12882096069868995</v>
      </c>
      <c r="L383">
        <f>'[1]Forward Ranks'!X383</f>
        <v>0</v>
      </c>
      <c r="M383" s="1">
        <f>'[1]Forward Ranks'!AC383</f>
        <v>0.29912663755458513</v>
      </c>
      <c r="N383" s="1">
        <f>'[1]Forward Ranks'!AD383</f>
        <v>0.36681222707423583</v>
      </c>
      <c r="O383" s="1">
        <f>'[1]Forward Ranks'!AE383</f>
        <v>0.93449781659388642</v>
      </c>
      <c r="P383" s="1">
        <f>'[1]Forward Ranks'!AF383</f>
        <v>0.41484716157205243</v>
      </c>
      <c r="Q383">
        <f>'[1]Forward Ranks'!AH383</f>
        <v>0</v>
      </c>
      <c r="R383" s="1">
        <f>'[1]Forward Ranks'!AM383</f>
        <v>8.7336244541484712E-3</v>
      </c>
      <c r="S383" s="1">
        <f>'[1]Forward Ranks'!AN383</f>
        <v>2.6200873362445413E-2</v>
      </c>
      <c r="T383" s="1">
        <f>'[1]Forward Ranks'!AO383</f>
        <v>0.1222707423580786</v>
      </c>
      <c r="U383" s="1">
        <f>'[1]Forward Ranks'!AP383</f>
        <v>1.3100436681222707E-2</v>
      </c>
      <c r="V383">
        <f>'[1]Forward Ranks'!AR383</f>
        <v>0</v>
      </c>
      <c r="W383" s="1">
        <f>'[1]Forward Ranks'!AW383</f>
        <v>0.14192139737991266</v>
      </c>
      <c r="X383" s="1">
        <f>'[1]Forward Ranks'!AX383</f>
        <v>0.24017467248908297</v>
      </c>
      <c r="Y383" s="1">
        <f>'[1]Forward Ranks'!AY383</f>
        <v>0.87554585152838427</v>
      </c>
      <c r="Z383" s="1">
        <f>'[1]Forward Ranks'!AZ383</f>
        <v>0.31441048034934499</v>
      </c>
      <c r="AA383">
        <f>'[1]Forward Ranks'!BB383</f>
        <v>0</v>
      </c>
      <c r="AB383" s="1">
        <f>'[1]Forward Ranks'!BG383</f>
        <v>2.4017467248908297E-2</v>
      </c>
      <c r="AC383" s="1">
        <f>'[1]Forward Ranks'!BH383</f>
        <v>0.1331877729257642</v>
      </c>
      <c r="AD383" s="1">
        <f>'[1]Forward Ranks'!BI383</f>
        <v>0.1091703056768559</v>
      </c>
      <c r="AE383" s="1">
        <f>'[1]Forward Ranks'!BJ383</f>
        <v>0.66593886462882101</v>
      </c>
      <c r="AF383">
        <f>'[1]Forward Ranks'!BL383</f>
        <v>0</v>
      </c>
      <c r="AG383" s="1">
        <f>'[1]Forward Ranks'!BQ383</f>
        <v>0.10043668122270742</v>
      </c>
      <c r="AH383" s="1">
        <f>'[1]Forward Ranks'!BR383</f>
        <v>0.16812227074235808</v>
      </c>
      <c r="AI383" s="1">
        <f>'[1]Forward Ranks'!BS383</f>
        <v>0.36899563318777295</v>
      </c>
      <c r="AJ383" s="1">
        <f>'[1]Forward Ranks'!BT383</f>
        <v>0.10698689956331878</v>
      </c>
      <c r="AL383" s="2">
        <f>'[1]Forward Ranks'!BX383</f>
        <v>3.2751091703056769E-2</v>
      </c>
      <c r="AN383" t="str">
        <f>'[1]Forward Ranks'!B383</f>
        <v>WPG</v>
      </c>
      <c r="AO383">
        <f>'[1]F on ice'!E383</f>
        <v>64</v>
      </c>
      <c r="AP383" s="2">
        <f>'[1]Impact Score Math'!E383</f>
        <v>0.10220440881763528</v>
      </c>
      <c r="AQ383">
        <f>'[1]Impact Score Math'!G383</f>
        <v>449</v>
      </c>
      <c r="AT383" s="1">
        <f>'[1]Forward Ranks'!CJ383</f>
        <v>0.48034934497816595</v>
      </c>
      <c r="AU383" s="1">
        <f>'[1]Forward Ranks'!CK383</f>
        <v>0.63318777292576423</v>
      </c>
    </row>
    <row r="384" spans="1:47" x14ac:dyDescent="0.3">
      <c r="A384" t="str">
        <f>'[1]Forward Ranks'!A384</f>
        <v>Sam Bennett</v>
      </c>
      <c r="B384">
        <f>'[1]Forward Ranks'!D384</f>
        <v>0</v>
      </c>
      <c r="C384" s="1">
        <f>'[1]Forward Ranks'!I384</f>
        <v>0.98908296943231444</v>
      </c>
      <c r="D384" s="1">
        <f>'[1]Forward Ranks'!J384</f>
        <v>0.98253275109170302</v>
      </c>
      <c r="E384" s="1">
        <f>'[1]Forward Ranks'!K384</f>
        <v>0.8493449781659389</v>
      </c>
      <c r="F384" s="1">
        <f>'[1]Forward Ranks'!L384</f>
        <v>0.99563318777292575</v>
      </c>
      <c r="G384">
        <f>'[1]Forward Ranks'!N384</f>
        <v>0</v>
      </c>
      <c r="H384" s="1">
        <f>'[1]Forward Ranks'!S384</f>
        <v>0.46724890829694321</v>
      </c>
      <c r="I384" s="1">
        <f>'[1]Forward Ranks'!T384</f>
        <v>0.82314410480349343</v>
      </c>
      <c r="J384" s="1">
        <f>'[1]Forward Ranks'!U384</f>
        <v>0.79912663755458513</v>
      </c>
      <c r="K384" s="1">
        <f>'[1]Forward Ranks'!V384</f>
        <v>0.71397379912663761</v>
      </c>
      <c r="L384">
        <f>'[1]Forward Ranks'!X384</f>
        <v>0</v>
      </c>
      <c r="M384" s="1">
        <f>'[1]Forward Ranks'!AC384</f>
        <v>0.32751091703056767</v>
      </c>
      <c r="N384" s="1">
        <f>'[1]Forward Ranks'!AD384</f>
        <v>0.19868995633187772</v>
      </c>
      <c r="O384" s="1">
        <f>'[1]Forward Ranks'!AE384</f>
        <v>0.48471615720524019</v>
      </c>
      <c r="P384" s="1">
        <f>'[1]Forward Ranks'!AF384</f>
        <v>0.34934497816593885</v>
      </c>
      <c r="Q384">
        <f>'[1]Forward Ranks'!AH384</f>
        <v>0</v>
      </c>
      <c r="R384" s="1">
        <f>'[1]Forward Ranks'!AM384</f>
        <v>0.96288209606986896</v>
      </c>
      <c r="S384" s="1">
        <f>'[1]Forward Ranks'!AN384</f>
        <v>0.94759825327510916</v>
      </c>
      <c r="T384" s="1">
        <f>'[1]Forward Ranks'!AO384</f>
        <v>0.65720524017467252</v>
      </c>
      <c r="U384" s="1">
        <f>'[1]Forward Ranks'!AP384</f>
        <v>0.95633187772925765</v>
      </c>
      <c r="V384">
        <f>'[1]Forward Ranks'!AR384</f>
        <v>0</v>
      </c>
      <c r="W384" s="1">
        <f>'[1]Forward Ranks'!AW384</f>
        <v>0.29694323144104806</v>
      </c>
      <c r="X384" s="1">
        <f>'[1]Forward Ranks'!AX384</f>
        <v>0.21179039301310043</v>
      </c>
      <c r="Y384" s="1">
        <f>'[1]Forward Ranks'!AY384</f>
        <v>0.4366812227074236</v>
      </c>
      <c r="Z384" s="1">
        <f>'[1]Forward Ranks'!AZ384</f>
        <v>0.2816593886462882</v>
      </c>
      <c r="AA384">
        <f>'[1]Forward Ranks'!BB384</f>
        <v>0</v>
      </c>
      <c r="AB384" s="1">
        <f>'[1]Forward Ranks'!BG384</f>
        <v>0.69650655021834063</v>
      </c>
      <c r="AC384" s="1">
        <f>'[1]Forward Ranks'!BH384</f>
        <v>0.63318777292576423</v>
      </c>
      <c r="AD384" s="1">
        <f>'[1]Forward Ranks'!BI384</f>
        <v>0.36462882096069871</v>
      </c>
      <c r="AE384" s="1">
        <f>'[1]Forward Ranks'!BJ384</f>
        <v>0.46288209606986902</v>
      </c>
      <c r="AF384">
        <f>'[1]Forward Ranks'!BL384</f>
        <v>0</v>
      </c>
      <c r="AG384" s="1">
        <f>'[1]Forward Ranks'!BQ384</f>
        <v>0.91921397379912662</v>
      </c>
      <c r="AH384" s="1">
        <f>'[1]Forward Ranks'!BR384</f>
        <v>0.83842794759825323</v>
      </c>
      <c r="AI384" s="1">
        <f>'[1]Forward Ranks'!BS384</f>
        <v>0.76855895196506552</v>
      </c>
      <c r="AJ384" s="1">
        <f>'[1]Forward Ranks'!BT384</f>
        <v>0.9126637554585153</v>
      </c>
      <c r="AL384" s="2">
        <f>'[1]Forward Ranks'!BX384</f>
        <v>0.85807860262008728</v>
      </c>
      <c r="AN384" t="str">
        <f>'[1]Forward Ranks'!B384</f>
        <v>FLA</v>
      </c>
      <c r="AO384">
        <f>'[1]F on ice'!E384</f>
        <v>63</v>
      </c>
      <c r="AP384" s="2">
        <f>'[1]Impact Score Math'!E384</f>
        <v>0.87174348697394788</v>
      </c>
      <c r="AQ384">
        <f>'[1]Impact Score Math'!G384</f>
        <v>65</v>
      </c>
      <c r="AT384" s="1">
        <f>'[1]Forward Ranks'!CJ384</f>
        <v>0.12008733624454149</v>
      </c>
      <c r="AU384" s="1">
        <f>'[1]Forward Ranks'!CK384</f>
        <v>0.74890829694323147</v>
      </c>
    </row>
    <row r="385" spans="1:47" x14ac:dyDescent="0.3">
      <c r="A385" t="str">
        <f>'[1]Forward Ranks'!A385</f>
        <v>Sam Carrick</v>
      </c>
      <c r="B385">
        <f>'[1]Forward Ranks'!D385</f>
        <v>0</v>
      </c>
      <c r="C385" s="1">
        <f>'[1]Forward Ranks'!I385</f>
        <v>8.296943231441048E-2</v>
      </c>
      <c r="D385" s="1">
        <f>'[1]Forward Ranks'!J385</f>
        <v>3.0567685589519649E-2</v>
      </c>
      <c r="E385" s="1">
        <f>'[1]Forward Ranks'!K385</f>
        <v>6.768558951965066E-2</v>
      </c>
      <c r="F385" s="1">
        <f>'[1]Forward Ranks'!L385</f>
        <v>1.5283842794759825E-2</v>
      </c>
      <c r="G385">
        <f>'[1]Forward Ranks'!N385</f>
        <v>0</v>
      </c>
      <c r="H385" s="1">
        <f>'[1]Forward Ranks'!S385</f>
        <v>0.11572052401746726</v>
      </c>
      <c r="I385" s="1">
        <f>'[1]Forward Ranks'!T385</f>
        <v>5.458515283842795E-2</v>
      </c>
      <c r="J385" s="1">
        <f>'[1]Forward Ranks'!U385</f>
        <v>0.12445414847161572</v>
      </c>
      <c r="K385" s="1">
        <f>'[1]Forward Ranks'!V385</f>
        <v>3.9301310043668124E-2</v>
      </c>
      <c r="L385">
        <f>'[1]Forward Ranks'!X385</f>
        <v>0</v>
      </c>
      <c r="M385" s="1">
        <f>'[1]Forward Ranks'!AC385</f>
        <v>2.1834061135371178E-3</v>
      </c>
      <c r="N385" s="1">
        <f>'[1]Forward Ranks'!AD385</f>
        <v>1.0917030567685589E-2</v>
      </c>
      <c r="O385" s="1">
        <f>'[1]Forward Ranks'!AE385</f>
        <v>5.6768558951965066E-2</v>
      </c>
      <c r="P385" s="1">
        <f>'[1]Forward Ranks'!AF385</f>
        <v>4.3668122270742356E-3</v>
      </c>
      <c r="Q385">
        <f>'[1]Forward Ranks'!AH385</f>
        <v>0</v>
      </c>
      <c r="R385" s="1">
        <f>'[1]Forward Ranks'!AM385</f>
        <v>0.25327510917030566</v>
      </c>
      <c r="S385" s="1">
        <f>'[1]Forward Ranks'!AN385</f>
        <v>5.458515283842795E-2</v>
      </c>
      <c r="T385" s="1">
        <f>'[1]Forward Ranks'!AO385</f>
        <v>0.24672489082969432</v>
      </c>
      <c r="U385" s="1">
        <f>'[1]Forward Ranks'!AP385</f>
        <v>5.8951965065502182E-2</v>
      </c>
      <c r="V385">
        <f>'[1]Forward Ranks'!AR385</f>
        <v>0</v>
      </c>
      <c r="W385" s="1">
        <f>'[1]Forward Ranks'!AW385</f>
        <v>4.8034934497816595E-2</v>
      </c>
      <c r="X385" s="1">
        <f>'[1]Forward Ranks'!AX385</f>
        <v>0.14192139737991266</v>
      </c>
      <c r="Y385" s="1">
        <f>'[1]Forward Ranks'!AY385</f>
        <v>0.33406113537117904</v>
      </c>
      <c r="Z385" s="1">
        <f>'[1]Forward Ranks'!AZ385</f>
        <v>7.2052401746724892E-2</v>
      </c>
      <c r="AA385">
        <f>'[1]Forward Ranks'!BB385</f>
        <v>0</v>
      </c>
      <c r="AB385" s="1">
        <f>'[1]Forward Ranks'!BG385</f>
        <v>0.10043668122270742</v>
      </c>
      <c r="AC385" s="1">
        <f>'[1]Forward Ranks'!BH385</f>
        <v>3.7117903930131008E-2</v>
      </c>
      <c r="AD385" s="1">
        <f>'[1]Forward Ranks'!BI385</f>
        <v>7.4235807860262015E-2</v>
      </c>
      <c r="AE385" s="1">
        <f>'[1]Forward Ranks'!BJ385</f>
        <v>0.15938864628820962</v>
      </c>
      <c r="AF385">
        <f>'[1]Forward Ranks'!BL385</f>
        <v>0</v>
      </c>
      <c r="AG385" s="1">
        <f>'[1]Forward Ranks'!BQ385</f>
        <v>8.7336244541484712E-3</v>
      </c>
      <c r="AH385" s="1">
        <f>'[1]Forward Ranks'!BR385</f>
        <v>4.3668122270742356E-3</v>
      </c>
      <c r="AI385" s="1">
        <f>'[1]Forward Ranks'!BS385</f>
        <v>3.0567685589519649E-2</v>
      </c>
      <c r="AJ385" s="1">
        <f>'[1]Forward Ranks'!BT385</f>
        <v>2.1834061135371178E-3</v>
      </c>
      <c r="AL385" s="2">
        <f>'[1]Forward Ranks'!BX385</f>
        <v>4.3668122270742356E-3</v>
      </c>
      <c r="AN385" t="str">
        <f>'[1]Forward Ranks'!B385</f>
        <v>ANA</v>
      </c>
      <c r="AO385">
        <f>'[1]F on ice'!E385</f>
        <v>52</v>
      </c>
      <c r="AP385" s="2">
        <f>'[1]Impact Score Math'!E385</f>
        <v>8.617234468937876E-2</v>
      </c>
      <c r="AQ385">
        <f>'[1]Impact Score Math'!G385</f>
        <v>457</v>
      </c>
      <c r="AT385" s="1">
        <f>'[1]Forward Ranks'!CJ385</f>
        <v>1.3100436681222707E-2</v>
      </c>
      <c r="AU385" s="1">
        <f>'[1]Forward Ranks'!CK385</f>
        <v>0.99563318777292575</v>
      </c>
    </row>
    <row r="386" spans="1:47" x14ac:dyDescent="0.3">
      <c r="A386" t="str">
        <f>'[1]Forward Ranks'!A386</f>
        <v>Sam Gagner</v>
      </c>
      <c r="B386">
        <f>'[1]Forward Ranks'!D386</f>
        <v>0</v>
      </c>
      <c r="C386" s="1">
        <f>'[1]Forward Ranks'!I386</f>
        <v>0.83624454148471616</v>
      </c>
      <c r="D386" s="1">
        <f>'[1]Forward Ranks'!J386</f>
        <v>0.43013100436681223</v>
      </c>
      <c r="E386" s="1">
        <f>'[1]Forward Ranks'!K386</f>
        <v>0.25982532751091703</v>
      </c>
      <c r="F386" s="1">
        <f>'[1]Forward Ranks'!L386</f>
        <v>0.56550218340611358</v>
      </c>
      <c r="G386">
        <f>'[1]Forward Ranks'!N386</f>
        <v>0</v>
      </c>
      <c r="H386" s="1">
        <f>'[1]Forward Ranks'!S386</f>
        <v>0.6026200873362445</v>
      </c>
      <c r="I386" s="1">
        <f>'[1]Forward Ranks'!T386</f>
        <v>9.8253275109170299E-2</v>
      </c>
      <c r="J386" s="1">
        <f>'[1]Forward Ranks'!U386</f>
        <v>0.23580786026200873</v>
      </c>
      <c r="K386" s="1">
        <f>'[1]Forward Ranks'!V386</f>
        <v>0.1965065502183406</v>
      </c>
      <c r="L386">
        <f>'[1]Forward Ranks'!X386</f>
        <v>0</v>
      </c>
      <c r="M386" s="1">
        <f>'[1]Forward Ranks'!AC386</f>
        <v>0.48689956331877732</v>
      </c>
      <c r="N386" s="1">
        <f>'[1]Forward Ranks'!AD386</f>
        <v>0.67685589519650657</v>
      </c>
      <c r="O386" s="1">
        <f>'[1]Forward Ranks'!AE386</f>
        <v>0.63755458515283847</v>
      </c>
      <c r="P386" s="1">
        <f>'[1]Forward Ranks'!AF386</f>
        <v>0.67248908296943233</v>
      </c>
      <c r="Q386">
        <f>'[1]Forward Ranks'!AH386</f>
        <v>0</v>
      </c>
      <c r="R386" s="1">
        <f>'[1]Forward Ranks'!AM386</f>
        <v>0.84279475982532748</v>
      </c>
      <c r="S386" s="1">
        <f>'[1]Forward Ranks'!AN386</f>
        <v>0.28602620087336245</v>
      </c>
      <c r="T386" s="1">
        <f>'[1]Forward Ranks'!AO386</f>
        <v>0.42358078602620086</v>
      </c>
      <c r="U386" s="1">
        <f>'[1]Forward Ranks'!AP386</f>
        <v>0.46724890829694321</v>
      </c>
      <c r="V386">
        <f>'[1]Forward Ranks'!AR386</f>
        <v>0</v>
      </c>
      <c r="W386" s="1">
        <f>'[1]Forward Ranks'!AW386</f>
        <v>0.48253275109170307</v>
      </c>
      <c r="X386" s="1">
        <f>'[1]Forward Ranks'!AX386</f>
        <v>0.53711790393013104</v>
      </c>
      <c r="Y386" s="1">
        <f>'[1]Forward Ranks'!AY386</f>
        <v>0.49781659388646288</v>
      </c>
      <c r="Z386" s="1">
        <f>'[1]Forward Ranks'!AZ386</f>
        <v>0.72052401746724892</v>
      </c>
      <c r="AA386">
        <f>'[1]Forward Ranks'!BB386</f>
        <v>0</v>
      </c>
      <c r="AB386" s="1">
        <f>'[1]Forward Ranks'!BG386</f>
        <v>0.18995633187772926</v>
      </c>
      <c r="AC386" s="1">
        <f>'[1]Forward Ranks'!BH386</f>
        <v>0.53493449781659386</v>
      </c>
      <c r="AD386" s="1">
        <f>'[1]Forward Ranks'!BI386</f>
        <v>0.1331877729257642</v>
      </c>
      <c r="AE386" s="1">
        <f>'[1]Forward Ranks'!BJ386</f>
        <v>0.25982532751091703</v>
      </c>
      <c r="AF386">
        <f>'[1]Forward Ranks'!BL386</f>
        <v>0</v>
      </c>
      <c r="AG386" s="1">
        <f>'[1]Forward Ranks'!BQ386</f>
        <v>0.74672489082969429</v>
      </c>
      <c r="AH386" s="1">
        <f>'[1]Forward Ranks'!BR386</f>
        <v>0.51091703056768556</v>
      </c>
      <c r="AI386" s="1">
        <f>'[1]Forward Ranks'!BS386</f>
        <v>0.3930131004366812</v>
      </c>
      <c r="AJ386" s="1">
        <f>'[1]Forward Ranks'!BT386</f>
        <v>0.64628820960698685</v>
      </c>
      <c r="AL386" s="2">
        <f>'[1]Forward Ranks'!BX386</f>
        <v>0.63755458515283847</v>
      </c>
      <c r="AN386" t="str">
        <f>'[1]Forward Ranks'!B386</f>
        <v>WPG</v>
      </c>
      <c r="AO386">
        <f>'[1]F on ice'!E386</f>
        <v>48</v>
      </c>
      <c r="AP386" s="2">
        <f>'[1]Impact Score Math'!E386</f>
        <v>0.5470941883767535</v>
      </c>
      <c r="AQ386">
        <f>'[1]Impact Score Math'!G386</f>
        <v>227</v>
      </c>
      <c r="AT386" s="1">
        <f>'[1]Forward Ranks'!CJ386</f>
        <v>0.75327510917030571</v>
      </c>
      <c r="AU386" s="1">
        <f>'[1]Forward Ranks'!CK386</f>
        <v>0.16157205240174671</v>
      </c>
    </row>
    <row r="387" spans="1:47" x14ac:dyDescent="0.3">
      <c r="A387" t="str">
        <f>'[1]Forward Ranks'!A387</f>
        <v>Sam Lafferty</v>
      </c>
      <c r="B387">
        <f>'[1]Forward Ranks'!D387</f>
        <v>0</v>
      </c>
      <c r="C387" s="1">
        <f>'[1]Forward Ranks'!I387</f>
        <v>0.18122270742358079</v>
      </c>
      <c r="D387" s="1">
        <f>'[1]Forward Ranks'!J387</f>
        <v>0.21397379912663755</v>
      </c>
      <c r="E387" s="1">
        <f>'[1]Forward Ranks'!K387</f>
        <v>0.18558951965065501</v>
      </c>
      <c r="F387" s="1">
        <f>'[1]Forward Ranks'!L387</f>
        <v>0.1331877729257642</v>
      </c>
      <c r="G387">
        <f>'[1]Forward Ranks'!N387</f>
        <v>0</v>
      </c>
      <c r="H387" s="1">
        <f>'[1]Forward Ranks'!S387</f>
        <v>0.36681222707423583</v>
      </c>
      <c r="I387" s="1">
        <f>'[1]Forward Ranks'!T387</f>
        <v>0.43449781659388648</v>
      </c>
      <c r="J387" s="1">
        <f>'[1]Forward Ranks'!U387</f>
        <v>0.45851528384279477</v>
      </c>
      <c r="K387" s="1">
        <f>'[1]Forward Ranks'!V387</f>
        <v>0.37117903930131002</v>
      </c>
      <c r="L387">
        <f>'[1]Forward Ranks'!X387</f>
        <v>0</v>
      </c>
      <c r="M387" s="1">
        <f>'[1]Forward Ranks'!AC387</f>
        <v>0.23799126637554585</v>
      </c>
      <c r="N387" s="1">
        <f>'[1]Forward Ranks'!AD387</f>
        <v>0.18340611353711792</v>
      </c>
      <c r="O387" s="1">
        <f>'[1]Forward Ranks'!AE387</f>
        <v>0.24672489082969432</v>
      </c>
      <c r="P387" s="1">
        <f>'[1]Forward Ranks'!AF387</f>
        <v>0.18777292576419213</v>
      </c>
      <c r="Q387">
        <f>'[1]Forward Ranks'!AH387</f>
        <v>0</v>
      </c>
      <c r="R387" s="1">
        <f>'[1]Forward Ranks'!AM387</f>
        <v>0.44104803493449779</v>
      </c>
      <c r="S387" s="1">
        <f>'[1]Forward Ranks'!AN387</f>
        <v>0.51091703056768556</v>
      </c>
      <c r="T387" s="1">
        <f>'[1]Forward Ranks'!AO387</f>
        <v>0.29694323144104806</v>
      </c>
      <c r="U387" s="1">
        <f>'[1]Forward Ranks'!AP387</f>
        <v>0.36244541484716158</v>
      </c>
      <c r="V387">
        <f>'[1]Forward Ranks'!AR387</f>
        <v>0</v>
      </c>
      <c r="W387" s="1">
        <f>'[1]Forward Ranks'!AW387</f>
        <v>0.49781659388646288</v>
      </c>
      <c r="X387" s="1">
        <f>'[1]Forward Ranks'!AX387</f>
        <v>0.41484716157205243</v>
      </c>
      <c r="Y387" s="1">
        <f>'[1]Forward Ranks'!AY387</f>
        <v>0.4366812227074236</v>
      </c>
      <c r="Z387" s="1">
        <f>'[1]Forward Ranks'!AZ387</f>
        <v>0.48034934497816595</v>
      </c>
      <c r="AA387">
        <f>'[1]Forward Ranks'!BB387</f>
        <v>0</v>
      </c>
      <c r="AB387" s="1">
        <f>'[1]Forward Ranks'!BG387</f>
        <v>0.42794759825327511</v>
      </c>
      <c r="AC387" s="1">
        <f>'[1]Forward Ranks'!BH387</f>
        <v>9.8253275109170299E-2</v>
      </c>
      <c r="AD387" s="1">
        <f>'[1]Forward Ranks'!BI387</f>
        <v>0.23580786026200873</v>
      </c>
      <c r="AE387" s="1">
        <f>'[1]Forward Ranks'!BJ387</f>
        <v>0.20524017467248909</v>
      </c>
      <c r="AF387">
        <f>'[1]Forward Ranks'!BL387</f>
        <v>0</v>
      </c>
      <c r="AG387" s="1">
        <f>'[1]Forward Ranks'!BQ387</f>
        <v>0.15720524017467249</v>
      </c>
      <c r="AH387" s="1">
        <f>'[1]Forward Ranks'!BR387</f>
        <v>0.17467248908296942</v>
      </c>
      <c r="AI387" s="1">
        <f>'[1]Forward Ranks'!BS387</f>
        <v>0.1222707423580786</v>
      </c>
      <c r="AJ387" s="1">
        <f>'[1]Forward Ranks'!BT387</f>
        <v>0.1091703056768559</v>
      </c>
      <c r="AL387" s="2">
        <f>'[1]Forward Ranks'!BX387</f>
        <v>0.15720524017467249</v>
      </c>
      <c r="AN387" t="str">
        <f>'[1]Forward Ranks'!B387</f>
        <v>CHI, TOR</v>
      </c>
      <c r="AO387">
        <f>'[1]F on ice'!E387</f>
        <v>70</v>
      </c>
      <c r="AP387" s="2">
        <f>'[1]Impact Score Math'!E387</f>
        <v>0.25250501002004005</v>
      </c>
      <c r="AQ387">
        <f>'[1]Impact Score Math'!G387</f>
        <v>374</v>
      </c>
      <c r="AT387" s="1">
        <f>'[1]Forward Ranks'!CJ387</f>
        <v>0.38209606986899564</v>
      </c>
      <c r="AU387" s="1">
        <f>'[1]Forward Ranks'!CK387</f>
        <v>0.63755458515283847</v>
      </c>
    </row>
    <row r="388" spans="1:47" x14ac:dyDescent="0.3">
      <c r="A388" t="str">
        <f>'[1]Forward Ranks'!A388</f>
        <v>Sam Reinhart</v>
      </c>
      <c r="B388">
        <f>'[1]Forward Ranks'!D388</f>
        <v>0</v>
      </c>
      <c r="C388" s="1">
        <f>'[1]Forward Ranks'!I388</f>
        <v>0.8493449781659389</v>
      </c>
      <c r="D388" s="1">
        <f>'[1]Forward Ranks'!J388</f>
        <v>0.80567685589519655</v>
      </c>
      <c r="E388" s="1">
        <f>'[1]Forward Ranks'!K388</f>
        <v>0.31441048034934499</v>
      </c>
      <c r="F388" s="1">
        <f>'[1]Forward Ranks'!L388</f>
        <v>0.79039301310043664</v>
      </c>
      <c r="G388">
        <f>'[1]Forward Ranks'!N388</f>
        <v>0</v>
      </c>
      <c r="H388" s="1">
        <f>'[1]Forward Ranks'!S388</f>
        <v>0.27510917030567683</v>
      </c>
      <c r="I388" s="1">
        <f>'[1]Forward Ranks'!T388</f>
        <v>0.66812227074235808</v>
      </c>
      <c r="J388" s="1">
        <f>'[1]Forward Ranks'!U388</f>
        <v>0.65938864628820959</v>
      </c>
      <c r="K388" s="1">
        <f>'[1]Forward Ranks'!V388</f>
        <v>0.50873362445414849</v>
      </c>
      <c r="L388">
        <f>'[1]Forward Ranks'!X388</f>
        <v>0</v>
      </c>
      <c r="M388" s="1">
        <f>'[1]Forward Ranks'!AC388</f>
        <v>0.69650655021834063</v>
      </c>
      <c r="N388" s="1">
        <f>'[1]Forward Ranks'!AD388</f>
        <v>0.69868995633187769</v>
      </c>
      <c r="O388" s="1">
        <f>'[1]Forward Ranks'!AE388</f>
        <v>0.45851528384279477</v>
      </c>
      <c r="P388" s="1">
        <f>'[1]Forward Ranks'!AF388</f>
        <v>0.83842794759825323</v>
      </c>
      <c r="Q388">
        <f>'[1]Forward Ranks'!AH388</f>
        <v>0</v>
      </c>
      <c r="R388" s="1">
        <f>'[1]Forward Ranks'!AM388</f>
        <v>0.388646288209607</v>
      </c>
      <c r="S388" s="1">
        <f>'[1]Forward Ranks'!AN388</f>
        <v>0.32314410480349343</v>
      </c>
      <c r="T388" s="1">
        <f>'[1]Forward Ranks'!AO388</f>
        <v>6.5502183406113537E-2</v>
      </c>
      <c r="U388" s="1">
        <f>'[1]Forward Ranks'!AP388</f>
        <v>0.29257641921397382</v>
      </c>
      <c r="V388">
        <f>'[1]Forward Ranks'!AR388</f>
        <v>0</v>
      </c>
      <c r="W388" s="1">
        <f>'[1]Forward Ranks'!AW388</f>
        <v>0.87117903930131002</v>
      </c>
      <c r="X388" s="1">
        <f>'[1]Forward Ranks'!AX388</f>
        <v>0.95633187772925765</v>
      </c>
      <c r="Y388" s="1">
        <f>'[1]Forward Ranks'!AY388</f>
        <v>0.4366812227074236</v>
      </c>
      <c r="Z388" s="1">
        <f>'[1]Forward Ranks'!AZ388</f>
        <v>0.95633187772925765</v>
      </c>
      <c r="AA388">
        <f>'[1]Forward Ranks'!BB388</f>
        <v>0</v>
      </c>
      <c r="AB388" s="1">
        <f>'[1]Forward Ranks'!BG388</f>
        <v>0.69868995633187769</v>
      </c>
      <c r="AC388" s="1">
        <f>'[1]Forward Ranks'!BH388</f>
        <v>0.42358078602620086</v>
      </c>
      <c r="AD388" s="1">
        <f>'[1]Forward Ranks'!BI388</f>
        <v>0.15283842794759825</v>
      </c>
      <c r="AE388" s="1">
        <f>'[1]Forward Ranks'!BJ388</f>
        <v>0.15938864628820962</v>
      </c>
      <c r="AF388">
        <f>'[1]Forward Ranks'!BL388</f>
        <v>0</v>
      </c>
      <c r="AG388" s="1">
        <f>'[1]Forward Ranks'!BQ388</f>
        <v>0.85152838427947597</v>
      </c>
      <c r="AH388" s="1">
        <f>'[1]Forward Ranks'!BR388</f>
        <v>0.83624454148471616</v>
      </c>
      <c r="AI388" s="1">
        <f>'[1]Forward Ranks'!BS388</f>
        <v>0.3296943231441048</v>
      </c>
      <c r="AJ388" s="1">
        <f>'[1]Forward Ranks'!BT388</f>
        <v>0.888646288209607</v>
      </c>
      <c r="AL388" s="2">
        <f>'[1]Forward Ranks'!BX388</f>
        <v>0.83187772925764192</v>
      </c>
      <c r="AN388" t="str">
        <f>'[1]Forward Ranks'!B388</f>
        <v>FLA</v>
      </c>
      <c r="AO388">
        <f>'[1]F on ice'!E388</f>
        <v>82</v>
      </c>
      <c r="AP388" s="2">
        <f>'[1]Impact Score Math'!E388</f>
        <v>0.85571142284569135</v>
      </c>
      <c r="AQ388">
        <f>'[1]Impact Score Math'!G388</f>
        <v>73</v>
      </c>
      <c r="AT388" s="1">
        <f>'[1]Forward Ranks'!CJ388</f>
        <v>0.93013100436681218</v>
      </c>
      <c r="AU388" s="1">
        <f>'[1]Forward Ranks'!CK388</f>
        <v>0.32096069868995636</v>
      </c>
    </row>
    <row r="389" spans="1:47" x14ac:dyDescent="0.3">
      <c r="A389" t="str">
        <f>'[1]Forward Ranks'!A389</f>
        <v>Sam Steel</v>
      </c>
      <c r="B389">
        <f>'[1]Forward Ranks'!D389</f>
        <v>0</v>
      </c>
      <c r="C389" s="1">
        <f>'[1]Forward Ranks'!I389</f>
        <v>0.61790393013100442</v>
      </c>
      <c r="D389" s="1">
        <f>'[1]Forward Ranks'!J389</f>
        <v>0.68558951965065507</v>
      </c>
      <c r="E389" s="1">
        <f>'[1]Forward Ranks'!K389</f>
        <v>0.59170305676855894</v>
      </c>
      <c r="F389" s="1">
        <f>'[1]Forward Ranks'!L389</f>
        <v>0.70524017467248912</v>
      </c>
      <c r="G389">
        <f>'[1]Forward Ranks'!N389</f>
        <v>0</v>
      </c>
      <c r="H389" s="1">
        <f>'[1]Forward Ranks'!S389</f>
        <v>0.36681222707423583</v>
      </c>
      <c r="I389" s="1">
        <f>'[1]Forward Ranks'!T389</f>
        <v>0.51528384279475981</v>
      </c>
      <c r="J389" s="1">
        <f>'[1]Forward Ranks'!U389</f>
        <v>0.23580786026200873</v>
      </c>
      <c r="K389" s="1">
        <f>'[1]Forward Ranks'!V389</f>
        <v>0.43886462882096072</v>
      </c>
      <c r="L389">
        <f>'[1]Forward Ranks'!X389</f>
        <v>0</v>
      </c>
      <c r="M389" s="1">
        <f>'[1]Forward Ranks'!AC389</f>
        <v>0.74890829694323147</v>
      </c>
      <c r="N389" s="1">
        <f>'[1]Forward Ranks'!AD389</f>
        <v>0.70305676855895194</v>
      </c>
      <c r="O389" s="1">
        <f>'[1]Forward Ranks'!AE389</f>
        <v>0.67903930131004364</v>
      </c>
      <c r="P389" s="1">
        <f>'[1]Forward Ranks'!AF389</f>
        <v>0.51310043668122274</v>
      </c>
      <c r="Q389">
        <f>'[1]Forward Ranks'!AH389</f>
        <v>0</v>
      </c>
      <c r="R389" s="1">
        <f>'[1]Forward Ranks'!AM389</f>
        <v>0.65502183406113534</v>
      </c>
      <c r="S389" s="1">
        <f>'[1]Forward Ranks'!AN389</f>
        <v>0.88209606986899558</v>
      </c>
      <c r="T389" s="1">
        <f>'[1]Forward Ranks'!AO389</f>
        <v>0.80131004366812231</v>
      </c>
      <c r="U389" s="1">
        <f>'[1]Forward Ranks'!AP389</f>
        <v>0.87554585152838427</v>
      </c>
      <c r="V389">
        <f>'[1]Forward Ranks'!AR389</f>
        <v>0</v>
      </c>
      <c r="W389" s="1">
        <f>'[1]Forward Ranks'!AW389</f>
        <v>0.79912663755458513</v>
      </c>
      <c r="X389" s="1">
        <f>'[1]Forward Ranks'!AX389</f>
        <v>0.15065502183406113</v>
      </c>
      <c r="Y389" s="1">
        <f>'[1]Forward Ranks'!AY389</f>
        <v>0.56986899563318782</v>
      </c>
      <c r="Z389" s="1">
        <f>'[1]Forward Ranks'!AZ389</f>
        <v>0.13100436681222707</v>
      </c>
      <c r="AA389">
        <f>'[1]Forward Ranks'!BB389</f>
        <v>0</v>
      </c>
      <c r="AB389" s="1">
        <f>'[1]Forward Ranks'!BG389</f>
        <v>0.61572052401746724</v>
      </c>
      <c r="AC389" s="1">
        <f>'[1]Forward Ranks'!BH389</f>
        <v>0.9126637554585153</v>
      </c>
      <c r="AD389" s="1">
        <f>'[1]Forward Ranks'!BI389</f>
        <v>0.6266375545851528</v>
      </c>
      <c r="AE389" s="1">
        <f>'[1]Forward Ranks'!BJ389</f>
        <v>0.70960698689956336</v>
      </c>
      <c r="AF389">
        <f>'[1]Forward Ranks'!BL389</f>
        <v>0</v>
      </c>
      <c r="AG389" s="1">
        <f>'[1]Forward Ranks'!BQ389</f>
        <v>0.72052401746724892</v>
      </c>
      <c r="AH389" s="1">
        <f>'[1]Forward Ranks'!BR389</f>
        <v>0.74235807860262004</v>
      </c>
      <c r="AI389" s="1">
        <f>'[1]Forward Ranks'!BS389</f>
        <v>0.69213973799126638</v>
      </c>
      <c r="AJ389" s="1">
        <f>'[1]Forward Ranks'!BT389</f>
        <v>0.65720524017467252</v>
      </c>
      <c r="AL389" s="2">
        <f>'[1]Forward Ranks'!BX389</f>
        <v>0.69650655021834063</v>
      </c>
      <c r="AN389" t="str">
        <f>'[1]Forward Ranks'!B389</f>
        <v>MIN</v>
      </c>
      <c r="AO389">
        <f>'[1]F on ice'!E389</f>
        <v>65</v>
      </c>
      <c r="AP389" s="2">
        <f>'[1]Impact Score Math'!E389</f>
        <v>0.72945891783567129</v>
      </c>
      <c r="AQ389">
        <f>'[1]Impact Score Math'!G389</f>
        <v>136</v>
      </c>
      <c r="AT389" s="1">
        <f>'[1]Forward Ranks'!CJ389</f>
        <v>0.63100436681222705</v>
      </c>
      <c r="AU389" s="1">
        <f>'[1]Forward Ranks'!CK389</f>
        <v>3.9301310043668124E-2</v>
      </c>
    </row>
    <row r="390" spans="1:47" x14ac:dyDescent="0.3">
      <c r="A390" t="str">
        <f>'[1]Forward Ranks'!A390</f>
        <v>Sammy Blais</v>
      </c>
      <c r="B390">
        <f>'[1]Forward Ranks'!D390</f>
        <v>0</v>
      </c>
      <c r="C390" s="1">
        <f>'[1]Forward Ranks'!I390</f>
        <v>5.8951965065502182E-2</v>
      </c>
      <c r="D390" s="1">
        <f>'[1]Forward Ranks'!J390</f>
        <v>5.8951965065502182E-2</v>
      </c>
      <c r="E390" s="1">
        <f>'[1]Forward Ranks'!K390</f>
        <v>0.51965065502183405</v>
      </c>
      <c r="F390" s="1">
        <f>'[1]Forward Ranks'!L390</f>
        <v>3.4934497816593885E-2</v>
      </c>
      <c r="G390">
        <f>'[1]Forward Ranks'!N390</f>
        <v>0</v>
      </c>
      <c r="H390" s="1">
        <f>'[1]Forward Ranks'!S390</f>
        <v>0.55676855895196509</v>
      </c>
      <c r="I390" s="1">
        <f>'[1]Forward Ranks'!T390</f>
        <v>0.71179039301310043</v>
      </c>
      <c r="J390" s="1">
        <f>'[1]Forward Ranks'!U390</f>
        <v>0.39519650655021832</v>
      </c>
      <c r="K390" s="1">
        <f>'[1]Forward Ranks'!V390</f>
        <v>0.66812227074235808</v>
      </c>
      <c r="L390">
        <f>'[1]Forward Ranks'!X390</f>
        <v>0</v>
      </c>
      <c r="M390" s="1">
        <f>'[1]Forward Ranks'!AC390</f>
        <v>0.55458515283842791</v>
      </c>
      <c r="N390" s="1">
        <f>'[1]Forward Ranks'!AD390</f>
        <v>0.51746724890829698</v>
      </c>
      <c r="O390" s="1">
        <f>'[1]Forward Ranks'!AE390</f>
        <v>0.85152838427947597</v>
      </c>
      <c r="P390" s="1">
        <f>'[1]Forward Ranks'!AF390</f>
        <v>0.5873362445414847</v>
      </c>
      <c r="Q390">
        <f>'[1]Forward Ranks'!AH390</f>
        <v>0</v>
      </c>
      <c r="R390" s="1">
        <f>'[1]Forward Ranks'!AM390</f>
        <v>5.8951965065502182E-2</v>
      </c>
      <c r="S390" s="1">
        <f>'[1]Forward Ranks'!AN390</f>
        <v>0.12008733624454149</v>
      </c>
      <c r="T390" s="1">
        <f>'[1]Forward Ranks'!AO390</f>
        <v>0.41921397379912662</v>
      </c>
      <c r="U390" s="1">
        <f>'[1]Forward Ranks'!AP390</f>
        <v>6.5502183406113537E-2</v>
      </c>
      <c r="V390">
        <f>'[1]Forward Ranks'!AR390</f>
        <v>0</v>
      </c>
      <c r="W390" s="1">
        <f>'[1]Forward Ranks'!AW390</f>
        <v>0.49563318777292575</v>
      </c>
      <c r="X390" s="1">
        <f>'[1]Forward Ranks'!AX390</f>
        <v>0.59606986899563319</v>
      </c>
      <c r="Y390" s="1">
        <f>'[1]Forward Ranks'!AY390</f>
        <v>0.79694323144104806</v>
      </c>
      <c r="Z390" s="1">
        <f>'[1]Forward Ranks'!AZ390</f>
        <v>0.76200873362445409</v>
      </c>
      <c r="AA390">
        <f>'[1]Forward Ranks'!BB390</f>
        <v>0</v>
      </c>
      <c r="AB390" s="1">
        <f>'[1]Forward Ranks'!BG390</f>
        <v>0.25982532751091703</v>
      </c>
      <c r="AC390" s="1">
        <f>'[1]Forward Ranks'!BH390</f>
        <v>0.51310043668122274</v>
      </c>
      <c r="AD390" s="1">
        <f>'[1]Forward Ranks'!BI390</f>
        <v>0.87117903930131002</v>
      </c>
      <c r="AE390" s="1">
        <f>'[1]Forward Ranks'!BJ390</f>
        <v>0.94323144104803491</v>
      </c>
      <c r="AF390">
        <f>'[1]Forward Ranks'!BL390</f>
        <v>0</v>
      </c>
      <c r="AG390" s="1">
        <f>'[1]Forward Ranks'!BQ390</f>
        <v>0.15938864628820962</v>
      </c>
      <c r="AH390" s="1">
        <f>'[1]Forward Ranks'!BR390</f>
        <v>0.14192139737991266</v>
      </c>
      <c r="AI390" s="1">
        <f>'[1]Forward Ranks'!BS390</f>
        <v>0.81441048034934493</v>
      </c>
      <c r="AJ390" s="1">
        <f>'[1]Forward Ranks'!BT390</f>
        <v>0.10043668122270742</v>
      </c>
      <c r="AL390" s="2">
        <f>'[1]Forward Ranks'!BX390</f>
        <v>0.21179039301310043</v>
      </c>
      <c r="AN390" t="str">
        <f>'[1]Forward Ranks'!B390</f>
        <v>NYR, STL</v>
      </c>
      <c r="AO390">
        <f>'[1]F on ice'!E390</f>
        <v>71</v>
      </c>
      <c r="AP390" s="2">
        <f>'[1]Impact Score Math'!E390</f>
        <v>0.26853707414829658</v>
      </c>
      <c r="AQ390">
        <f>'[1]Impact Score Math'!G390</f>
        <v>366</v>
      </c>
      <c r="AT390" s="1">
        <f>'[1]Forward Ranks'!CJ390</f>
        <v>0.28820960698689957</v>
      </c>
      <c r="AU390" s="1">
        <f>'[1]Forward Ranks'!CK390</f>
        <v>0.85589519650655022</v>
      </c>
    </row>
    <row r="391" spans="1:47" x14ac:dyDescent="0.3">
      <c r="A391" t="str">
        <f>'[1]Forward Ranks'!A391</f>
        <v>Scott Laughton</v>
      </c>
      <c r="B391">
        <f>'[1]Forward Ranks'!D391</f>
        <v>0</v>
      </c>
      <c r="C391" s="1">
        <f>'[1]Forward Ranks'!I391</f>
        <v>0.67030567685589515</v>
      </c>
      <c r="D391" s="1">
        <f>'[1]Forward Ranks'!J391</f>
        <v>0.50655021834061131</v>
      </c>
      <c r="E391" s="1">
        <f>'[1]Forward Ranks'!K391</f>
        <v>0.42358078602620086</v>
      </c>
      <c r="F391" s="1">
        <f>'[1]Forward Ranks'!L391</f>
        <v>0.55458515283842791</v>
      </c>
      <c r="G391">
        <f>'[1]Forward Ranks'!N391</f>
        <v>0</v>
      </c>
      <c r="H391" s="1">
        <f>'[1]Forward Ranks'!S391</f>
        <v>0.2205240174672489</v>
      </c>
      <c r="I391" s="1">
        <f>'[1]Forward Ranks'!T391</f>
        <v>0.37336244541484714</v>
      </c>
      <c r="J391" s="1">
        <f>'[1]Forward Ranks'!U391</f>
        <v>0.21615720524017468</v>
      </c>
      <c r="K391" s="1">
        <f>'[1]Forward Ranks'!V391</f>
        <v>0.23144104803493451</v>
      </c>
      <c r="L391">
        <f>'[1]Forward Ranks'!X391</f>
        <v>0</v>
      </c>
      <c r="M391" s="1">
        <f>'[1]Forward Ranks'!AC391</f>
        <v>0.21397379912663755</v>
      </c>
      <c r="N391" s="1">
        <f>'[1]Forward Ranks'!AD391</f>
        <v>0.20087336244541484</v>
      </c>
      <c r="O391" s="1">
        <f>'[1]Forward Ranks'!AE391</f>
        <v>0.33624454148471616</v>
      </c>
      <c r="P391" s="1">
        <f>'[1]Forward Ranks'!AF391</f>
        <v>0.37554585152838427</v>
      </c>
      <c r="Q391">
        <f>'[1]Forward Ranks'!AH391</f>
        <v>0</v>
      </c>
      <c r="R391" s="1">
        <f>'[1]Forward Ranks'!AM391</f>
        <v>0.80786026200873362</v>
      </c>
      <c r="S391" s="1">
        <f>'[1]Forward Ranks'!AN391</f>
        <v>0.68122270742358082</v>
      </c>
      <c r="T391" s="1">
        <f>'[1]Forward Ranks'!AO391</f>
        <v>0.59388646288209612</v>
      </c>
      <c r="U391" s="1">
        <f>'[1]Forward Ranks'!AP391</f>
        <v>0.75982532751091703</v>
      </c>
      <c r="V391">
        <f>'[1]Forward Ranks'!AR391</f>
        <v>0</v>
      </c>
      <c r="W391" s="1">
        <f>'[1]Forward Ranks'!AW391</f>
        <v>0.20305676855895197</v>
      </c>
      <c r="X391" s="1">
        <f>'[1]Forward Ranks'!AX391</f>
        <v>0.17248908296943233</v>
      </c>
      <c r="Y391" s="1">
        <f>'[1]Forward Ranks'!AY391</f>
        <v>0.27292576419213976</v>
      </c>
      <c r="Z391" s="1">
        <f>'[1]Forward Ranks'!AZ391</f>
        <v>0.34061135371179041</v>
      </c>
      <c r="AA391">
        <f>'[1]Forward Ranks'!BB391</f>
        <v>0</v>
      </c>
      <c r="AB391" s="1">
        <f>'[1]Forward Ranks'!BG391</f>
        <v>0.79694323144104806</v>
      </c>
      <c r="AC391" s="1">
        <f>'[1]Forward Ranks'!BH391</f>
        <v>0.21615720524017468</v>
      </c>
      <c r="AD391" s="1">
        <f>'[1]Forward Ranks'!BI391</f>
        <v>0.26855895196506552</v>
      </c>
      <c r="AE391" s="1">
        <f>'[1]Forward Ranks'!BJ391</f>
        <v>0.25982532751091703</v>
      </c>
      <c r="AF391">
        <f>'[1]Forward Ranks'!BL391</f>
        <v>0</v>
      </c>
      <c r="AG391" s="1">
        <f>'[1]Forward Ranks'!BQ391</f>
        <v>0.46724890829694321</v>
      </c>
      <c r="AH391" s="1">
        <f>'[1]Forward Ranks'!BR391</f>
        <v>0.35371179039301309</v>
      </c>
      <c r="AI391" s="1">
        <f>'[1]Forward Ranks'!BS391</f>
        <v>0.33842794759825329</v>
      </c>
      <c r="AJ391" s="1">
        <f>'[1]Forward Ranks'!BT391</f>
        <v>0.47161572052401746</v>
      </c>
      <c r="AL391" s="2">
        <f>'[1]Forward Ranks'!BX391</f>
        <v>0.44323144104803491</v>
      </c>
      <c r="AN391" t="str">
        <f>'[1]Forward Ranks'!B391</f>
        <v>PHI</v>
      </c>
      <c r="AO391">
        <f>'[1]F on ice'!E391</f>
        <v>78</v>
      </c>
      <c r="AP391" s="2">
        <f>'[1]Impact Score Math'!E391</f>
        <v>0.58517034068136276</v>
      </c>
      <c r="AQ391">
        <f>'[1]Impact Score Math'!G391</f>
        <v>208</v>
      </c>
      <c r="AT391" s="1">
        <f>'[1]Forward Ranks'!CJ391</f>
        <v>0.36026200873362446</v>
      </c>
      <c r="AU391" s="1">
        <f>'[1]Forward Ranks'!CK391</f>
        <v>0.44323144104803491</v>
      </c>
    </row>
    <row r="392" spans="1:47" x14ac:dyDescent="0.3">
      <c r="A392" t="str">
        <f>'[1]Forward Ranks'!A392</f>
        <v>Sean Kuraly</v>
      </c>
      <c r="B392">
        <f>'[1]Forward Ranks'!D392</f>
        <v>0</v>
      </c>
      <c r="C392" s="1">
        <f>'[1]Forward Ranks'!I392</f>
        <v>0.13755458515283842</v>
      </c>
      <c r="D392" s="1">
        <f>'[1]Forward Ranks'!J392</f>
        <v>0.25545851528384278</v>
      </c>
      <c r="E392" s="1">
        <f>'[1]Forward Ranks'!K392</f>
        <v>7.4235807860262015E-2</v>
      </c>
      <c r="F392" s="1">
        <f>'[1]Forward Ranks'!L392</f>
        <v>0.22707423580786026</v>
      </c>
      <c r="G392">
        <f>'[1]Forward Ranks'!N392</f>
        <v>0</v>
      </c>
      <c r="H392" s="1">
        <f>'[1]Forward Ranks'!S392</f>
        <v>0.16812227074235808</v>
      </c>
      <c r="I392" s="1">
        <f>'[1]Forward Ranks'!T392</f>
        <v>9.8253275109170299E-2</v>
      </c>
      <c r="J392" s="1">
        <f>'[1]Forward Ranks'!U392</f>
        <v>0.21615720524017468</v>
      </c>
      <c r="K392" s="1">
        <f>'[1]Forward Ranks'!V392</f>
        <v>6.9868995633187769E-2</v>
      </c>
      <c r="L392">
        <f>'[1]Forward Ranks'!X392</f>
        <v>0</v>
      </c>
      <c r="M392" s="1">
        <f>'[1]Forward Ranks'!AC392</f>
        <v>3.4934497816593885E-2</v>
      </c>
      <c r="N392" s="1">
        <f>'[1]Forward Ranks'!AD392</f>
        <v>0.14628820960698691</v>
      </c>
      <c r="O392" s="1">
        <f>'[1]Forward Ranks'!AE392</f>
        <v>1.7467248908296942E-2</v>
      </c>
      <c r="P392" s="1">
        <f>'[1]Forward Ranks'!AF392</f>
        <v>7.2052401746724892E-2</v>
      </c>
      <c r="Q392">
        <f>'[1]Forward Ranks'!AH392</f>
        <v>0</v>
      </c>
      <c r="R392" s="1">
        <f>'[1]Forward Ranks'!AM392</f>
        <v>0.25982532751091703</v>
      </c>
      <c r="S392" s="1">
        <f>'[1]Forward Ranks'!AN392</f>
        <v>0.63537117903930129</v>
      </c>
      <c r="T392" s="1">
        <f>'[1]Forward Ranks'!AO392</f>
        <v>0.23580786026200873</v>
      </c>
      <c r="U392" s="1">
        <f>'[1]Forward Ranks'!AP392</f>
        <v>0.45196506550218341</v>
      </c>
      <c r="V392">
        <f>'[1]Forward Ranks'!AR392</f>
        <v>0</v>
      </c>
      <c r="W392" s="1">
        <f>'[1]Forward Ranks'!AW392</f>
        <v>0.16375545851528384</v>
      </c>
      <c r="X392" s="1">
        <f>'[1]Forward Ranks'!AX392</f>
        <v>0.24454148471615719</v>
      </c>
      <c r="Y392" s="1">
        <f>'[1]Forward Ranks'!AY392</f>
        <v>8.9519650655021835E-2</v>
      </c>
      <c r="Z392" s="1">
        <f>'[1]Forward Ranks'!AZ392</f>
        <v>0.18122270742358079</v>
      </c>
      <c r="AA392">
        <f>'[1]Forward Ranks'!BB392</f>
        <v>0</v>
      </c>
      <c r="AB392" s="1">
        <f>'[1]Forward Ranks'!BG392</f>
        <v>0.51965065502183405</v>
      </c>
      <c r="AC392" s="1">
        <f>'[1]Forward Ranks'!BH392</f>
        <v>2.1834061135371178E-2</v>
      </c>
      <c r="AD392" s="1">
        <f>'[1]Forward Ranks'!BI392</f>
        <v>8.9519650655021835E-2</v>
      </c>
      <c r="AE392" s="1">
        <f>'[1]Forward Ranks'!BJ392</f>
        <v>3.9301310043668124E-2</v>
      </c>
      <c r="AF392">
        <f>'[1]Forward Ranks'!BL392</f>
        <v>0</v>
      </c>
      <c r="AG392" s="1">
        <f>'[1]Forward Ranks'!BQ392</f>
        <v>3.2751091703056769E-2</v>
      </c>
      <c r="AH392" s="1">
        <f>'[1]Forward Ranks'!BR392</f>
        <v>0.17903930131004367</v>
      </c>
      <c r="AI392" s="1">
        <f>'[1]Forward Ranks'!BS392</f>
        <v>2.1834061135371178E-2</v>
      </c>
      <c r="AJ392" s="1">
        <f>'[1]Forward Ranks'!BT392</f>
        <v>8.9519650655021835E-2</v>
      </c>
      <c r="AL392" s="2">
        <f>'[1]Forward Ranks'!BX392</f>
        <v>2.4017467248908297E-2</v>
      </c>
      <c r="AN392" t="str">
        <f>'[1]Forward Ranks'!B392</f>
        <v>CBJ</v>
      </c>
      <c r="AO392">
        <f>'[1]F on ice'!E392</f>
        <v>71</v>
      </c>
      <c r="AP392" s="2">
        <f>'[1]Impact Score Math'!E392</f>
        <v>0.11623246492985972</v>
      </c>
      <c r="AQ392">
        <f>'[1]Impact Score Math'!G392</f>
        <v>442</v>
      </c>
      <c r="AT392" s="1">
        <f>'[1]Forward Ranks'!CJ392</f>
        <v>9.8253275109170299E-2</v>
      </c>
      <c r="AU392" s="1">
        <f>'[1]Forward Ranks'!CK392</f>
        <v>0.52183406113537123</v>
      </c>
    </row>
    <row r="393" spans="1:47" x14ac:dyDescent="0.3">
      <c r="A393" t="str">
        <f>'[1]Forward Ranks'!A393</f>
        <v>Sean Monahan</v>
      </c>
      <c r="B393">
        <f>'[1]Forward Ranks'!D393</f>
        <v>0</v>
      </c>
      <c r="C393" s="1">
        <f>'[1]Forward Ranks'!I393</f>
        <v>0.66375545851528384</v>
      </c>
      <c r="D393" s="1">
        <f>'[1]Forward Ranks'!J393</f>
        <v>0.24890829694323144</v>
      </c>
      <c r="E393" s="1">
        <f>'[1]Forward Ranks'!K393</f>
        <v>0.48034934497816595</v>
      </c>
      <c r="F393" s="1">
        <f>'[1]Forward Ranks'!L393</f>
        <v>0.61353711790393017</v>
      </c>
      <c r="G393">
        <f>'[1]Forward Ranks'!N393</f>
        <v>0</v>
      </c>
      <c r="H393" s="1">
        <f>'[1]Forward Ranks'!S393</f>
        <v>0.42358078602620086</v>
      </c>
      <c r="I393" s="1">
        <f>'[1]Forward Ranks'!T393</f>
        <v>0.77074235807860259</v>
      </c>
      <c r="J393" s="1">
        <f>'[1]Forward Ranks'!U393</f>
        <v>0.94541484716157209</v>
      </c>
      <c r="K393" s="1">
        <f>'[1]Forward Ranks'!V393</f>
        <v>0.65938864628820959</v>
      </c>
      <c r="L393">
        <f>'[1]Forward Ranks'!X393</f>
        <v>0</v>
      </c>
      <c r="M393" s="1">
        <f>'[1]Forward Ranks'!AC393</f>
        <v>0.55676855895196509</v>
      </c>
      <c r="N393" s="1">
        <f>'[1]Forward Ranks'!AD393</f>
        <v>0.12008733624454149</v>
      </c>
      <c r="O393" s="1">
        <f>'[1]Forward Ranks'!AE393</f>
        <v>0.17467248908296942</v>
      </c>
      <c r="P393" s="1">
        <f>'[1]Forward Ranks'!AF393</f>
        <v>0.14847161572052403</v>
      </c>
      <c r="Q393">
        <f>'[1]Forward Ranks'!AH393</f>
        <v>0</v>
      </c>
      <c r="R393" s="1">
        <f>'[1]Forward Ranks'!AM393</f>
        <v>0.82969432314410485</v>
      </c>
      <c r="S393" s="1">
        <f>'[1]Forward Ranks'!AN393</f>
        <v>0.58515283842794763</v>
      </c>
      <c r="T393" s="1">
        <f>'[1]Forward Ranks'!AO393</f>
        <v>0.43449781659388648</v>
      </c>
      <c r="U393" s="1">
        <f>'[1]Forward Ranks'!AP393</f>
        <v>0.81659388646288211</v>
      </c>
      <c r="V393">
        <f>'[1]Forward Ranks'!AR393</f>
        <v>0</v>
      </c>
      <c r="W393" s="1">
        <f>'[1]Forward Ranks'!AW393</f>
        <v>0.35371179039301309</v>
      </c>
      <c r="X393" s="1">
        <f>'[1]Forward Ranks'!AX393</f>
        <v>0.12445414847161572</v>
      </c>
      <c r="Y393" s="1">
        <f>'[1]Forward Ranks'!AY393</f>
        <v>0.40611353711790393</v>
      </c>
      <c r="Z393" s="1">
        <f>'[1]Forward Ranks'!AZ393</f>
        <v>0.20305676855895197</v>
      </c>
      <c r="AA393">
        <f>'[1]Forward Ranks'!BB393</f>
        <v>0</v>
      </c>
      <c r="AB393" s="1">
        <f>'[1]Forward Ranks'!BG393</f>
        <v>0.37554585152838427</v>
      </c>
      <c r="AC393" s="1">
        <f>'[1]Forward Ranks'!BH393</f>
        <v>0.60480349344978168</v>
      </c>
      <c r="AD393" s="1">
        <f>'[1]Forward Ranks'!BI393</f>
        <v>0.31441048034934499</v>
      </c>
      <c r="AE393" s="1">
        <f>'[1]Forward Ranks'!BJ393</f>
        <v>0.14628820960698691</v>
      </c>
      <c r="AF393">
        <f>'[1]Forward Ranks'!BL393</f>
        <v>0</v>
      </c>
      <c r="AG393" s="1">
        <f>'[1]Forward Ranks'!BQ393</f>
        <v>0.63100436681222705</v>
      </c>
      <c r="AH393" s="1">
        <f>'[1]Forward Ranks'!BR393</f>
        <v>0.15720524017467249</v>
      </c>
      <c r="AI393" s="1">
        <f>'[1]Forward Ranks'!BS393</f>
        <v>0.27292576419213976</v>
      </c>
      <c r="AJ393" s="1">
        <f>'[1]Forward Ranks'!BT393</f>
        <v>0.35371179039301309</v>
      </c>
      <c r="AL393" s="2">
        <f>'[1]Forward Ranks'!BX393</f>
        <v>0.62882096069868998</v>
      </c>
      <c r="AN393" t="str">
        <f>'[1]Forward Ranks'!B393</f>
        <v>MTL</v>
      </c>
      <c r="AO393">
        <f>'[1]F on ice'!E393</f>
        <v>25</v>
      </c>
      <c r="AP393" s="2">
        <f>'[1]Impact Score Math'!E393</f>
        <v>0.61923847695390777</v>
      </c>
      <c r="AQ393">
        <f>'[1]Impact Score Math'!G393</f>
        <v>191</v>
      </c>
      <c r="AT393" s="1">
        <f>'[1]Forward Ranks'!CJ393</f>
        <v>0.82096069868995636</v>
      </c>
      <c r="AU393" s="1">
        <f>'[1]Forward Ranks'!CK393</f>
        <v>1.3100436681222707E-2</v>
      </c>
    </row>
    <row r="394" spans="1:47" x14ac:dyDescent="0.3">
      <c r="A394" t="str">
        <f>'[1]Forward Ranks'!A394</f>
        <v>Sebastian Aho</v>
      </c>
      <c r="B394">
        <f>'[1]Forward Ranks'!D394</f>
        <v>0</v>
      </c>
      <c r="C394" s="1">
        <f>'[1]Forward Ranks'!I394</f>
        <v>0.98471615720524019</v>
      </c>
      <c r="D394" s="1">
        <f>'[1]Forward Ranks'!J394</f>
        <v>0.93231441048034935</v>
      </c>
      <c r="E394" s="1">
        <f>'[1]Forward Ranks'!K394</f>
        <v>0.83842794759825323</v>
      </c>
      <c r="F394" s="1">
        <f>'[1]Forward Ranks'!L394</f>
        <v>0.9606986899563319</v>
      </c>
      <c r="G394">
        <f>'[1]Forward Ranks'!N394</f>
        <v>0</v>
      </c>
      <c r="H394" s="1">
        <f>'[1]Forward Ranks'!S394</f>
        <v>0.95414847161572047</v>
      </c>
      <c r="I394" s="1">
        <f>'[1]Forward Ranks'!T394</f>
        <v>0.4759825327510917</v>
      </c>
      <c r="J394" s="1">
        <f>'[1]Forward Ranks'!U394</f>
        <v>0.78165938864628826</v>
      </c>
      <c r="K394" s="1">
        <f>'[1]Forward Ranks'!V394</f>
        <v>0.8493449781659389</v>
      </c>
      <c r="L394">
        <f>'[1]Forward Ranks'!X394</f>
        <v>0</v>
      </c>
      <c r="M394" s="1">
        <f>'[1]Forward Ranks'!AC394</f>
        <v>0.82314410480349343</v>
      </c>
      <c r="N394" s="1">
        <f>'[1]Forward Ranks'!AD394</f>
        <v>0.72270742358078599</v>
      </c>
      <c r="O394" s="1">
        <f>'[1]Forward Ranks'!AE394</f>
        <v>0.5</v>
      </c>
      <c r="P394" s="1">
        <f>'[1]Forward Ranks'!AF394</f>
        <v>0.85371179039301315</v>
      </c>
      <c r="Q394">
        <f>'[1]Forward Ranks'!AH394</f>
        <v>0</v>
      </c>
      <c r="R394" s="1">
        <f>'[1]Forward Ranks'!AM394</f>
        <v>0.78384279475982532</v>
      </c>
      <c r="S394" s="1">
        <f>'[1]Forward Ranks'!AN394</f>
        <v>0.77947598253275108</v>
      </c>
      <c r="T394" s="1">
        <f>'[1]Forward Ranks'!AO394</f>
        <v>0.83842794759825323</v>
      </c>
      <c r="U394" s="1">
        <f>'[1]Forward Ranks'!AP394</f>
        <v>0.85807860262008728</v>
      </c>
      <c r="V394">
        <f>'[1]Forward Ranks'!AR394</f>
        <v>0</v>
      </c>
      <c r="W394" s="1">
        <f>'[1]Forward Ranks'!AW394</f>
        <v>3.2751091703056769E-2</v>
      </c>
      <c r="X394" s="1">
        <f>'[1]Forward Ranks'!AX394</f>
        <v>0.23580786026200873</v>
      </c>
      <c r="Y394" s="1">
        <f>'[1]Forward Ranks'!AY394</f>
        <v>0.17467248908296942</v>
      </c>
      <c r="Z394" s="1">
        <f>'[1]Forward Ranks'!AZ394</f>
        <v>0.18122270742358079</v>
      </c>
      <c r="AA394">
        <f>'[1]Forward Ranks'!BB394</f>
        <v>0</v>
      </c>
      <c r="AB394" s="1">
        <f>'[1]Forward Ranks'!BG394</f>
        <v>0.74235807860262004</v>
      </c>
      <c r="AC394" s="1">
        <f>'[1]Forward Ranks'!BH394</f>
        <v>0.83406113537117899</v>
      </c>
      <c r="AD394" s="1">
        <f>'[1]Forward Ranks'!BI394</f>
        <v>0.55021834061135366</v>
      </c>
      <c r="AE394" s="1">
        <f>'[1]Forward Ranks'!BJ394</f>
        <v>0.46288209606986902</v>
      </c>
      <c r="AF394">
        <f>'[1]Forward Ranks'!BL394</f>
        <v>0</v>
      </c>
      <c r="AG394" s="1">
        <f>'[1]Forward Ranks'!BQ394</f>
        <v>0.96506550218340614</v>
      </c>
      <c r="AH394" s="1">
        <f>'[1]Forward Ranks'!BR394</f>
        <v>0.93231441048034935</v>
      </c>
      <c r="AI394" s="1">
        <f>'[1]Forward Ranks'!BS394</f>
        <v>0.77510917030567683</v>
      </c>
      <c r="AJ394" s="1">
        <f>'[1]Forward Ranks'!BT394</f>
        <v>0.9759825327510917</v>
      </c>
      <c r="AL394" s="2">
        <f>'[1]Forward Ranks'!BX394</f>
        <v>0.8973799126637555</v>
      </c>
      <c r="AN394" t="str">
        <f>'[1]Forward Ranks'!B394</f>
        <v>CAR</v>
      </c>
      <c r="AO394">
        <f>'[1]F on ice'!E394</f>
        <v>75</v>
      </c>
      <c r="AP394" s="2">
        <f>'[1]Impact Score Math'!E394</f>
        <v>0.90180360721442887</v>
      </c>
      <c r="AQ394">
        <f>'[1]Impact Score Math'!G394</f>
        <v>50</v>
      </c>
      <c r="AT394" s="1">
        <f>'[1]Forward Ranks'!CJ394</f>
        <v>0.21179039301310043</v>
      </c>
      <c r="AU394" s="1">
        <f>'[1]Forward Ranks'!CK394</f>
        <v>0.88209606986899558</v>
      </c>
    </row>
    <row r="395" spans="1:47" x14ac:dyDescent="0.3">
      <c r="A395" t="str">
        <f>'[1]Forward Ranks'!A395</f>
        <v>Seth Jarvis</v>
      </c>
      <c r="B395">
        <f>'[1]Forward Ranks'!D395</f>
        <v>0</v>
      </c>
      <c r="C395" s="1">
        <f>'[1]Forward Ranks'!I395</f>
        <v>0.92576419213973804</v>
      </c>
      <c r="D395" s="1">
        <f>'[1]Forward Ranks'!J395</f>
        <v>0.85807860262008728</v>
      </c>
      <c r="E395" s="1">
        <f>'[1]Forward Ranks'!K395</f>
        <v>0.46943231441048033</v>
      </c>
      <c r="F395" s="1">
        <f>'[1]Forward Ranks'!L395</f>
        <v>0.89082969432314407</v>
      </c>
      <c r="G395">
        <f>'[1]Forward Ranks'!N395</f>
        <v>0</v>
      </c>
      <c r="H395" s="1">
        <f>'[1]Forward Ranks'!S395</f>
        <v>0.5873362445414847</v>
      </c>
      <c r="I395" s="1">
        <f>'[1]Forward Ranks'!T395</f>
        <v>0.22707423580786026</v>
      </c>
      <c r="J395" s="1">
        <f>'[1]Forward Ranks'!U395</f>
        <v>0.19868995633187772</v>
      </c>
      <c r="K395" s="1">
        <f>'[1]Forward Ranks'!V395</f>
        <v>0.32096069868995636</v>
      </c>
      <c r="L395">
        <f>'[1]Forward Ranks'!X395</f>
        <v>0</v>
      </c>
      <c r="M395" s="1">
        <f>'[1]Forward Ranks'!AC395</f>
        <v>0.96288209606986896</v>
      </c>
      <c r="N395" s="1">
        <f>'[1]Forward Ranks'!AD395</f>
        <v>0.81441048034934493</v>
      </c>
      <c r="O395" s="1">
        <f>'[1]Forward Ranks'!AE395</f>
        <v>0.83624454148471616</v>
      </c>
      <c r="P395" s="1">
        <f>'[1]Forward Ranks'!AF395</f>
        <v>0.96943231441048039</v>
      </c>
      <c r="Q395">
        <f>'[1]Forward Ranks'!AH395</f>
        <v>0</v>
      </c>
      <c r="R395" s="1">
        <f>'[1]Forward Ranks'!AM395</f>
        <v>0.44541484716157204</v>
      </c>
      <c r="S395" s="1">
        <f>'[1]Forward Ranks'!AN395</f>
        <v>0.50436681222707425</v>
      </c>
      <c r="T395" s="1">
        <f>'[1]Forward Ranks'!AO395</f>
        <v>0.43449781659388648</v>
      </c>
      <c r="U395" s="1">
        <f>'[1]Forward Ranks'!AP395</f>
        <v>0.60917030567685593</v>
      </c>
      <c r="V395">
        <f>'[1]Forward Ranks'!AR395</f>
        <v>0</v>
      </c>
      <c r="W395" s="1">
        <f>'[1]Forward Ranks'!AW395</f>
        <v>0.26419213973799127</v>
      </c>
      <c r="X395" s="1">
        <f>'[1]Forward Ranks'!AX395</f>
        <v>0.39082969432314413</v>
      </c>
      <c r="Y395" s="1">
        <f>'[1]Forward Ranks'!AY395</f>
        <v>0.62445414847161573</v>
      </c>
      <c r="Z395" s="1">
        <f>'[1]Forward Ranks'!AZ395</f>
        <v>0.49563318777292575</v>
      </c>
      <c r="AA395">
        <f>'[1]Forward Ranks'!BB395</f>
        <v>0</v>
      </c>
      <c r="AB395" s="1">
        <f>'[1]Forward Ranks'!BG395</f>
        <v>0.73362445414847166</v>
      </c>
      <c r="AC395" s="1">
        <f>'[1]Forward Ranks'!BH395</f>
        <v>0.88646288209606983</v>
      </c>
      <c r="AD395" s="1">
        <f>'[1]Forward Ranks'!BI395</f>
        <v>0.24672489082969432</v>
      </c>
      <c r="AE395" s="1">
        <f>'[1]Forward Ranks'!BJ395</f>
        <v>0.44323144104803491</v>
      </c>
      <c r="AF395">
        <f>'[1]Forward Ranks'!BL395</f>
        <v>0</v>
      </c>
      <c r="AG395" s="1">
        <f>'[1]Forward Ranks'!BQ395</f>
        <v>0.96288209606986896</v>
      </c>
      <c r="AH395" s="1">
        <f>'[1]Forward Ranks'!BR395</f>
        <v>0.9126637554585153</v>
      </c>
      <c r="AI395" s="1">
        <f>'[1]Forward Ranks'!BS395</f>
        <v>0.75982532751091703</v>
      </c>
      <c r="AJ395" s="1">
        <f>'[1]Forward Ranks'!BT395</f>
        <v>0.98034934497816595</v>
      </c>
      <c r="AL395" s="2">
        <f>'[1]Forward Ranks'!BX395</f>
        <v>0.80786026200873362</v>
      </c>
      <c r="AN395" t="str">
        <f>'[1]Forward Ranks'!B395</f>
        <v>CAR</v>
      </c>
      <c r="AO395">
        <f>'[1]F on ice'!E395</f>
        <v>82</v>
      </c>
      <c r="AP395" s="2">
        <f>'[1]Impact Score Math'!E395</f>
        <v>0.84969939879759515</v>
      </c>
      <c r="AQ395">
        <f>'[1]Impact Score Math'!G395</f>
        <v>76</v>
      </c>
      <c r="AT395" s="1">
        <f>'[1]Forward Ranks'!CJ395</f>
        <v>0.95414847161572047</v>
      </c>
      <c r="AU395" s="1">
        <f>'[1]Forward Ranks'!CK395</f>
        <v>0.40829694323144106</v>
      </c>
    </row>
    <row r="396" spans="1:47" x14ac:dyDescent="0.3">
      <c r="A396" t="str">
        <f>'[1]Forward Ranks'!A396</f>
        <v>Shane Pinto</v>
      </c>
      <c r="B396">
        <f>'[1]Forward Ranks'!D396</f>
        <v>0</v>
      </c>
      <c r="C396" s="1">
        <f>'[1]Forward Ranks'!I396</f>
        <v>0.74672489082969429</v>
      </c>
      <c r="D396" s="1">
        <f>'[1]Forward Ranks'!J396</f>
        <v>0.45633187772925765</v>
      </c>
      <c r="E396" s="1">
        <f>'[1]Forward Ranks'!K396</f>
        <v>0.2576419213973799</v>
      </c>
      <c r="F396" s="1">
        <f>'[1]Forward Ranks'!L396</f>
        <v>0.59825327510917026</v>
      </c>
      <c r="G396">
        <f>'[1]Forward Ranks'!N396</f>
        <v>0</v>
      </c>
      <c r="H396" s="1">
        <f>'[1]Forward Ranks'!S396</f>
        <v>0.67685589519650657</v>
      </c>
      <c r="I396" s="1">
        <f>'[1]Forward Ranks'!T396</f>
        <v>0.11572052401746726</v>
      </c>
      <c r="J396" s="1">
        <f>'[1]Forward Ranks'!U396</f>
        <v>0.11572052401746726</v>
      </c>
      <c r="K396" s="1">
        <f>'[1]Forward Ranks'!V396</f>
        <v>0.26637554585152839</v>
      </c>
      <c r="L396">
        <f>'[1]Forward Ranks'!X396</f>
        <v>0</v>
      </c>
      <c r="M396" s="1">
        <f>'[1]Forward Ranks'!AC396</f>
        <v>0.54803493449781659</v>
      </c>
      <c r="N396" s="1">
        <f>'[1]Forward Ranks'!AD396</f>
        <v>0.4366812227074236</v>
      </c>
      <c r="O396" s="1">
        <f>'[1]Forward Ranks'!AE396</f>
        <v>0.1943231441048035</v>
      </c>
      <c r="P396" s="1">
        <f>'[1]Forward Ranks'!AF396</f>
        <v>0.49563318777292575</v>
      </c>
      <c r="Q396">
        <f>'[1]Forward Ranks'!AH396</f>
        <v>0</v>
      </c>
      <c r="R396" s="1">
        <f>'[1]Forward Ranks'!AM396</f>
        <v>0.5240174672489083</v>
      </c>
      <c r="S396" s="1">
        <f>'[1]Forward Ranks'!AN396</f>
        <v>0.21397379912663755</v>
      </c>
      <c r="T396" s="1">
        <f>'[1]Forward Ranks'!AO396</f>
        <v>0.28820960698689957</v>
      </c>
      <c r="U396" s="1">
        <f>'[1]Forward Ranks'!AP396</f>
        <v>0.388646288209607</v>
      </c>
      <c r="V396">
        <f>'[1]Forward Ranks'!AR396</f>
        <v>0</v>
      </c>
      <c r="W396" s="1">
        <f>'[1]Forward Ranks'!AW396</f>
        <v>0.50655021834061131</v>
      </c>
      <c r="X396" s="1">
        <f>'[1]Forward Ranks'!AX396</f>
        <v>0.37117903930131002</v>
      </c>
      <c r="Y396" s="1">
        <f>'[1]Forward Ranks'!AY396</f>
        <v>0.23580786026200873</v>
      </c>
      <c r="Z396" s="1">
        <f>'[1]Forward Ranks'!AZ396</f>
        <v>0.48034934497816595</v>
      </c>
      <c r="AA396">
        <f>'[1]Forward Ranks'!BB396</f>
        <v>0</v>
      </c>
      <c r="AB396" s="1">
        <f>'[1]Forward Ranks'!BG396</f>
        <v>0.63537117903930129</v>
      </c>
      <c r="AC396" s="1">
        <f>'[1]Forward Ranks'!BH396</f>
        <v>0.75109170305676853</v>
      </c>
      <c r="AD396" s="1">
        <f>'[1]Forward Ranks'!BI396</f>
        <v>0.12445414847161572</v>
      </c>
      <c r="AE396" s="1">
        <f>'[1]Forward Ranks'!BJ396</f>
        <v>5.8951965065502182E-2</v>
      </c>
      <c r="AF396">
        <f>'[1]Forward Ranks'!BL396</f>
        <v>0</v>
      </c>
      <c r="AG396" s="1">
        <f>'[1]Forward Ranks'!BQ396</f>
        <v>0.69432314410480345</v>
      </c>
      <c r="AH396" s="1">
        <f>'[1]Forward Ranks'!BR396</f>
        <v>0.4126637554585153</v>
      </c>
      <c r="AI396" s="1">
        <f>'[1]Forward Ranks'!BS396</f>
        <v>0.14410480349344978</v>
      </c>
      <c r="AJ396" s="1">
        <f>'[1]Forward Ranks'!BT396</f>
        <v>0.57205240174672489</v>
      </c>
      <c r="AL396" s="2">
        <f>'[1]Forward Ranks'!BX396</f>
        <v>0.50655021834061131</v>
      </c>
      <c r="AN396" t="str">
        <f>'[1]Forward Ranks'!B396</f>
        <v>OTT</v>
      </c>
      <c r="AO396">
        <f>'[1]F on ice'!E396</f>
        <v>82</v>
      </c>
      <c r="AP396" s="2">
        <f>'[1]Impact Score Math'!E396</f>
        <v>0.62124248496993983</v>
      </c>
      <c r="AQ396">
        <f>'[1]Impact Score Math'!G396</f>
        <v>190</v>
      </c>
      <c r="AT396" s="1">
        <f>'[1]Forward Ranks'!CJ396</f>
        <v>0.71834061135371174</v>
      </c>
      <c r="AU396" s="1">
        <f>'[1]Forward Ranks'!CK396</f>
        <v>0.6746724890829694</v>
      </c>
    </row>
    <row r="397" spans="1:47" x14ac:dyDescent="0.3">
      <c r="A397" t="str">
        <f>'[1]Forward Ranks'!A397</f>
        <v>Sheldon Dries</v>
      </c>
      <c r="B397">
        <f>'[1]Forward Ranks'!D397</f>
        <v>0</v>
      </c>
      <c r="C397" s="1">
        <f>'[1]Forward Ranks'!I397</f>
        <v>0.13100436681222707</v>
      </c>
      <c r="D397" s="1">
        <f>'[1]Forward Ranks'!J397</f>
        <v>0.46506550218340609</v>
      </c>
      <c r="E397" s="1">
        <f>'[1]Forward Ranks'!K397</f>
        <v>0.32532751091703055</v>
      </c>
      <c r="F397" s="1">
        <f>'[1]Forward Ranks'!L397</f>
        <v>0.23362445414847161</v>
      </c>
      <c r="G397">
        <f>'[1]Forward Ranks'!N397</f>
        <v>0</v>
      </c>
      <c r="H397" s="1">
        <f>'[1]Forward Ranks'!S397</f>
        <v>0.388646288209607</v>
      </c>
      <c r="I397" s="1">
        <f>'[1]Forward Ranks'!T397</f>
        <v>6.5502183406113537E-2</v>
      </c>
      <c r="J397" s="1">
        <f>'[1]Forward Ranks'!U397</f>
        <v>9.1703056768558958E-2</v>
      </c>
      <c r="K397" s="1">
        <f>'[1]Forward Ranks'!V397</f>
        <v>9.8253275109170299E-2</v>
      </c>
      <c r="L397">
        <f>'[1]Forward Ranks'!X397</f>
        <v>0</v>
      </c>
      <c r="M397" s="1">
        <f>'[1]Forward Ranks'!AC397</f>
        <v>0.29694323144104806</v>
      </c>
      <c r="N397" s="1">
        <f>'[1]Forward Ranks'!AD397</f>
        <v>0.4366812227074236</v>
      </c>
      <c r="O397" s="1">
        <f>'[1]Forward Ranks'!AE397</f>
        <v>0.32314410480349343</v>
      </c>
      <c r="P397" s="1">
        <f>'[1]Forward Ranks'!AF397</f>
        <v>0.29694323144104806</v>
      </c>
      <c r="Q397">
        <f>'[1]Forward Ranks'!AH397</f>
        <v>0</v>
      </c>
      <c r="R397" s="1">
        <f>'[1]Forward Ranks'!AM397</f>
        <v>0.31222707423580787</v>
      </c>
      <c r="S397" s="1">
        <f>'[1]Forward Ranks'!AN397</f>
        <v>0.51965065502183405</v>
      </c>
      <c r="T397" s="1">
        <f>'[1]Forward Ranks'!AO397</f>
        <v>0.35152838427947597</v>
      </c>
      <c r="U397" s="1">
        <f>'[1]Forward Ranks'!AP397</f>
        <v>0.40174672489082969</v>
      </c>
      <c r="V397">
        <f>'[1]Forward Ranks'!AR397</f>
        <v>0</v>
      </c>
      <c r="W397" s="1">
        <f>'[1]Forward Ranks'!AW397</f>
        <v>0.1331877729257642</v>
      </c>
      <c r="X397" s="1">
        <f>'[1]Forward Ranks'!AX397</f>
        <v>0.31222707423580787</v>
      </c>
      <c r="Y397" s="1">
        <f>'[1]Forward Ranks'!AY397</f>
        <v>0.64628820960698685</v>
      </c>
      <c r="Z397" s="1">
        <f>'[1]Forward Ranks'!AZ397</f>
        <v>0.14192139737991266</v>
      </c>
      <c r="AA397">
        <f>'[1]Forward Ranks'!BB397</f>
        <v>0</v>
      </c>
      <c r="AB397" s="1">
        <f>'[1]Forward Ranks'!BG397</f>
        <v>9.606986899563319E-2</v>
      </c>
      <c r="AC397" s="1">
        <f>'[1]Forward Ranks'!BH397</f>
        <v>0.49344978165938863</v>
      </c>
      <c r="AD397" s="1">
        <f>'[1]Forward Ranks'!BI397</f>
        <v>0.52620087336244536</v>
      </c>
      <c r="AE397" s="1">
        <f>'[1]Forward Ranks'!BJ397</f>
        <v>0.41048034934497818</v>
      </c>
      <c r="AF397">
        <f>'[1]Forward Ranks'!BL397</f>
        <v>0</v>
      </c>
      <c r="AG397" s="1">
        <f>'[1]Forward Ranks'!BQ397</f>
        <v>0.14847161572052403</v>
      </c>
      <c r="AH397" s="1">
        <f>'[1]Forward Ranks'!BR397</f>
        <v>0.42139737991266374</v>
      </c>
      <c r="AI397" s="1">
        <f>'[1]Forward Ranks'!BS397</f>
        <v>0.25982532751091703</v>
      </c>
      <c r="AJ397" s="1">
        <f>'[1]Forward Ranks'!BT397</f>
        <v>0.21397379912663755</v>
      </c>
      <c r="AL397" s="2">
        <f>'[1]Forward Ranks'!BX397</f>
        <v>6.9868995633187769E-2</v>
      </c>
      <c r="AN397" t="str">
        <f>'[1]Forward Ranks'!B397</f>
        <v>VAN</v>
      </c>
      <c r="AO397">
        <f>'[1]F on ice'!E397</f>
        <v>63</v>
      </c>
      <c r="AP397" s="2">
        <f>'[1]Impact Score Math'!E397</f>
        <v>0.13026052104208416</v>
      </c>
      <c r="AQ397">
        <f>'[1]Impact Score Math'!G397</f>
        <v>435</v>
      </c>
      <c r="AT397" s="1">
        <f>'[1]Forward Ranks'!CJ397</f>
        <v>0.31222707423580787</v>
      </c>
      <c r="AU397" s="1">
        <f>'[1]Forward Ranks'!CK397</f>
        <v>0.72707423580786024</v>
      </c>
    </row>
    <row r="398" spans="1:47" x14ac:dyDescent="0.3">
      <c r="A398" t="str">
        <f>'[1]Forward Ranks'!A398</f>
        <v>Sidney Crosby</v>
      </c>
      <c r="B398">
        <f>'[1]Forward Ranks'!D398</f>
        <v>0</v>
      </c>
      <c r="C398" s="1">
        <f>'[1]Forward Ranks'!I398</f>
        <v>0.95414847161572047</v>
      </c>
      <c r="D398" s="1">
        <f>'[1]Forward Ranks'!J398</f>
        <v>0.96506550218340614</v>
      </c>
      <c r="E398" s="1">
        <f>'[1]Forward Ranks'!K398</f>
        <v>0.85807860262008728</v>
      </c>
      <c r="F398" s="1">
        <f>'[1]Forward Ranks'!L398</f>
        <v>0.94541484716157209</v>
      </c>
      <c r="G398">
        <f>'[1]Forward Ranks'!N398</f>
        <v>0</v>
      </c>
      <c r="H398" s="1">
        <f>'[1]Forward Ranks'!S398</f>
        <v>0.83406113537117899</v>
      </c>
      <c r="I398" s="1">
        <f>'[1]Forward Ranks'!T398</f>
        <v>0.94104803493449785</v>
      </c>
      <c r="J398" s="1">
        <f>'[1]Forward Ranks'!U398</f>
        <v>0.88209606986899558</v>
      </c>
      <c r="K398" s="1">
        <f>'[1]Forward Ranks'!V398</f>
        <v>0.95414847161572047</v>
      </c>
      <c r="L398">
        <f>'[1]Forward Ranks'!X398</f>
        <v>0</v>
      </c>
      <c r="M398" s="1">
        <f>'[1]Forward Ranks'!AC398</f>
        <v>0.24017467248908297</v>
      </c>
      <c r="N398" s="1">
        <f>'[1]Forward Ranks'!AD398</f>
        <v>0.30349344978165937</v>
      </c>
      <c r="O398" s="1">
        <f>'[1]Forward Ranks'!AE398</f>
        <v>0.5393013100436681</v>
      </c>
      <c r="P398" s="1">
        <f>'[1]Forward Ranks'!AF398</f>
        <v>0.32532751091703055</v>
      </c>
      <c r="Q398">
        <f>'[1]Forward Ranks'!AH398</f>
        <v>0</v>
      </c>
      <c r="R398" s="1">
        <f>'[1]Forward Ranks'!AM398</f>
        <v>0.91484716157205237</v>
      </c>
      <c r="S398" s="1">
        <f>'[1]Forward Ranks'!AN398</f>
        <v>0.92576419213973804</v>
      </c>
      <c r="T398" s="1">
        <f>'[1]Forward Ranks'!AO398</f>
        <v>0.91703056768558955</v>
      </c>
      <c r="U398" s="1">
        <f>'[1]Forward Ranks'!AP398</f>
        <v>0.87991266375545851</v>
      </c>
      <c r="V398">
        <f>'[1]Forward Ranks'!AR398</f>
        <v>0</v>
      </c>
      <c r="W398" s="1">
        <f>'[1]Forward Ranks'!AW398</f>
        <v>0.20524017467248909</v>
      </c>
      <c r="X398" s="1">
        <f>'[1]Forward Ranks'!AX398</f>
        <v>0.31659388646288211</v>
      </c>
      <c r="Y398" s="1">
        <f>'[1]Forward Ranks'!AY398</f>
        <v>0.65720524017467252</v>
      </c>
      <c r="Z398" s="1">
        <f>'[1]Forward Ranks'!AZ398</f>
        <v>0.28820960698689957</v>
      </c>
      <c r="AA398">
        <f>'[1]Forward Ranks'!BB398</f>
        <v>0</v>
      </c>
      <c r="AB398" s="1">
        <f>'[1]Forward Ranks'!BG398</f>
        <v>0.96506550218340614</v>
      </c>
      <c r="AC398" s="1">
        <f>'[1]Forward Ranks'!BH398</f>
        <v>0.94759825327510916</v>
      </c>
      <c r="AD398" s="1">
        <f>'[1]Forward Ranks'!BI398</f>
        <v>0.66593886462882101</v>
      </c>
      <c r="AE398" s="1">
        <f>'[1]Forward Ranks'!BJ398</f>
        <v>0.74672489082969429</v>
      </c>
      <c r="AF398">
        <f>'[1]Forward Ranks'!BL398</f>
        <v>0</v>
      </c>
      <c r="AG398" s="1">
        <f>'[1]Forward Ranks'!BQ398</f>
        <v>0.80786026200873362</v>
      </c>
      <c r="AH398" s="1">
        <f>'[1]Forward Ranks'!BR398</f>
        <v>0.86899563318777295</v>
      </c>
      <c r="AI398" s="1">
        <f>'[1]Forward Ranks'!BS398</f>
        <v>0.80786026200873362</v>
      </c>
      <c r="AJ398" s="1">
        <f>'[1]Forward Ranks'!BT398</f>
        <v>0.86462882096069871</v>
      </c>
      <c r="AL398" s="2">
        <f>'[1]Forward Ranks'!BX398</f>
        <v>0.86899563318777295</v>
      </c>
      <c r="AN398" t="str">
        <f>'[1]Forward Ranks'!B398</f>
        <v>PIT</v>
      </c>
      <c r="AO398">
        <f>'[1]F on ice'!E398</f>
        <v>82</v>
      </c>
      <c r="AP398" s="2">
        <f>'[1]Impact Score Math'!E398</f>
        <v>0.95190380761523041</v>
      </c>
      <c r="AQ398">
        <f>'[1]Impact Score Math'!G398</f>
        <v>25</v>
      </c>
      <c r="AT398" s="1">
        <f>'[1]Forward Ranks'!CJ398</f>
        <v>0.42794759825327511</v>
      </c>
      <c r="AU398" s="1">
        <f>'[1]Forward Ranks'!CK398</f>
        <v>0.46724890829694321</v>
      </c>
    </row>
    <row r="399" spans="1:47" x14ac:dyDescent="0.3">
      <c r="A399" t="str">
        <f>'[1]Forward Ranks'!A399</f>
        <v>Simon Holmstrom</v>
      </c>
      <c r="B399">
        <f>'[1]Forward Ranks'!D399</f>
        <v>0</v>
      </c>
      <c r="C399" s="1">
        <f>'[1]Forward Ranks'!I399</f>
        <v>0.37336244541484714</v>
      </c>
      <c r="D399" s="1">
        <f>'[1]Forward Ranks'!J399</f>
        <v>0.51965065502183405</v>
      </c>
      <c r="E399" s="1">
        <f>'[1]Forward Ranks'!K399</f>
        <v>6.3318777292576414E-2</v>
      </c>
      <c r="F399" s="1">
        <f>'[1]Forward Ranks'!L399</f>
        <v>0.39956331877729256</v>
      </c>
      <c r="G399">
        <f>'[1]Forward Ranks'!N399</f>
        <v>0</v>
      </c>
      <c r="H399" s="1">
        <f>'[1]Forward Ranks'!S399</f>
        <v>0.51528384279475981</v>
      </c>
      <c r="I399" s="1">
        <f>'[1]Forward Ranks'!T399</f>
        <v>5.0218340611353711E-2</v>
      </c>
      <c r="J399" s="1">
        <f>'[1]Forward Ranks'!U399</f>
        <v>3.9301310043668124E-2</v>
      </c>
      <c r="K399" s="1">
        <f>'[1]Forward Ranks'!V399</f>
        <v>0.10262008733624454</v>
      </c>
      <c r="L399">
        <f>'[1]Forward Ranks'!X399</f>
        <v>0</v>
      </c>
      <c r="M399" s="1">
        <f>'[1]Forward Ranks'!AC399</f>
        <v>0.43231441048034935</v>
      </c>
      <c r="N399" s="1">
        <f>'[1]Forward Ranks'!AD399</f>
        <v>0.86899563318777295</v>
      </c>
      <c r="O399" s="1">
        <f>'[1]Forward Ranks'!AE399</f>
        <v>0.67903930131004364</v>
      </c>
      <c r="P399" s="1">
        <f>'[1]Forward Ranks'!AF399</f>
        <v>0.82096069868995636</v>
      </c>
      <c r="Q399">
        <f>'[1]Forward Ranks'!AH399</f>
        <v>0</v>
      </c>
      <c r="R399" s="1">
        <f>'[1]Forward Ranks'!AM399</f>
        <v>0.23362445414847161</v>
      </c>
      <c r="S399" s="1">
        <f>'[1]Forward Ranks'!AN399</f>
        <v>0.17685589519650655</v>
      </c>
      <c r="T399" s="1">
        <f>'[1]Forward Ranks'!AO399</f>
        <v>5.2401746724890827E-2</v>
      </c>
      <c r="U399" s="1">
        <f>'[1]Forward Ranks'!AP399</f>
        <v>0.31659388646288211</v>
      </c>
      <c r="V399">
        <f>'[1]Forward Ranks'!AR399</f>
        <v>0</v>
      </c>
      <c r="W399" s="1">
        <f>'[1]Forward Ranks'!AW399</f>
        <v>0.46943231441048033</v>
      </c>
      <c r="X399" s="1">
        <f>'[1]Forward Ranks'!AX399</f>
        <v>0.98034934497816595</v>
      </c>
      <c r="Y399" s="1">
        <f>'[1]Forward Ranks'!AY399</f>
        <v>0.25327510917030566</v>
      </c>
      <c r="Z399" s="1">
        <f>'[1]Forward Ranks'!AZ399</f>
        <v>0.88427947598253276</v>
      </c>
      <c r="AA399">
        <f>'[1]Forward Ranks'!BB399</f>
        <v>0</v>
      </c>
      <c r="AB399" s="1">
        <f>'[1]Forward Ranks'!BG399</f>
        <v>0.23580786026200873</v>
      </c>
      <c r="AC399" s="1">
        <f>'[1]Forward Ranks'!BH399</f>
        <v>0.62227074235807855</v>
      </c>
      <c r="AD399" s="1">
        <f>'[1]Forward Ranks'!BI399</f>
        <v>5.8951965065502182E-2</v>
      </c>
      <c r="AE399" s="1">
        <f>'[1]Forward Ranks'!BJ399</f>
        <v>0.2183406113537118</v>
      </c>
      <c r="AF399">
        <f>'[1]Forward Ranks'!BL399</f>
        <v>0</v>
      </c>
      <c r="AG399" s="1">
        <f>'[1]Forward Ranks'!BQ399</f>
        <v>0.37336244541484714</v>
      </c>
      <c r="AH399" s="1">
        <f>'[1]Forward Ranks'!BR399</f>
        <v>0.73799126637554591</v>
      </c>
      <c r="AI399" s="1">
        <f>'[1]Forward Ranks'!BS399</f>
        <v>0.17903930131004367</v>
      </c>
      <c r="AJ399" s="1">
        <f>'[1]Forward Ranks'!BT399</f>
        <v>0.63318777292576423</v>
      </c>
      <c r="AL399" s="2">
        <f>'[1]Forward Ranks'!BX399</f>
        <v>0.38427947598253276</v>
      </c>
      <c r="AN399" t="str">
        <f>'[1]Forward Ranks'!B399</f>
        <v>NYI</v>
      </c>
      <c r="AO399">
        <f>'[1]F on ice'!E399</f>
        <v>50</v>
      </c>
      <c r="AP399" s="2">
        <f>'[1]Impact Score Math'!E399</f>
        <v>0.39879759519038077</v>
      </c>
      <c r="AQ399">
        <f>'[1]Impact Score Math'!G399</f>
        <v>301</v>
      </c>
      <c r="AT399" s="1">
        <f>'[1]Forward Ranks'!CJ399</f>
        <v>0.99563318777292575</v>
      </c>
      <c r="AU399" s="1">
        <f>'[1]Forward Ranks'!CK399</f>
        <v>0.12445414847161572</v>
      </c>
    </row>
    <row r="400" spans="1:47" x14ac:dyDescent="0.3">
      <c r="A400" t="str">
        <f>'[1]Forward Ranks'!A400</f>
        <v>Sonny Milano</v>
      </c>
      <c r="B400">
        <f>'[1]Forward Ranks'!D400</f>
        <v>0</v>
      </c>
      <c r="C400" s="1">
        <f>'[1]Forward Ranks'!I400</f>
        <v>0.49344978165938863</v>
      </c>
      <c r="D400" s="1">
        <f>'[1]Forward Ranks'!J400</f>
        <v>0.55458515283842791</v>
      </c>
      <c r="E400" s="1">
        <f>'[1]Forward Ranks'!K400</f>
        <v>0.8253275109170306</v>
      </c>
      <c r="F400" s="1">
        <f>'[1]Forward Ranks'!L400</f>
        <v>0.64192139737991272</v>
      </c>
      <c r="G400">
        <f>'[1]Forward Ranks'!N400</f>
        <v>0</v>
      </c>
      <c r="H400" s="1">
        <f>'[1]Forward Ranks'!S400</f>
        <v>0.65938864628820959</v>
      </c>
      <c r="I400" s="1">
        <f>'[1]Forward Ranks'!T400</f>
        <v>0.84716157205240172</v>
      </c>
      <c r="J400" s="1">
        <f>'[1]Forward Ranks'!U400</f>
        <v>0.60043668122270744</v>
      </c>
      <c r="K400" s="1">
        <f>'[1]Forward Ranks'!V400</f>
        <v>0.81877729257641918</v>
      </c>
      <c r="L400">
        <f>'[1]Forward Ranks'!X400</f>
        <v>0</v>
      </c>
      <c r="M400" s="1">
        <f>'[1]Forward Ranks'!AC400</f>
        <v>0.37336244541484714</v>
      </c>
      <c r="N400" s="1">
        <f>'[1]Forward Ranks'!AD400</f>
        <v>0.26637554585152839</v>
      </c>
      <c r="O400" s="1">
        <f>'[1]Forward Ranks'!AE400</f>
        <v>3.9301310043668124E-2</v>
      </c>
      <c r="P400" s="1">
        <f>'[1]Forward Ranks'!AF400</f>
        <v>0.29694323144104806</v>
      </c>
      <c r="Q400">
        <f>'[1]Forward Ranks'!AH400</f>
        <v>0</v>
      </c>
      <c r="R400" s="1">
        <f>'[1]Forward Ranks'!AM400</f>
        <v>0.36681222707423583</v>
      </c>
      <c r="S400" s="1">
        <f>'[1]Forward Ranks'!AN400</f>
        <v>0.46288209606986902</v>
      </c>
      <c r="T400" s="1">
        <f>'[1]Forward Ranks'!AO400</f>
        <v>0.77947598253275108</v>
      </c>
      <c r="U400" s="1">
        <f>'[1]Forward Ranks'!AP400</f>
        <v>0.5240174672489083</v>
      </c>
      <c r="V400">
        <f>'[1]Forward Ranks'!AR400</f>
        <v>0</v>
      </c>
      <c r="W400" s="1">
        <f>'[1]Forward Ranks'!AW400</f>
        <v>0.49126637554585151</v>
      </c>
      <c r="X400" s="1">
        <f>'[1]Forward Ranks'!AX400</f>
        <v>0.24017467248908297</v>
      </c>
      <c r="Y400" s="1">
        <f>'[1]Forward Ranks'!AY400</f>
        <v>1.9650655021834062E-2</v>
      </c>
      <c r="Z400" s="1">
        <f>'[1]Forward Ranks'!AZ400</f>
        <v>0.34061135371179041</v>
      </c>
      <c r="AA400">
        <f>'[1]Forward Ranks'!BB400</f>
        <v>0</v>
      </c>
      <c r="AB400" s="1">
        <f>'[1]Forward Ranks'!BG400</f>
        <v>0.44323144104803491</v>
      </c>
      <c r="AC400" s="1">
        <f>'[1]Forward Ranks'!BH400</f>
        <v>0.88209606986899558</v>
      </c>
      <c r="AD400" s="1">
        <f>'[1]Forward Ranks'!BI400</f>
        <v>0.9366812227074236</v>
      </c>
      <c r="AE400" s="1">
        <f>'[1]Forward Ranks'!BJ400</f>
        <v>0.44323144104803491</v>
      </c>
      <c r="AF400">
        <f>'[1]Forward Ranks'!BL400</f>
        <v>0</v>
      </c>
      <c r="AG400" s="1">
        <f>'[1]Forward Ranks'!BQ400</f>
        <v>0.42794759825327511</v>
      </c>
      <c r="AH400" s="1">
        <f>'[1]Forward Ranks'!BR400</f>
        <v>0.40174672489082969</v>
      </c>
      <c r="AI400" s="1">
        <f>'[1]Forward Ranks'!BS400</f>
        <v>0.36244541484716158</v>
      </c>
      <c r="AJ400" s="1">
        <f>'[1]Forward Ranks'!BT400</f>
        <v>0.48908296943231439</v>
      </c>
      <c r="AL400" s="2">
        <f>'[1]Forward Ranks'!BX400</f>
        <v>0.51310043668122274</v>
      </c>
      <c r="AN400" t="str">
        <f>'[1]Forward Ranks'!B400</f>
        <v>WSH</v>
      </c>
      <c r="AO400">
        <f>'[1]F on ice'!E400</f>
        <v>64</v>
      </c>
      <c r="AP400" s="2">
        <f>'[1]Impact Score Math'!E400</f>
        <v>0.5591182364729459</v>
      </c>
      <c r="AQ400">
        <f>'[1]Impact Score Math'!G400</f>
        <v>221</v>
      </c>
      <c r="AT400" s="1">
        <f>'[1]Forward Ranks'!CJ400</f>
        <v>0.58078602620087338</v>
      </c>
      <c r="AU400" s="1">
        <f>'[1]Forward Ranks'!CK400</f>
        <v>0.20742358078602621</v>
      </c>
    </row>
    <row r="401" spans="1:47" x14ac:dyDescent="0.3">
      <c r="A401" t="str">
        <f>'[1]Forward Ranks'!A401</f>
        <v>Stefan Noesen</v>
      </c>
      <c r="B401">
        <f>'[1]Forward Ranks'!D401</f>
        <v>0</v>
      </c>
      <c r="C401" s="1">
        <f>'[1]Forward Ranks'!I401</f>
        <v>0.96288209606986896</v>
      </c>
      <c r="D401" s="1">
        <f>'[1]Forward Ranks'!J401</f>
        <v>0.93231441048034935</v>
      </c>
      <c r="E401" s="1">
        <f>'[1]Forward Ranks'!K401</f>
        <v>0.49781659388646288</v>
      </c>
      <c r="F401" s="1">
        <f>'[1]Forward Ranks'!L401</f>
        <v>0.96943231441048039</v>
      </c>
      <c r="G401">
        <f>'[1]Forward Ranks'!N401</f>
        <v>0</v>
      </c>
      <c r="H401" s="1">
        <f>'[1]Forward Ranks'!S401</f>
        <v>0.16812227074235808</v>
      </c>
      <c r="I401" s="1">
        <f>'[1]Forward Ranks'!T401</f>
        <v>0.74672489082969429</v>
      </c>
      <c r="J401" s="1">
        <f>'[1]Forward Ranks'!U401</f>
        <v>0.64192139737991272</v>
      </c>
      <c r="K401" s="1">
        <f>'[1]Forward Ranks'!V401</f>
        <v>0.51310043668122274</v>
      </c>
      <c r="L401">
        <f>'[1]Forward Ranks'!X401</f>
        <v>0</v>
      </c>
      <c r="M401" s="1">
        <f>'[1]Forward Ranks'!AC401</f>
        <v>0.99781659388646293</v>
      </c>
      <c r="N401" s="1">
        <f>'[1]Forward Ranks'!AD401</f>
        <v>0.87117903930131002</v>
      </c>
      <c r="O401" s="1">
        <f>'[1]Forward Ranks'!AE401</f>
        <v>0.99563318777292575</v>
      </c>
      <c r="P401" s="1">
        <f>'[1]Forward Ranks'!AF401</f>
        <v>0.99126637554585151</v>
      </c>
      <c r="Q401">
        <f>'[1]Forward Ranks'!AH401</f>
        <v>0</v>
      </c>
      <c r="R401" s="1">
        <f>'[1]Forward Ranks'!AM401</f>
        <v>0.73362445414847166</v>
      </c>
      <c r="S401" s="1">
        <f>'[1]Forward Ranks'!AN401</f>
        <v>0.81222707423580787</v>
      </c>
      <c r="T401" s="1">
        <f>'[1]Forward Ranks'!AO401</f>
        <v>0.47379912663755458</v>
      </c>
      <c r="U401" s="1">
        <f>'[1]Forward Ranks'!AP401</f>
        <v>0.88646288209606983</v>
      </c>
      <c r="V401">
        <f>'[1]Forward Ranks'!AR401</f>
        <v>0</v>
      </c>
      <c r="W401" s="1">
        <f>'[1]Forward Ranks'!AW401</f>
        <v>0.93449781659388642</v>
      </c>
      <c r="X401" s="1">
        <f>'[1]Forward Ranks'!AX401</f>
        <v>0.55021834061135366</v>
      </c>
      <c r="Y401" s="1">
        <f>'[1]Forward Ranks'!AY401</f>
        <v>0.95414847161572047</v>
      </c>
      <c r="Z401" s="1">
        <f>'[1]Forward Ranks'!AZ401</f>
        <v>0.80567685589519655</v>
      </c>
      <c r="AA401">
        <f>'[1]Forward Ranks'!BB401</f>
        <v>0</v>
      </c>
      <c r="AB401" s="1">
        <f>'[1]Forward Ranks'!BG401</f>
        <v>8.7336244541484712E-2</v>
      </c>
      <c r="AC401" s="1">
        <f>'[1]Forward Ranks'!BH401</f>
        <v>0.94978165938864634</v>
      </c>
      <c r="AD401" s="1">
        <f>'[1]Forward Ranks'!BI401</f>
        <v>0.3056768558951965</v>
      </c>
      <c r="AE401" s="1">
        <f>'[1]Forward Ranks'!BJ401</f>
        <v>0.77947598253275108</v>
      </c>
      <c r="AF401">
        <f>'[1]Forward Ranks'!BL401</f>
        <v>0</v>
      </c>
      <c r="AG401" s="1">
        <f>'[1]Forward Ranks'!BQ401</f>
        <v>0.99563318777292575</v>
      </c>
      <c r="AH401" s="1">
        <f>'[1]Forward Ranks'!BR401</f>
        <v>0.97161572052401746</v>
      </c>
      <c r="AI401" s="1">
        <f>'[1]Forward Ranks'!BS401</f>
        <v>0.98689956331877726</v>
      </c>
      <c r="AJ401" s="1">
        <f>'[1]Forward Ranks'!BT401</f>
        <v>0.99563318777292575</v>
      </c>
      <c r="AL401" s="2">
        <f>'[1]Forward Ranks'!BX401</f>
        <v>0.96943231441048039</v>
      </c>
      <c r="AN401" t="str">
        <f>'[1]Forward Ranks'!B401</f>
        <v>CAR</v>
      </c>
      <c r="AO401">
        <f>'[1]F on ice'!E401</f>
        <v>78</v>
      </c>
      <c r="AP401" s="2">
        <f>'[1]Impact Score Math'!E401</f>
        <v>0.73747494989979956</v>
      </c>
      <c r="AQ401">
        <f>'[1]Impact Score Math'!G401</f>
        <v>132</v>
      </c>
      <c r="AT401" s="1">
        <f>'[1]Forward Ranks'!CJ401</f>
        <v>0.6506550218340611</v>
      </c>
      <c r="AU401" s="1">
        <f>'[1]Forward Ranks'!CK401</f>
        <v>0.46724890829694321</v>
      </c>
    </row>
    <row r="402" spans="1:47" x14ac:dyDescent="0.3">
      <c r="A402" t="str">
        <f>'[1]Forward Ranks'!A402</f>
        <v>Steven Lorentz</v>
      </c>
      <c r="B402">
        <f>'[1]Forward Ranks'!D402</f>
        <v>0</v>
      </c>
      <c r="C402" s="1">
        <f>'[1]Forward Ranks'!I402</f>
        <v>0.37554585152838427</v>
      </c>
      <c r="D402" s="1">
        <f>'[1]Forward Ranks'!J402</f>
        <v>0.67030567685589515</v>
      </c>
      <c r="E402" s="1">
        <f>'[1]Forward Ranks'!K402</f>
        <v>8.9519650655021835E-2</v>
      </c>
      <c r="F402" s="1">
        <f>'[1]Forward Ranks'!L402</f>
        <v>0.53493449781659386</v>
      </c>
      <c r="G402">
        <f>'[1]Forward Ranks'!N402</f>
        <v>0</v>
      </c>
      <c r="H402" s="1">
        <f>'[1]Forward Ranks'!S402</f>
        <v>0.388646288209607</v>
      </c>
      <c r="I402" s="1">
        <f>'[1]Forward Ranks'!T402</f>
        <v>0.1703056768558952</v>
      </c>
      <c r="J402" s="1">
        <f>'[1]Forward Ranks'!U402</f>
        <v>6.3318777292576414E-2</v>
      </c>
      <c r="K402" s="1">
        <f>'[1]Forward Ranks'!V402</f>
        <v>0.18558951965065501</v>
      </c>
      <c r="L402">
        <f>'[1]Forward Ranks'!X402</f>
        <v>0</v>
      </c>
      <c r="M402" s="1">
        <f>'[1]Forward Ranks'!AC402</f>
        <v>0.24890829694323144</v>
      </c>
      <c r="N402" s="1">
        <f>'[1]Forward Ranks'!AD402</f>
        <v>0.38646288209606988</v>
      </c>
      <c r="O402" s="1">
        <f>'[1]Forward Ranks'!AE402</f>
        <v>0.23362445414847161</v>
      </c>
      <c r="P402" s="1">
        <f>'[1]Forward Ranks'!AF402</f>
        <v>0.36244541484716158</v>
      </c>
      <c r="Q402">
        <f>'[1]Forward Ranks'!AH402</f>
        <v>0</v>
      </c>
      <c r="R402" s="1">
        <f>'[1]Forward Ranks'!AM402</f>
        <v>0.47161572052401746</v>
      </c>
      <c r="S402" s="1">
        <f>'[1]Forward Ranks'!AN402</f>
        <v>0.2423580786026201</v>
      </c>
      <c r="T402" s="1">
        <f>'[1]Forward Ranks'!AO402</f>
        <v>8.7336244541484712E-2</v>
      </c>
      <c r="U402" s="1">
        <f>'[1]Forward Ranks'!AP402</f>
        <v>0.34061135371179041</v>
      </c>
      <c r="V402">
        <f>'[1]Forward Ranks'!AR402</f>
        <v>0</v>
      </c>
      <c r="W402" s="1">
        <f>'[1]Forward Ranks'!AW402</f>
        <v>0.32751091703056767</v>
      </c>
      <c r="X402" s="1">
        <f>'[1]Forward Ranks'!AX402</f>
        <v>0.4366812227074236</v>
      </c>
      <c r="Y402" s="1">
        <f>'[1]Forward Ranks'!AY402</f>
        <v>0.73799126637554591</v>
      </c>
      <c r="Z402" s="1">
        <f>'[1]Forward Ranks'!AZ402</f>
        <v>0.51965065502183405</v>
      </c>
      <c r="AA402">
        <f>'[1]Forward Ranks'!BB402</f>
        <v>0</v>
      </c>
      <c r="AB402" s="1">
        <f>'[1]Forward Ranks'!BG402</f>
        <v>0.15283842794759825</v>
      </c>
      <c r="AC402" s="1">
        <f>'[1]Forward Ranks'!BH402</f>
        <v>0.25982532751091703</v>
      </c>
      <c r="AD402" s="1">
        <f>'[1]Forward Ranks'!BI402</f>
        <v>7.6419213973799124E-2</v>
      </c>
      <c r="AE402" s="1">
        <f>'[1]Forward Ranks'!BJ402</f>
        <v>5.8951965065502182E-2</v>
      </c>
      <c r="AF402">
        <f>'[1]Forward Ranks'!BL402</f>
        <v>0</v>
      </c>
      <c r="AG402" s="1">
        <f>'[1]Forward Ranks'!BQ402</f>
        <v>0.30131004366812225</v>
      </c>
      <c r="AH402" s="1">
        <f>'[1]Forward Ranks'!BR402</f>
        <v>0.53493449781659386</v>
      </c>
      <c r="AI402" s="1">
        <f>'[1]Forward Ranks'!BS402</f>
        <v>6.768558951965066E-2</v>
      </c>
      <c r="AJ402" s="1">
        <f>'[1]Forward Ranks'!BT402</f>
        <v>0.44759825327510916</v>
      </c>
      <c r="AL402" s="2">
        <f>'[1]Forward Ranks'!BX402</f>
        <v>0.2423580786026201</v>
      </c>
      <c r="AN402" t="str">
        <f>'[1]Forward Ranks'!B402</f>
        <v>S.J</v>
      </c>
      <c r="AO402">
        <f>'[1]F on ice'!E402</f>
        <v>80</v>
      </c>
      <c r="AP402" s="2">
        <f>'[1]Impact Score Math'!E402</f>
        <v>0.26452905811623245</v>
      </c>
      <c r="AQ402">
        <f>'[1]Impact Score Math'!G402</f>
        <v>368</v>
      </c>
      <c r="AT402" s="1">
        <f>'[1]Forward Ranks'!CJ402</f>
        <v>0.70960698689956336</v>
      </c>
      <c r="AU402" s="1">
        <f>'[1]Forward Ranks'!CK402</f>
        <v>0.12445414847161572</v>
      </c>
    </row>
    <row r="403" spans="1:47" x14ac:dyDescent="0.3">
      <c r="A403" t="str">
        <f>'[1]Forward Ranks'!A403</f>
        <v>Steven Stamkos</v>
      </c>
      <c r="B403">
        <f>'[1]Forward Ranks'!D403</f>
        <v>0</v>
      </c>
      <c r="C403" s="1">
        <f>'[1]Forward Ranks'!I403</f>
        <v>0.62445414847161573</v>
      </c>
      <c r="D403" s="1">
        <f>'[1]Forward Ranks'!J403</f>
        <v>0.80567685589519655</v>
      </c>
      <c r="E403" s="1">
        <f>'[1]Forward Ranks'!K403</f>
        <v>0.89519650655021832</v>
      </c>
      <c r="F403" s="1">
        <f>'[1]Forward Ranks'!L403</f>
        <v>0.75109170305676853</v>
      </c>
      <c r="G403">
        <f>'[1]Forward Ranks'!N403</f>
        <v>0</v>
      </c>
      <c r="H403" s="1">
        <f>'[1]Forward Ranks'!S403</f>
        <v>0.72707423580786024</v>
      </c>
      <c r="I403" s="1">
        <f>'[1]Forward Ranks'!T403</f>
        <v>0.8493449781659389</v>
      </c>
      <c r="J403" s="1">
        <f>'[1]Forward Ranks'!U403</f>
        <v>0.8493449781659389</v>
      </c>
      <c r="K403" s="1">
        <f>'[1]Forward Ranks'!V403</f>
        <v>0.84061135371179041</v>
      </c>
      <c r="L403">
        <f>'[1]Forward Ranks'!X403</f>
        <v>0</v>
      </c>
      <c r="M403" s="1">
        <f>'[1]Forward Ranks'!AC403</f>
        <v>0.30349344978165937</v>
      </c>
      <c r="N403" s="1">
        <f>'[1]Forward Ranks'!AD403</f>
        <v>0.51091703056768556</v>
      </c>
      <c r="O403" s="1">
        <f>'[1]Forward Ranks'!AE403</f>
        <v>0.33187772925764192</v>
      </c>
      <c r="P403" s="1">
        <f>'[1]Forward Ranks'!AF403</f>
        <v>0.28384279475982532</v>
      </c>
      <c r="Q403">
        <f>'[1]Forward Ranks'!AH403</f>
        <v>0</v>
      </c>
      <c r="R403" s="1">
        <f>'[1]Forward Ranks'!AM403</f>
        <v>0.48253275109170307</v>
      </c>
      <c r="S403" s="1">
        <f>'[1]Forward Ranks'!AN403</f>
        <v>0.45633187772925765</v>
      </c>
      <c r="T403" s="1">
        <f>'[1]Forward Ranks'!AO403</f>
        <v>0.93013100436681218</v>
      </c>
      <c r="U403" s="1">
        <f>'[1]Forward Ranks'!AP403</f>
        <v>0.51528384279475981</v>
      </c>
      <c r="V403">
        <f>'[1]Forward Ranks'!AR403</f>
        <v>0</v>
      </c>
      <c r="W403" s="1">
        <f>'[1]Forward Ranks'!AW403</f>
        <v>0.16375545851528384</v>
      </c>
      <c r="X403" s="1">
        <f>'[1]Forward Ranks'!AX403</f>
        <v>0.39956331877729256</v>
      </c>
      <c r="Y403" s="1">
        <f>'[1]Forward Ranks'!AY403</f>
        <v>0.18995633187772926</v>
      </c>
      <c r="Z403" s="1">
        <f>'[1]Forward Ranks'!AZ403</f>
        <v>0.21179039301310043</v>
      </c>
      <c r="AA403">
        <f>'[1]Forward Ranks'!BB403</f>
        <v>0</v>
      </c>
      <c r="AB403" s="1">
        <f>'[1]Forward Ranks'!BG403</f>
        <v>0.83624454148471616</v>
      </c>
      <c r="AC403" s="1">
        <f>'[1]Forward Ranks'!BH403</f>
        <v>0.52620087336244536</v>
      </c>
      <c r="AD403" s="1">
        <f>'[1]Forward Ranks'!BI403</f>
        <v>0.92794759825327511</v>
      </c>
      <c r="AE403" s="1">
        <f>'[1]Forward Ranks'!BJ403</f>
        <v>0.84279475982532748</v>
      </c>
      <c r="AF403">
        <f>'[1]Forward Ranks'!BL403</f>
        <v>0</v>
      </c>
      <c r="AG403" s="1">
        <f>'[1]Forward Ranks'!BQ403</f>
        <v>0.49126637554585151</v>
      </c>
      <c r="AH403" s="1">
        <f>'[1]Forward Ranks'!BR403</f>
        <v>0.75109170305676853</v>
      </c>
      <c r="AI403" s="1">
        <f>'[1]Forward Ranks'!BS403</f>
        <v>0.71397379912663761</v>
      </c>
      <c r="AJ403" s="1">
        <f>'[1]Forward Ranks'!BT403</f>
        <v>0.57423580786026196</v>
      </c>
      <c r="AL403" s="2">
        <f>'[1]Forward Ranks'!BX403</f>
        <v>0.52183406113537123</v>
      </c>
      <c r="AN403" t="str">
        <f>'[1]Forward Ranks'!B403</f>
        <v>T.B</v>
      </c>
      <c r="AO403">
        <f>'[1]F on ice'!E403</f>
        <v>81</v>
      </c>
      <c r="AP403" s="2">
        <f>'[1]Impact Score Math'!E403</f>
        <v>0.66533066132264529</v>
      </c>
      <c r="AQ403">
        <f>'[1]Impact Score Math'!G403</f>
        <v>168</v>
      </c>
      <c r="AT403" s="1">
        <f>'[1]Forward Ranks'!CJ403</f>
        <v>0.28820960698689957</v>
      </c>
      <c r="AU403" s="1">
        <f>'[1]Forward Ranks'!CK403</f>
        <v>0.45851528384279477</v>
      </c>
    </row>
    <row r="404" spans="1:47" x14ac:dyDescent="0.3">
      <c r="A404" t="str">
        <f>'[1]Forward Ranks'!A404</f>
        <v>T.J. Oshie</v>
      </c>
      <c r="B404">
        <f>'[1]Forward Ranks'!D404</f>
        <v>0</v>
      </c>
      <c r="C404" s="1">
        <f>'[1]Forward Ranks'!I404</f>
        <v>0.23362445414847161</v>
      </c>
      <c r="D404" s="1">
        <f>'[1]Forward Ranks'!J404</f>
        <v>0.55458515283842791</v>
      </c>
      <c r="E404" s="1">
        <f>'[1]Forward Ranks'!K404</f>
        <v>0.43231441048034935</v>
      </c>
      <c r="F404" s="1">
        <f>'[1]Forward Ranks'!L404</f>
        <v>0.37336244541484714</v>
      </c>
      <c r="G404">
        <f>'[1]Forward Ranks'!N404</f>
        <v>0</v>
      </c>
      <c r="H404" s="1">
        <f>'[1]Forward Ranks'!S404</f>
        <v>0.70524017467248912</v>
      </c>
      <c r="I404" s="1">
        <f>'[1]Forward Ranks'!T404</f>
        <v>0.56113537117903933</v>
      </c>
      <c r="J404" s="1">
        <f>'[1]Forward Ranks'!U404</f>
        <v>0.31004366812227074</v>
      </c>
      <c r="K404" s="1">
        <f>'[1]Forward Ranks'!V404</f>
        <v>0.6266375545851528</v>
      </c>
      <c r="L404">
        <f>'[1]Forward Ranks'!X404</f>
        <v>0</v>
      </c>
      <c r="M404" s="1">
        <f>'[1]Forward Ranks'!AC404</f>
        <v>0.26637554585152839</v>
      </c>
      <c r="N404" s="1">
        <f>'[1]Forward Ranks'!AD404</f>
        <v>0.33842794759825329</v>
      </c>
      <c r="O404" s="1">
        <f>'[1]Forward Ranks'!AE404</f>
        <v>0.45851528384279477</v>
      </c>
      <c r="P404" s="1">
        <f>'[1]Forward Ranks'!AF404</f>
        <v>0.19213973799126638</v>
      </c>
      <c r="Q404">
        <f>'[1]Forward Ranks'!AH404</f>
        <v>0</v>
      </c>
      <c r="R404" s="1">
        <f>'[1]Forward Ranks'!AM404</f>
        <v>0.13973799126637554</v>
      </c>
      <c r="S404" s="1">
        <f>'[1]Forward Ranks'!AN404</f>
        <v>0.51091703056768556</v>
      </c>
      <c r="T404" s="1">
        <f>'[1]Forward Ranks'!AO404</f>
        <v>0.41048034934497818</v>
      </c>
      <c r="U404" s="1">
        <f>'[1]Forward Ranks'!AP404</f>
        <v>0.32532751091703055</v>
      </c>
      <c r="V404">
        <f>'[1]Forward Ranks'!AR404</f>
        <v>0</v>
      </c>
      <c r="W404" s="1">
        <f>'[1]Forward Ranks'!AW404</f>
        <v>0.29257641921397382</v>
      </c>
      <c r="X404" s="1">
        <f>'[1]Forward Ranks'!AX404</f>
        <v>0.28602620087336245</v>
      </c>
      <c r="Y404" s="1">
        <f>'[1]Forward Ranks'!AY404</f>
        <v>0.68558951965065507</v>
      </c>
      <c r="Z404" s="1">
        <f>'[1]Forward Ranks'!AZ404</f>
        <v>0.19213973799126638</v>
      </c>
      <c r="AA404">
        <f>'[1]Forward Ranks'!BB404</f>
        <v>0</v>
      </c>
      <c r="AB404" s="1">
        <f>'[1]Forward Ranks'!BG404</f>
        <v>0.56550218340611358</v>
      </c>
      <c r="AC404" s="1">
        <f>'[1]Forward Ranks'!BH404</f>
        <v>0.6506550218340611</v>
      </c>
      <c r="AD404" s="1">
        <f>'[1]Forward Ranks'!BI404</f>
        <v>0.67248908296943233</v>
      </c>
      <c r="AE404" s="1">
        <f>'[1]Forward Ranks'!BJ404</f>
        <v>0.70960698689956336</v>
      </c>
      <c r="AF404">
        <f>'[1]Forward Ranks'!BL404</f>
        <v>0</v>
      </c>
      <c r="AG404" s="1">
        <f>'[1]Forward Ranks'!BQ404</f>
        <v>0.22489082969432314</v>
      </c>
      <c r="AH404" s="1">
        <f>'[1]Forward Ranks'!BR404</f>
        <v>0.4366812227074236</v>
      </c>
      <c r="AI404" s="1">
        <f>'[1]Forward Ranks'!BS404</f>
        <v>0.41921397379912662</v>
      </c>
      <c r="AJ404" s="1">
        <f>'[1]Forward Ranks'!BT404</f>
        <v>0.27074235807860264</v>
      </c>
      <c r="AL404" s="2">
        <f>'[1]Forward Ranks'!BX404</f>
        <v>0.19868995633187772</v>
      </c>
      <c r="AN404" t="str">
        <f>'[1]Forward Ranks'!B404</f>
        <v>WSH</v>
      </c>
      <c r="AO404">
        <f>'[1]F on ice'!E404</f>
        <v>58</v>
      </c>
      <c r="AP404" s="2">
        <f>'[1]Impact Score Math'!E404</f>
        <v>0.30861723446893785</v>
      </c>
      <c r="AQ404">
        <f>'[1]Impact Score Math'!G404</f>
        <v>346</v>
      </c>
      <c r="AT404" s="1">
        <f>'[1]Forward Ranks'!CJ404</f>
        <v>0.13755458515283842</v>
      </c>
      <c r="AU404" s="1">
        <f>'[1]Forward Ranks'!CK404</f>
        <v>0.94104803493449785</v>
      </c>
    </row>
    <row r="405" spans="1:47" x14ac:dyDescent="0.3">
      <c r="A405" t="str">
        <f>'[1]Forward Ranks'!A405</f>
        <v>Tage Thompson</v>
      </c>
      <c r="B405">
        <f>'[1]Forward Ranks'!D405</f>
        <v>0</v>
      </c>
      <c r="C405" s="1">
        <f>'[1]Forward Ranks'!I405</f>
        <v>0.90829694323144106</v>
      </c>
      <c r="D405" s="1">
        <f>'[1]Forward Ranks'!J405</f>
        <v>0.85152838427947597</v>
      </c>
      <c r="E405" s="1">
        <f>'[1]Forward Ranks'!K405</f>
        <v>0.9759825327510917</v>
      </c>
      <c r="F405" s="1">
        <f>'[1]Forward Ranks'!L405</f>
        <v>0.90611353711790388</v>
      </c>
      <c r="G405">
        <f>'[1]Forward Ranks'!N405</f>
        <v>0</v>
      </c>
      <c r="H405" s="1">
        <f>'[1]Forward Ranks'!S405</f>
        <v>0.9759825327510917</v>
      </c>
      <c r="I405" s="1">
        <f>'[1]Forward Ranks'!T405</f>
        <v>0.97161572052401746</v>
      </c>
      <c r="J405" s="1">
        <f>'[1]Forward Ranks'!U405</f>
        <v>0.96506550218340614</v>
      </c>
      <c r="K405" s="1">
        <f>'[1]Forward Ranks'!V405</f>
        <v>0.98908296943231444</v>
      </c>
      <c r="L405">
        <f>'[1]Forward Ranks'!X405</f>
        <v>0</v>
      </c>
      <c r="M405" s="1">
        <f>'[1]Forward Ranks'!AC405</f>
        <v>0.21397379912663755</v>
      </c>
      <c r="N405" s="1">
        <f>'[1]Forward Ranks'!AD405</f>
        <v>4.148471615720524E-2</v>
      </c>
      <c r="O405" s="1">
        <f>'[1]Forward Ranks'!AE405</f>
        <v>9.8253275109170299E-2</v>
      </c>
      <c r="P405" s="1">
        <f>'[1]Forward Ranks'!AF405</f>
        <v>5.6768558951965066E-2</v>
      </c>
      <c r="Q405">
        <f>'[1]Forward Ranks'!AH405</f>
        <v>0</v>
      </c>
      <c r="R405" s="1">
        <f>'[1]Forward Ranks'!AM405</f>
        <v>0.96506550218340614</v>
      </c>
      <c r="S405" s="1">
        <f>'[1]Forward Ranks'!AN405</f>
        <v>0.9606986899563319</v>
      </c>
      <c r="T405" s="1">
        <f>'[1]Forward Ranks'!AO405</f>
        <v>0.95851528384279472</v>
      </c>
      <c r="U405" s="1">
        <f>'[1]Forward Ranks'!AP405</f>
        <v>0.95196506550218341</v>
      </c>
      <c r="V405">
        <f>'[1]Forward Ranks'!AR405</f>
        <v>0</v>
      </c>
      <c r="W405" s="1">
        <f>'[1]Forward Ranks'!AW405</f>
        <v>0.11790393013100436</v>
      </c>
      <c r="X405" s="1">
        <f>'[1]Forward Ranks'!AX405</f>
        <v>3.7117903930131008E-2</v>
      </c>
      <c r="Y405" s="1">
        <f>'[1]Forward Ranks'!AY405</f>
        <v>0.24017467248908297</v>
      </c>
      <c r="Z405" s="1">
        <f>'[1]Forward Ranks'!AZ405</f>
        <v>2.6200873362445413E-2</v>
      </c>
      <c r="AA405">
        <f>'[1]Forward Ranks'!BB405</f>
        <v>0</v>
      </c>
      <c r="AB405" s="1">
        <f>'[1]Forward Ranks'!BG405</f>
        <v>0.82096069868995636</v>
      </c>
      <c r="AC405" s="1">
        <f>'[1]Forward Ranks'!BH405</f>
        <v>0.97161572052401746</v>
      </c>
      <c r="AD405" s="1">
        <f>'[1]Forward Ranks'!BI405</f>
        <v>0.8973799126637555</v>
      </c>
      <c r="AE405" s="1">
        <f>'[1]Forward Ranks'!BJ405</f>
        <v>0.68340611353711789</v>
      </c>
      <c r="AF405">
        <f>'[1]Forward Ranks'!BL405</f>
        <v>0</v>
      </c>
      <c r="AG405" s="1">
        <f>'[1]Forward Ranks'!BQ405</f>
        <v>0.72489082969432317</v>
      </c>
      <c r="AH405" s="1">
        <f>'[1]Forward Ranks'!BR405</f>
        <v>0.44759825327510916</v>
      </c>
      <c r="AI405" s="1">
        <f>'[1]Forward Ranks'!BS405</f>
        <v>0.65283842794759828</v>
      </c>
      <c r="AJ405" s="1">
        <f>'[1]Forward Ranks'!BT405</f>
        <v>0.53711790393013104</v>
      </c>
      <c r="AL405" s="2">
        <f>'[1]Forward Ranks'!BX405</f>
        <v>0.80131004366812231</v>
      </c>
      <c r="AN405" t="str">
        <f>'[1]Forward Ranks'!B405</f>
        <v>BUF</v>
      </c>
      <c r="AO405">
        <f>'[1]F on ice'!E405</f>
        <v>78</v>
      </c>
      <c r="AP405" s="2">
        <f>'[1]Impact Score Math'!E405</f>
        <v>0.87374749498997994</v>
      </c>
      <c r="AQ405">
        <f>'[1]Impact Score Math'!G405</f>
        <v>64</v>
      </c>
      <c r="AT405" s="1">
        <f>'[1]Forward Ranks'!CJ405</f>
        <v>0.29912663755458513</v>
      </c>
      <c r="AU405" s="1">
        <f>'[1]Forward Ranks'!CK405</f>
        <v>0.78165938864628826</v>
      </c>
    </row>
    <row r="406" spans="1:47" x14ac:dyDescent="0.3">
      <c r="A406" t="str">
        <f>'[1]Forward Ranks'!A406</f>
        <v>Tanner Jeannot</v>
      </c>
      <c r="B406">
        <f>'[1]Forward Ranks'!D406</f>
        <v>0</v>
      </c>
      <c r="C406" s="1">
        <f>'[1]Forward Ranks'!I406</f>
        <v>0.5240174672489083</v>
      </c>
      <c r="D406" s="1">
        <f>'[1]Forward Ranks'!J406</f>
        <v>0.74454148471615722</v>
      </c>
      <c r="E406" s="1">
        <f>'[1]Forward Ranks'!K406</f>
        <v>0.2205240174672489</v>
      </c>
      <c r="F406" s="1">
        <f>'[1]Forward Ranks'!L406</f>
        <v>0.64192139737991272</v>
      </c>
      <c r="G406">
        <f>'[1]Forward Ranks'!N406</f>
        <v>0</v>
      </c>
      <c r="H406" s="1">
        <f>'[1]Forward Ranks'!S406</f>
        <v>9.8253275109170299E-2</v>
      </c>
      <c r="I406" s="1">
        <f>'[1]Forward Ranks'!T406</f>
        <v>0.31877729257641924</v>
      </c>
      <c r="J406" s="1">
        <f>'[1]Forward Ranks'!U406</f>
        <v>0.21615720524017468</v>
      </c>
      <c r="K406" s="1">
        <f>'[1]Forward Ranks'!V406</f>
        <v>0.13755458515283842</v>
      </c>
      <c r="L406">
        <f>'[1]Forward Ranks'!X406</f>
        <v>0</v>
      </c>
      <c r="M406" s="1">
        <f>'[1]Forward Ranks'!AC406</f>
        <v>0.29257641921397382</v>
      </c>
      <c r="N406" s="1">
        <f>'[1]Forward Ranks'!AD406</f>
        <v>0.43449781659388648</v>
      </c>
      <c r="O406" s="1">
        <f>'[1]Forward Ranks'!AE406</f>
        <v>0.5</v>
      </c>
      <c r="P406" s="1">
        <f>'[1]Forward Ranks'!AF406</f>
        <v>0.32532751091703055</v>
      </c>
      <c r="Q406">
        <f>'[1]Forward Ranks'!AH406</f>
        <v>0</v>
      </c>
      <c r="R406" s="1">
        <f>'[1]Forward Ranks'!AM406</f>
        <v>0.41048034934497818</v>
      </c>
      <c r="S406" s="1">
        <f>'[1]Forward Ranks'!AN406</f>
        <v>0.71179039301310043</v>
      </c>
      <c r="T406" s="1">
        <f>'[1]Forward Ranks'!AO406</f>
        <v>0.29694323144104806</v>
      </c>
      <c r="U406" s="1">
        <f>'[1]Forward Ranks'!AP406</f>
        <v>0.5240174672489083</v>
      </c>
      <c r="V406">
        <f>'[1]Forward Ranks'!AR406</f>
        <v>0</v>
      </c>
      <c r="W406" s="1">
        <f>'[1]Forward Ranks'!AW406</f>
        <v>0.42794759825327511</v>
      </c>
      <c r="X406" s="1">
        <f>'[1]Forward Ranks'!AX406</f>
        <v>0.54366812227074235</v>
      </c>
      <c r="Y406" s="1">
        <f>'[1]Forward Ranks'!AY406</f>
        <v>0.41484716157205243</v>
      </c>
      <c r="Z406" s="1">
        <f>'[1]Forward Ranks'!AZ406</f>
        <v>0.44978165938864628</v>
      </c>
      <c r="AA406">
        <f>'[1]Forward Ranks'!BB406</f>
        <v>0</v>
      </c>
      <c r="AB406" s="1">
        <f>'[1]Forward Ranks'!BG406</f>
        <v>0.3930131004366812</v>
      </c>
      <c r="AC406" s="1">
        <f>'[1]Forward Ranks'!BH406</f>
        <v>0.32096069868995636</v>
      </c>
      <c r="AD406" s="1">
        <f>'[1]Forward Ranks'!BI406</f>
        <v>0.16157205240174671</v>
      </c>
      <c r="AE406" s="1">
        <f>'[1]Forward Ranks'!BJ406</f>
        <v>0.34061135371179041</v>
      </c>
      <c r="AF406">
        <f>'[1]Forward Ranks'!BL406</f>
        <v>0</v>
      </c>
      <c r="AG406" s="1">
        <f>'[1]Forward Ranks'!BQ406</f>
        <v>0.39956331877729256</v>
      </c>
      <c r="AH406" s="1">
        <f>'[1]Forward Ranks'!BR406</f>
        <v>0.64847161572052403</v>
      </c>
      <c r="AI406" s="1">
        <f>'[1]Forward Ranks'!BS406</f>
        <v>0.2576419213973799</v>
      </c>
      <c r="AJ406" s="1">
        <f>'[1]Forward Ranks'!BT406</f>
        <v>0.50655021834061131</v>
      </c>
      <c r="AL406" s="2">
        <f>'[1]Forward Ranks'!BX406</f>
        <v>0.29475982532751094</v>
      </c>
      <c r="AN406" t="str">
        <f>'[1]Forward Ranks'!B406</f>
        <v>NSH, T.B</v>
      </c>
      <c r="AO406">
        <f>'[1]F on ice'!E406</f>
        <v>76</v>
      </c>
      <c r="AP406" s="2">
        <f>'[1]Impact Score Math'!E406</f>
        <v>0.37274549098196391</v>
      </c>
      <c r="AQ406">
        <f>'[1]Impact Score Math'!G406</f>
        <v>314</v>
      </c>
      <c r="AT406" s="1">
        <f>'[1]Forward Ranks'!CJ406</f>
        <v>4.5851528384279479E-2</v>
      </c>
      <c r="AU406" s="1">
        <f>'[1]Forward Ranks'!CK406</f>
        <v>0.8973799126637555</v>
      </c>
    </row>
    <row r="407" spans="1:47" x14ac:dyDescent="0.3">
      <c r="A407" t="str">
        <f>'[1]Forward Ranks'!A407</f>
        <v>Tanner Laczynski</v>
      </c>
      <c r="B407">
        <f>'[1]Forward Ranks'!D407</f>
        <v>0</v>
      </c>
      <c r="C407" s="1">
        <f>'[1]Forward Ranks'!I407</f>
        <v>1.7467248908296942E-2</v>
      </c>
      <c r="D407" s="1">
        <f>'[1]Forward Ranks'!J407</f>
        <v>2.1834061135371178E-3</v>
      </c>
      <c r="E407" s="1">
        <f>'[1]Forward Ranks'!K407</f>
        <v>6.5502183406113534E-3</v>
      </c>
      <c r="F407" s="1">
        <f>'[1]Forward Ranks'!L407</f>
        <v>4.3668122270742356E-3</v>
      </c>
      <c r="G407">
        <f>'[1]Forward Ranks'!N407</f>
        <v>0</v>
      </c>
      <c r="H407" s="1">
        <f>'[1]Forward Ranks'!S407</f>
        <v>0.16812227074235808</v>
      </c>
      <c r="I407" s="1">
        <f>'[1]Forward Ranks'!T407</f>
        <v>2.6200873362445413E-2</v>
      </c>
      <c r="J407" s="1">
        <f>'[1]Forward Ranks'!U407</f>
        <v>9.606986899563319E-2</v>
      </c>
      <c r="K407" s="1">
        <f>'[1]Forward Ranks'!V407</f>
        <v>2.4017467248908297E-2</v>
      </c>
      <c r="L407">
        <f>'[1]Forward Ranks'!X407</f>
        <v>0</v>
      </c>
      <c r="M407" s="1">
        <f>'[1]Forward Ranks'!AC407</f>
        <v>0.83624454148471616</v>
      </c>
      <c r="N407" s="1">
        <f>'[1]Forward Ranks'!AD407</f>
        <v>0.87991266375545851</v>
      </c>
      <c r="O407" s="1">
        <f>'[1]Forward Ranks'!AE407</f>
        <v>0.79475982532751088</v>
      </c>
      <c r="P407" s="1">
        <f>'[1]Forward Ranks'!AF407</f>
        <v>0.90393013100436681</v>
      </c>
      <c r="Q407">
        <f>'[1]Forward Ranks'!AH407</f>
        <v>0</v>
      </c>
      <c r="R407" s="1">
        <f>'[1]Forward Ranks'!AM407</f>
        <v>1.7467248908296942E-2</v>
      </c>
      <c r="S407" s="1">
        <f>'[1]Forward Ranks'!AN407</f>
        <v>1.0917030567685589E-2</v>
      </c>
      <c r="T407" s="1">
        <f>'[1]Forward Ranks'!AO407</f>
        <v>1.7467248908296942E-2</v>
      </c>
      <c r="U407" s="1">
        <f>'[1]Forward Ranks'!AP407</f>
        <v>2.6200873362445413E-2</v>
      </c>
      <c r="V407">
        <f>'[1]Forward Ranks'!AR407</f>
        <v>0</v>
      </c>
      <c r="W407" s="1">
        <f>'[1]Forward Ranks'!AW407</f>
        <v>0.95414847161572047</v>
      </c>
      <c r="X407" s="1">
        <f>'[1]Forward Ranks'!AX407</f>
        <v>0.83842794759825323</v>
      </c>
      <c r="Y407" s="1">
        <f>'[1]Forward Ranks'!AY407</f>
        <v>0.78384279475982532</v>
      </c>
      <c r="Z407" s="1">
        <f>'[1]Forward Ranks'!AZ407</f>
        <v>0.87991266375545851</v>
      </c>
      <c r="AA407">
        <f>'[1]Forward Ranks'!BB407</f>
        <v>0</v>
      </c>
      <c r="AB407" s="1">
        <f>'[1]Forward Ranks'!BG407</f>
        <v>5.0218340611353711E-2</v>
      </c>
      <c r="AC407" s="1">
        <f>'[1]Forward Ranks'!BH407</f>
        <v>0.34497816593886466</v>
      </c>
      <c r="AD407" s="1">
        <f>'[1]Forward Ranks'!BI407</f>
        <v>1.0917030567685589E-2</v>
      </c>
      <c r="AE407" s="1">
        <f>'[1]Forward Ranks'!BJ407</f>
        <v>4.8034934497816595E-2</v>
      </c>
      <c r="AF407">
        <f>'[1]Forward Ranks'!BL407</f>
        <v>0</v>
      </c>
      <c r="AG407" s="1">
        <f>'[1]Forward Ranks'!BQ407</f>
        <v>0.13755458515283842</v>
      </c>
      <c r="AH407" s="1">
        <f>'[1]Forward Ranks'!BR407</f>
        <v>1.9650655021834062E-2</v>
      </c>
      <c r="AI407" s="1">
        <f>'[1]Forward Ranks'!BS407</f>
        <v>1.7467248908296942E-2</v>
      </c>
      <c r="AJ407" s="1">
        <f>'[1]Forward Ranks'!BT407</f>
        <v>7.2052401746724892E-2</v>
      </c>
      <c r="AL407" s="2">
        <f>'[1]Forward Ranks'!BX407</f>
        <v>0.14192139737991266</v>
      </c>
      <c r="AN407" t="str">
        <f>'[1]Forward Ranks'!B407</f>
        <v>PHI</v>
      </c>
      <c r="AO407">
        <f>'[1]F on ice'!E407</f>
        <v>32</v>
      </c>
      <c r="AP407" s="2">
        <f>'[1]Impact Score Math'!E407</f>
        <v>0.16432865731462926</v>
      </c>
      <c r="AQ407">
        <f>'[1]Impact Score Math'!G407</f>
        <v>418</v>
      </c>
      <c r="AT407" s="1">
        <f>'[1]Forward Ranks'!CJ407</f>
        <v>0.93886462882096067</v>
      </c>
      <c r="AU407" s="1">
        <f>'[1]Forward Ranks'!CK407</f>
        <v>9.606986899563319E-2</v>
      </c>
    </row>
    <row r="408" spans="1:47" x14ac:dyDescent="0.3">
      <c r="A408" t="str">
        <f>'[1]Forward Ranks'!A408</f>
        <v>Taylor Hall</v>
      </c>
      <c r="B408">
        <f>'[1]Forward Ranks'!D408</f>
        <v>0</v>
      </c>
      <c r="C408" s="1">
        <f>'[1]Forward Ranks'!I408</f>
        <v>0.77947598253275108</v>
      </c>
      <c r="D408" s="1">
        <f>'[1]Forward Ranks'!J408</f>
        <v>0.60698689956331875</v>
      </c>
      <c r="E408" s="1">
        <f>'[1]Forward Ranks'!K408</f>
        <v>0.70524017467248912</v>
      </c>
      <c r="F408" s="1">
        <f>'[1]Forward Ranks'!L408</f>
        <v>0.63318777292576423</v>
      </c>
      <c r="G408">
        <f>'[1]Forward Ranks'!N408</f>
        <v>0</v>
      </c>
      <c r="H408" s="1">
        <f>'[1]Forward Ranks'!S408</f>
        <v>0.53493449781659386</v>
      </c>
      <c r="I408" s="1">
        <f>'[1]Forward Ranks'!T408</f>
        <v>0.74672489082969429</v>
      </c>
      <c r="J408" s="1">
        <f>'[1]Forward Ranks'!U408</f>
        <v>0.75109170305676853</v>
      </c>
      <c r="K408" s="1">
        <f>'[1]Forward Ranks'!V408</f>
        <v>0.6746724890829694</v>
      </c>
      <c r="L408">
        <f>'[1]Forward Ranks'!X408</f>
        <v>0</v>
      </c>
      <c r="M408" s="1">
        <f>'[1]Forward Ranks'!AC408</f>
        <v>0.48471615720524019</v>
      </c>
      <c r="N408" s="1">
        <f>'[1]Forward Ranks'!AD408</f>
        <v>0.59170305676855894</v>
      </c>
      <c r="O408" s="1">
        <f>'[1]Forward Ranks'!AE408</f>
        <v>0.76419213973799127</v>
      </c>
      <c r="P408" s="1">
        <f>'[1]Forward Ranks'!AF408</f>
        <v>0.63755458515283847</v>
      </c>
      <c r="Q408">
        <f>'[1]Forward Ranks'!AH408</f>
        <v>0</v>
      </c>
      <c r="R408" s="1">
        <f>'[1]Forward Ranks'!AM408</f>
        <v>0.67248908296943233</v>
      </c>
      <c r="S408" s="1">
        <f>'[1]Forward Ranks'!AN408</f>
        <v>0.33842794759825329</v>
      </c>
      <c r="T408" s="1">
        <f>'[1]Forward Ranks'!AO408</f>
        <v>0.41048034934497818</v>
      </c>
      <c r="U408" s="1">
        <f>'[1]Forward Ranks'!AP408</f>
        <v>0.47379912663755458</v>
      </c>
      <c r="V408">
        <f>'[1]Forward Ranks'!AR408</f>
        <v>0</v>
      </c>
      <c r="W408" s="1">
        <f>'[1]Forward Ranks'!AW408</f>
        <v>0.20742358078602621</v>
      </c>
      <c r="X408" s="1">
        <f>'[1]Forward Ranks'!AX408</f>
        <v>0.26855895196506552</v>
      </c>
      <c r="Y408" s="1">
        <f>'[1]Forward Ranks'!AY408</f>
        <v>0.14192139737991266</v>
      </c>
      <c r="Z408" s="1">
        <f>'[1]Forward Ranks'!AZ408</f>
        <v>0.22707423580786026</v>
      </c>
      <c r="AA408">
        <f>'[1]Forward Ranks'!BB408</f>
        <v>0</v>
      </c>
      <c r="AB408" s="1">
        <f>'[1]Forward Ranks'!BG408</f>
        <v>0.6506550218340611</v>
      </c>
      <c r="AC408" s="1">
        <f>'[1]Forward Ranks'!BH408</f>
        <v>0.65938864628820959</v>
      </c>
      <c r="AD408" s="1">
        <f>'[1]Forward Ranks'!BI408</f>
        <v>0.611353711790393</v>
      </c>
      <c r="AE408" s="1">
        <f>'[1]Forward Ranks'!BJ408</f>
        <v>0.74672489082969429</v>
      </c>
      <c r="AF408">
        <f>'[1]Forward Ranks'!BL408</f>
        <v>0</v>
      </c>
      <c r="AG408" s="1">
        <f>'[1]Forward Ranks'!BQ408</f>
        <v>0.68340611353711789</v>
      </c>
      <c r="AH408" s="1">
        <f>'[1]Forward Ranks'!BR408</f>
        <v>0.59606986899563319</v>
      </c>
      <c r="AI408" s="1">
        <f>'[1]Forward Ranks'!BS408</f>
        <v>0.83187772925764192</v>
      </c>
      <c r="AJ408" s="1">
        <f>'[1]Forward Ranks'!BT408</f>
        <v>0.67903930131004364</v>
      </c>
      <c r="AL408" s="2">
        <f>'[1]Forward Ranks'!BX408</f>
        <v>0.6266375545851528</v>
      </c>
      <c r="AN408" t="str">
        <f>'[1]Forward Ranks'!B408</f>
        <v>BOS</v>
      </c>
      <c r="AO408">
        <f>'[1]F on ice'!E408</f>
        <v>61</v>
      </c>
      <c r="AP408" s="2">
        <f>'[1]Impact Score Math'!E408</f>
        <v>0.69338677354709422</v>
      </c>
      <c r="AQ408">
        <f>'[1]Impact Score Math'!G408</f>
        <v>154</v>
      </c>
      <c r="AT408" s="1">
        <f>'[1]Forward Ranks'!CJ408</f>
        <v>0.40393013100436681</v>
      </c>
      <c r="AU408" s="1">
        <f>'[1]Forward Ranks'!CK408</f>
        <v>0.78165938864628826</v>
      </c>
    </row>
    <row r="409" spans="1:47" x14ac:dyDescent="0.3">
      <c r="A409" t="str">
        <f>'[1]Forward Ranks'!A409</f>
        <v>Taylor Raddysh</v>
      </c>
      <c r="B409">
        <f>'[1]Forward Ranks'!D409</f>
        <v>0</v>
      </c>
      <c r="C409" s="1">
        <f>'[1]Forward Ranks'!I409</f>
        <v>0.15938864628820962</v>
      </c>
      <c r="D409" s="1">
        <f>'[1]Forward Ranks'!J409</f>
        <v>0.18995633187772926</v>
      </c>
      <c r="E409" s="1">
        <f>'[1]Forward Ranks'!K409</f>
        <v>0.17467248908296942</v>
      </c>
      <c r="F409" s="1">
        <f>'[1]Forward Ranks'!L409</f>
        <v>0.22270742358078602</v>
      </c>
      <c r="G409">
        <f>'[1]Forward Ranks'!N409</f>
        <v>0</v>
      </c>
      <c r="H409" s="1">
        <f>'[1]Forward Ranks'!S409</f>
        <v>0.56986899563318782</v>
      </c>
      <c r="I409" s="1">
        <f>'[1]Forward Ranks'!T409</f>
        <v>9.1703056768558958E-2</v>
      </c>
      <c r="J409" s="1">
        <f>'[1]Forward Ranks'!U409</f>
        <v>7.8602620087336247E-2</v>
      </c>
      <c r="K409" s="1">
        <f>'[1]Forward Ranks'!V409</f>
        <v>0.17248908296943233</v>
      </c>
      <c r="L409">
        <f>'[1]Forward Ranks'!X409</f>
        <v>0</v>
      </c>
      <c r="M409" s="1">
        <f>'[1]Forward Ranks'!AC409</f>
        <v>0.33624454148471616</v>
      </c>
      <c r="N409" s="1">
        <f>'[1]Forward Ranks'!AD409</f>
        <v>0.29475982532751094</v>
      </c>
      <c r="O409" s="1">
        <f>'[1]Forward Ranks'!AE409</f>
        <v>0.59825327510917026</v>
      </c>
      <c r="P409" s="1">
        <f>'[1]Forward Ranks'!AF409</f>
        <v>0.34934497816593885</v>
      </c>
      <c r="Q409">
        <f>'[1]Forward Ranks'!AH409</f>
        <v>0</v>
      </c>
      <c r="R409" s="1">
        <f>'[1]Forward Ranks'!AM409</f>
        <v>0.64847161572052403</v>
      </c>
      <c r="S409" s="1">
        <f>'[1]Forward Ranks'!AN409</f>
        <v>0.72489082969432317</v>
      </c>
      <c r="T409" s="1">
        <f>'[1]Forward Ranks'!AO409</f>
        <v>0.44323144104803491</v>
      </c>
      <c r="U409" s="1">
        <f>'[1]Forward Ranks'!AP409</f>
        <v>0.69650655021834063</v>
      </c>
      <c r="V409">
        <f>'[1]Forward Ranks'!AR409</f>
        <v>0</v>
      </c>
      <c r="W409" s="1">
        <f>'[1]Forward Ranks'!AW409</f>
        <v>0.84061135371179041</v>
      </c>
      <c r="X409" s="1">
        <f>'[1]Forward Ranks'!AX409</f>
        <v>0.5873362445414847</v>
      </c>
      <c r="Y409" s="1">
        <f>'[1]Forward Ranks'!AY409</f>
        <v>0.94323144104803491</v>
      </c>
      <c r="Z409" s="1">
        <f>'[1]Forward Ranks'!AZ409</f>
        <v>0.76200873362445409</v>
      </c>
      <c r="AA409">
        <f>'[1]Forward Ranks'!BB409</f>
        <v>0</v>
      </c>
      <c r="AB409" s="1">
        <f>'[1]Forward Ranks'!BG409</f>
        <v>0.66812227074235808</v>
      </c>
      <c r="AC409" s="1">
        <f>'[1]Forward Ranks'!BH409</f>
        <v>0.40174672489082969</v>
      </c>
      <c r="AD409" s="1">
        <f>'[1]Forward Ranks'!BI409</f>
        <v>0.21615720524017468</v>
      </c>
      <c r="AE409" s="1">
        <f>'[1]Forward Ranks'!BJ409</f>
        <v>0.35807860262008734</v>
      </c>
      <c r="AF409">
        <f>'[1]Forward Ranks'!BL409</f>
        <v>0</v>
      </c>
      <c r="AG409" s="1">
        <f>'[1]Forward Ranks'!BQ409</f>
        <v>0.18777292576419213</v>
      </c>
      <c r="AH409" s="1">
        <f>'[1]Forward Ranks'!BR409</f>
        <v>0.19213973799126638</v>
      </c>
      <c r="AI409" s="1">
        <f>'[1]Forward Ranks'!BS409</f>
        <v>0.2423580786026201</v>
      </c>
      <c r="AJ409" s="1">
        <f>'[1]Forward Ranks'!BT409</f>
        <v>0.2183406113537118</v>
      </c>
      <c r="AL409" s="2">
        <f>'[1]Forward Ranks'!BX409</f>
        <v>0.36026200873362446</v>
      </c>
      <c r="AN409" t="str">
        <f>'[1]Forward Ranks'!B409</f>
        <v>CHI</v>
      </c>
      <c r="AO409">
        <f>'[1]F on ice'!E409</f>
        <v>78</v>
      </c>
      <c r="AP409" s="2">
        <f>'[1]Impact Score Math'!E409</f>
        <v>0.48096192384769537</v>
      </c>
      <c r="AQ409">
        <f>'[1]Impact Score Math'!G409</f>
        <v>260</v>
      </c>
      <c r="AT409" s="1">
        <f>'[1]Forward Ranks'!CJ409</f>
        <v>0.76855895196506552</v>
      </c>
      <c r="AU409" s="1">
        <f>'[1]Forward Ranks'!CK409</f>
        <v>0.19213973799126638</v>
      </c>
    </row>
    <row r="410" spans="1:47" x14ac:dyDescent="0.3">
      <c r="A410" t="str">
        <f>'[1]Forward Ranks'!A410</f>
        <v>Teddy Blueger</v>
      </c>
      <c r="B410">
        <f>'[1]Forward Ranks'!D410</f>
        <v>0</v>
      </c>
      <c r="C410" s="1">
        <f>'[1]Forward Ranks'!I410</f>
        <v>0.30786026200873362</v>
      </c>
      <c r="D410" s="1">
        <f>'[1]Forward Ranks'!J410</f>
        <v>0.51528384279475981</v>
      </c>
      <c r="E410" s="1">
        <f>'[1]Forward Ranks'!K410</f>
        <v>0.1331877729257642</v>
      </c>
      <c r="F410" s="1">
        <f>'[1]Forward Ranks'!L410</f>
        <v>0.42358078602620086</v>
      </c>
      <c r="G410">
        <f>'[1]Forward Ranks'!N410</f>
        <v>0</v>
      </c>
      <c r="H410" s="1">
        <f>'[1]Forward Ranks'!S410</f>
        <v>6.3318777292576414E-2</v>
      </c>
      <c r="I410" s="1">
        <f>'[1]Forward Ranks'!T410</f>
        <v>0.48689956331877732</v>
      </c>
      <c r="J410" s="1">
        <f>'[1]Forward Ranks'!U410</f>
        <v>0.70305676855895194</v>
      </c>
      <c r="K410" s="1">
        <f>'[1]Forward Ranks'!V410</f>
        <v>0.17248908296943233</v>
      </c>
      <c r="L410">
        <f>'[1]Forward Ranks'!X410</f>
        <v>0</v>
      </c>
      <c r="M410" s="1">
        <f>'[1]Forward Ranks'!AC410</f>
        <v>0.44104803493449779</v>
      </c>
      <c r="N410" s="1">
        <f>'[1]Forward Ranks'!AD410</f>
        <v>0.39519650655021832</v>
      </c>
      <c r="O410" s="1">
        <f>'[1]Forward Ranks'!AE410</f>
        <v>0.27510917030567683</v>
      </c>
      <c r="P410" s="1">
        <f>'[1]Forward Ranks'!AF410</f>
        <v>0.43013100436681223</v>
      </c>
      <c r="Q410">
        <f>'[1]Forward Ranks'!AH410</f>
        <v>0</v>
      </c>
      <c r="R410" s="1">
        <f>'[1]Forward Ranks'!AM410</f>
        <v>9.3886462882096067E-2</v>
      </c>
      <c r="S410" s="1">
        <f>'[1]Forward Ranks'!AN410</f>
        <v>0.20960698689956331</v>
      </c>
      <c r="T410" s="1">
        <f>'[1]Forward Ranks'!AO410</f>
        <v>8.0786026200873357E-2</v>
      </c>
      <c r="U410" s="1">
        <f>'[1]Forward Ranks'!AP410</f>
        <v>0.17248908296943233</v>
      </c>
      <c r="V410">
        <f>'[1]Forward Ranks'!AR410</f>
        <v>0</v>
      </c>
      <c r="W410" s="1">
        <f>'[1]Forward Ranks'!AW410</f>
        <v>0.80131004366812231</v>
      </c>
      <c r="X410" s="1">
        <f>'[1]Forward Ranks'!AX410</f>
        <v>0.83406113537117899</v>
      </c>
      <c r="Y410" s="1">
        <f>'[1]Forward Ranks'!AY410</f>
        <v>0.15938864628820962</v>
      </c>
      <c r="Z410" s="1">
        <f>'[1]Forward Ranks'!AZ410</f>
        <v>0.84279475982532748</v>
      </c>
      <c r="AA410">
        <f>'[1]Forward Ranks'!BB410</f>
        <v>0</v>
      </c>
      <c r="AB410" s="1">
        <f>'[1]Forward Ranks'!BG410</f>
        <v>0.20742358078602621</v>
      </c>
      <c r="AC410" s="1">
        <f>'[1]Forward Ranks'!BH410</f>
        <v>8.7336244541484712E-3</v>
      </c>
      <c r="AD410" s="1">
        <f>'[1]Forward Ranks'!BI410</f>
        <v>9.8253275109170299E-2</v>
      </c>
      <c r="AE410" s="1">
        <f>'[1]Forward Ranks'!BJ410</f>
        <v>6.3318777292576414E-2</v>
      </c>
      <c r="AF410">
        <f>'[1]Forward Ranks'!BL410</f>
        <v>0</v>
      </c>
      <c r="AG410" s="1">
        <f>'[1]Forward Ranks'!BQ410</f>
        <v>0.33842794759825329</v>
      </c>
      <c r="AH410" s="1">
        <f>'[1]Forward Ranks'!BR410</f>
        <v>0.44104803493449779</v>
      </c>
      <c r="AI410" s="1">
        <f>'[1]Forward Ranks'!BS410</f>
        <v>9.1703056768558958E-2</v>
      </c>
      <c r="AJ410" s="1">
        <f>'[1]Forward Ranks'!BT410</f>
        <v>0.39519650655021832</v>
      </c>
      <c r="AL410" s="2">
        <f>'[1]Forward Ranks'!BX410</f>
        <v>0.24017467248908297</v>
      </c>
      <c r="AN410" t="str">
        <f>'[1]Forward Ranks'!B410</f>
        <v>PIT, VGK</v>
      </c>
      <c r="AO410">
        <f>'[1]F on ice'!E410</f>
        <v>63</v>
      </c>
      <c r="AP410" s="2">
        <f>'[1]Impact Score Math'!E410</f>
        <v>0.27454909819639278</v>
      </c>
      <c r="AQ410">
        <f>'[1]Impact Score Math'!G410</f>
        <v>363</v>
      </c>
      <c r="AT410" s="1">
        <f>'[1]Forward Ranks'!CJ410</f>
        <v>0.67903930131004364</v>
      </c>
      <c r="AU410" s="1">
        <f>'[1]Forward Ranks'!CK410</f>
        <v>0.36244541484716158</v>
      </c>
    </row>
    <row r="411" spans="1:47" x14ac:dyDescent="0.3">
      <c r="A411" t="str">
        <f>'[1]Forward Ranks'!A411</f>
        <v>Teuvo Teravainen</v>
      </c>
      <c r="B411">
        <f>'[1]Forward Ranks'!D411</f>
        <v>0</v>
      </c>
      <c r="C411" s="1">
        <f>'[1]Forward Ranks'!I411</f>
        <v>0.77947598253275108</v>
      </c>
      <c r="D411" s="1">
        <f>'[1]Forward Ranks'!J411</f>
        <v>0.6026200873362445</v>
      </c>
      <c r="E411" s="1">
        <f>'[1]Forward Ranks'!K411</f>
        <v>0.60043668122270744</v>
      </c>
      <c r="F411" s="1">
        <f>'[1]Forward Ranks'!L411</f>
        <v>0.65283842794759828</v>
      </c>
      <c r="G411">
        <f>'[1]Forward Ranks'!N411</f>
        <v>0</v>
      </c>
      <c r="H411" s="1">
        <f>'[1]Forward Ranks'!S411</f>
        <v>7.4235807860262015E-2</v>
      </c>
      <c r="I411" s="1">
        <f>'[1]Forward Ranks'!T411</f>
        <v>0.69868995633187769</v>
      </c>
      <c r="J411" s="1">
        <f>'[1]Forward Ranks'!U411</f>
        <v>0.85589519650655022</v>
      </c>
      <c r="K411" s="1">
        <f>'[1]Forward Ranks'!V411</f>
        <v>0.38209606986899564</v>
      </c>
      <c r="L411">
        <f>'[1]Forward Ranks'!X411</f>
        <v>0</v>
      </c>
      <c r="M411" s="1">
        <f>'[1]Forward Ranks'!AC411</f>
        <v>0.96724890829694321</v>
      </c>
      <c r="N411" s="1">
        <f>'[1]Forward Ranks'!AD411</f>
        <v>0.71834061135371174</v>
      </c>
      <c r="O411" s="1">
        <f>'[1]Forward Ranks'!AE411</f>
        <v>0.66812227074235808</v>
      </c>
      <c r="P411" s="1">
        <f>'[1]Forward Ranks'!AF411</f>
        <v>0.94978165938864634</v>
      </c>
      <c r="Q411">
        <f>'[1]Forward Ranks'!AH411</f>
        <v>0</v>
      </c>
      <c r="R411" s="1">
        <f>'[1]Forward Ranks'!AM411</f>
        <v>7.8602620087336247E-2</v>
      </c>
      <c r="S411" s="1">
        <f>'[1]Forward Ranks'!AN411</f>
        <v>3.4934497816593885E-2</v>
      </c>
      <c r="T411" s="1">
        <f>'[1]Forward Ranks'!AO411</f>
        <v>0.45851528384279477</v>
      </c>
      <c r="U411" s="1">
        <f>'[1]Forward Ranks'!AP411</f>
        <v>7.8602620087336247E-2</v>
      </c>
      <c r="V411">
        <f>'[1]Forward Ranks'!AR411</f>
        <v>0</v>
      </c>
      <c r="W411" s="1">
        <f>'[1]Forward Ranks'!AW411</f>
        <v>0.39082969432314413</v>
      </c>
      <c r="X411" s="1">
        <f>'[1]Forward Ranks'!AX411</f>
        <v>0.27510917030567683</v>
      </c>
      <c r="Y411" s="1">
        <f>'[1]Forward Ranks'!AY411</f>
        <v>0.45196506550218341</v>
      </c>
      <c r="Z411" s="1">
        <f>'[1]Forward Ranks'!AZ411</f>
        <v>0.38209606986899564</v>
      </c>
      <c r="AA411">
        <f>'[1]Forward Ranks'!BB411</f>
        <v>0</v>
      </c>
      <c r="AB411" s="1">
        <f>'[1]Forward Ranks'!BG411</f>
        <v>0.48034934497816595</v>
      </c>
      <c r="AC411" s="1">
        <f>'[1]Forward Ranks'!BH411</f>
        <v>0.93231441048034935</v>
      </c>
      <c r="AD411" s="1">
        <f>'[1]Forward Ranks'!BI411</f>
        <v>0.51528384279475981</v>
      </c>
      <c r="AE411" s="1">
        <f>'[1]Forward Ranks'!BJ411</f>
        <v>0.46288209606986902</v>
      </c>
      <c r="AF411">
        <f>'[1]Forward Ranks'!BL411</f>
        <v>0</v>
      </c>
      <c r="AG411" s="1">
        <f>'[1]Forward Ranks'!BQ411</f>
        <v>0.94759825327510916</v>
      </c>
      <c r="AH411" s="1">
        <f>'[1]Forward Ranks'!BR411</f>
        <v>0.67030567685589515</v>
      </c>
      <c r="AI411" s="1">
        <f>'[1]Forward Ranks'!BS411</f>
        <v>0.69213973799126638</v>
      </c>
      <c r="AJ411" s="1">
        <f>'[1]Forward Ranks'!BT411</f>
        <v>0.88646288209606983</v>
      </c>
      <c r="AL411" s="2">
        <f>'[1]Forward Ranks'!BX411</f>
        <v>0.57205240174672489</v>
      </c>
      <c r="AN411" t="str">
        <f>'[1]Forward Ranks'!B411</f>
        <v>CAR</v>
      </c>
      <c r="AO411">
        <f>'[1]F on ice'!E411</f>
        <v>68</v>
      </c>
      <c r="AP411" s="2">
        <f>'[1]Impact Score Math'!E411</f>
        <v>0.60921843687374755</v>
      </c>
      <c r="AQ411">
        <f>'[1]Impact Score Math'!G411</f>
        <v>196</v>
      </c>
      <c r="AT411" s="1">
        <f>'[1]Forward Ranks'!CJ411</f>
        <v>0.79475982532751088</v>
      </c>
      <c r="AU411" s="1">
        <f>'[1]Forward Ranks'!CK411</f>
        <v>4.3668122270742356E-3</v>
      </c>
    </row>
    <row r="412" spans="1:47" x14ac:dyDescent="0.3">
      <c r="A412" t="str">
        <f>'[1]Forward Ranks'!A412</f>
        <v>Tim Stützle</v>
      </c>
      <c r="B412">
        <f>'[1]Forward Ranks'!D412</f>
        <v>0</v>
      </c>
      <c r="C412" s="1">
        <f>'[1]Forward Ranks'!I412</f>
        <v>0.95633187772925765</v>
      </c>
      <c r="D412" s="1">
        <f>'[1]Forward Ranks'!J412</f>
        <v>0.9126637554585153</v>
      </c>
      <c r="E412" s="1">
        <f>'[1]Forward Ranks'!K412</f>
        <v>0.85152838427947597</v>
      </c>
      <c r="F412" s="1">
        <f>'[1]Forward Ranks'!L412</f>
        <v>0.92139737991266379</v>
      </c>
      <c r="G412">
        <f>'[1]Forward Ranks'!N412</f>
        <v>0</v>
      </c>
      <c r="H412" s="1">
        <f>'[1]Forward Ranks'!S412</f>
        <v>0.82751091703056767</v>
      </c>
      <c r="I412" s="1">
        <f>'[1]Forward Ranks'!T412</f>
        <v>0.8493449781659389</v>
      </c>
      <c r="J412" s="1">
        <f>'[1]Forward Ranks'!U412</f>
        <v>0.78165938864628826</v>
      </c>
      <c r="K412" s="1">
        <f>'[1]Forward Ranks'!V412</f>
        <v>0.8973799126637555</v>
      </c>
      <c r="L412">
        <f>'[1]Forward Ranks'!X412</f>
        <v>0</v>
      </c>
      <c r="M412" s="1">
        <f>'[1]Forward Ranks'!AC412</f>
        <v>0.4606986899563319</v>
      </c>
      <c r="N412" s="1">
        <f>'[1]Forward Ranks'!AD412</f>
        <v>0.47379912663755458</v>
      </c>
      <c r="O412" s="1">
        <f>'[1]Forward Ranks'!AE412</f>
        <v>9.8253275109170299E-2</v>
      </c>
      <c r="P412" s="1">
        <f>'[1]Forward Ranks'!AF412</f>
        <v>0.34279475982532753</v>
      </c>
      <c r="Q412">
        <f>'[1]Forward Ranks'!AH412</f>
        <v>0</v>
      </c>
      <c r="R412" s="1">
        <f>'[1]Forward Ranks'!AM412</f>
        <v>0.95196506550218341</v>
      </c>
      <c r="S412" s="1">
        <f>'[1]Forward Ranks'!AN412</f>
        <v>0.96506550218340614</v>
      </c>
      <c r="T412" s="1">
        <f>'[1]Forward Ranks'!AO412</f>
        <v>0.93886462882096067</v>
      </c>
      <c r="U412" s="1">
        <f>'[1]Forward Ranks'!AP412</f>
        <v>0.9606986899563319</v>
      </c>
      <c r="V412">
        <f>'[1]Forward Ranks'!AR412</f>
        <v>0</v>
      </c>
      <c r="W412" s="1">
        <f>'[1]Forward Ranks'!AW412</f>
        <v>0.40829694323144106</v>
      </c>
      <c r="X412" s="1">
        <f>'[1]Forward Ranks'!AX412</f>
        <v>0.47379912663755458</v>
      </c>
      <c r="Y412" s="1">
        <f>'[1]Forward Ranks'!AY412</f>
        <v>6.1135371179039298E-2</v>
      </c>
      <c r="Z412" s="1">
        <f>'[1]Forward Ranks'!AZ412</f>
        <v>0.26637554585152839</v>
      </c>
      <c r="AA412">
        <f>'[1]Forward Ranks'!BB412</f>
        <v>0</v>
      </c>
      <c r="AB412" s="1">
        <f>'[1]Forward Ranks'!BG412</f>
        <v>0.94759825327510916</v>
      </c>
      <c r="AC412" s="1">
        <f>'[1]Forward Ranks'!BH412</f>
        <v>0.8733624454148472</v>
      </c>
      <c r="AD412" s="1">
        <f>'[1]Forward Ranks'!BI412</f>
        <v>0.67685589519650657</v>
      </c>
      <c r="AE412" s="1">
        <f>'[1]Forward Ranks'!BJ412</f>
        <v>0.24672489082969432</v>
      </c>
      <c r="AF412">
        <f>'[1]Forward Ranks'!BL412</f>
        <v>0</v>
      </c>
      <c r="AG412" s="1">
        <f>'[1]Forward Ranks'!BQ412</f>
        <v>0.89082969432314407</v>
      </c>
      <c r="AH412" s="1">
        <f>'[1]Forward Ranks'!BR412</f>
        <v>0.86026200873362446</v>
      </c>
      <c r="AI412" s="1">
        <f>'[1]Forward Ranks'!BS412</f>
        <v>0.46506550218340609</v>
      </c>
      <c r="AJ412" s="1">
        <f>'[1]Forward Ranks'!BT412</f>
        <v>0.84279475982532748</v>
      </c>
      <c r="AL412" s="2">
        <f>'[1]Forward Ranks'!BX412</f>
        <v>0.93013100436681218</v>
      </c>
      <c r="AN412" t="str">
        <f>'[1]Forward Ranks'!B412</f>
        <v>OTT</v>
      </c>
      <c r="AO412">
        <f>'[1]F on ice'!E412</f>
        <v>78</v>
      </c>
      <c r="AP412" s="2">
        <f>'[1]Impact Score Math'!E412</f>
        <v>0.97595190380761521</v>
      </c>
      <c r="AQ412">
        <f>'[1]Impact Score Math'!G412</f>
        <v>13</v>
      </c>
      <c r="AT412" s="1">
        <f>'[1]Forward Ranks'!CJ412</f>
        <v>0.21615720524017468</v>
      </c>
      <c r="AU412" s="1">
        <f>'[1]Forward Ranks'!CK412</f>
        <v>0.89519650655021832</v>
      </c>
    </row>
    <row r="413" spans="1:47" x14ac:dyDescent="0.3">
      <c r="A413" t="str">
        <f>'[1]Forward Ranks'!A413</f>
        <v>Timo Meier</v>
      </c>
      <c r="B413">
        <f>'[1]Forward Ranks'!D413</f>
        <v>0</v>
      </c>
      <c r="C413" s="1">
        <f>'[1]Forward Ranks'!I413</f>
        <v>0.88427947598253276</v>
      </c>
      <c r="D413" s="1">
        <f>'[1]Forward Ranks'!J413</f>
        <v>0.99126637554585151</v>
      </c>
      <c r="E413" s="1">
        <f>'[1]Forward Ranks'!K413</f>
        <v>0.78602620087336239</v>
      </c>
      <c r="F413" s="1">
        <f>'[1]Forward Ranks'!L413</f>
        <v>0.96943231441048039</v>
      </c>
      <c r="G413">
        <f>'[1]Forward Ranks'!N413</f>
        <v>0</v>
      </c>
      <c r="H413" s="1">
        <f>'[1]Forward Ranks'!S413</f>
        <v>0.86244541484716153</v>
      </c>
      <c r="I413" s="1">
        <f>'[1]Forward Ranks'!T413</f>
        <v>0.27074235807860264</v>
      </c>
      <c r="J413" s="1">
        <f>'[1]Forward Ranks'!U413</f>
        <v>0.38646288209606988</v>
      </c>
      <c r="K413" s="1">
        <f>'[1]Forward Ranks'!V413</f>
        <v>0.62882096069868998</v>
      </c>
      <c r="L413">
        <f>'[1]Forward Ranks'!X413</f>
        <v>0</v>
      </c>
      <c r="M413" s="1">
        <f>'[1]Forward Ranks'!AC413</f>
        <v>0.5873362445414847</v>
      </c>
      <c r="N413" s="1">
        <f>'[1]Forward Ranks'!AD413</f>
        <v>0.70960698689956336</v>
      </c>
      <c r="O413" s="1">
        <f>'[1]Forward Ranks'!AE413</f>
        <v>0.22707423580786026</v>
      </c>
      <c r="P413" s="1">
        <f>'[1]Forward Ranks'!AF413</f>
        <v>0.65502183406113534</v>
      </c>
      <c r="Q413">
        <f>'[1]Forward Ranks'!AH413</f>
        <v>0</v>
      </c>
      <c r="R413" s="1">
        <f>'[1]Forward Ranks'!AM413</f>
        <v>0.94323144104803491</v>
      </c>
      <c r="S413" s="1">
        <f>'[1]Forward Ranks'!AN413</f>
        <v>0.93013100436681218</v>
      </c>
      <c r="T413" s="1">
        <f>'[1]Forward Ranks'!AO413</f>
        <v>0.76419213973799127</v>
      </c>
      <c r="U413" s="1">
        <f>'[1]Forward Ranks'!AP413</f>
        <v>0.95414847161572047</v>
      </c>
      <c r="V413">
        <f>'[1]Forward Ranks'!AR413</f>
        <v>0</v>
      </c>
      <c r="W413" s="1">
        <f>'[1]Forward Ranks'!AW413</f>
        <v>0.5633187772925764</v>
      </c>
      <c r="X413" s="1">
        <f>'[1]Forward Ranks'!AX413</f>
        <v>0.4759825327510917</v>
      </c>
      <c r="Y413" s="1">
        <f>'[1]Forward Ranks'!AY413</f>
        <v>0.45196506550218341</v>
      </c>
      <c r="Z413" s="1">
        <f>'[1]Forward Ranks'!AZ413</f>
        <v>0.53493449781659386</v>
      </c>
      <c r="AA413">
        <f>'[1]Forward Ranks'!BB413</f>
        <v>0</v>
      </c>
      <c r="AB413" s="1">
        <f>'[1]Forward Ranks'!BG413</f>
        <v>0.96724890829694321</v>
      </c>
      <c r="AC413" s="1">
        <f>'[1]Forward Ranks'!BH413</f>
        <v>0.86244541484716153</v>
      </c>
      <c r="AD413" s="1">
        <f>'[1]Forward Ranks'!BI413</f>
        <v>0.62227074235807855</v>
      </c>
      <c r="AE413" s="1">
        <f>'[1]Forward Ranks'!BJ413</f>
        <v>0.3056768558951965</v>
      </c>
      <c r="AF413">
        <f>'[1]Forward Ranks'!BL413</f>
        <v>0</v>
      </c>
      <c r="AG413" s="1">
        <f>'[1]Forward Ranks'!BQ413</f>
        <v>0.84279475982532748</v>
      </c>
      <c r="AH413" s="1">
        <f>'[1]Forward Ranks'!BR413</f>
        <v>0.96943231441048039</v>
      </c>
      <c r="AI413" s="1">
        <f>'[1]Forward Ranks'!BS413</f>
        <v>0.53275109170305679</v>
      </c>
      <c r="AJ413" s="1">
        <f>'[1]Forward Ranks'!BT413</f>
        <v>0.94104803493449785</v>
      </c>
      <c r="AL413" s="2">
        <f>'[1]Forward Ranks'!BX413</f>
        <v>0.92358078602620086</v>
      </c>
      <c r="AN413" t="str">
        <f>'[1]Forward Ranks'!B413</f>
        <v>N.J, S.J</v>
      </c>
      <c r="AO413">
        <f>'[1]F on ice'!E413</f>
        <v>78</v>
      </c>
      <c r="AP413" s="2">
        <f>'[1]Impact Score Math'!E413</f>
        <v>0.97795591182364727</v>
      </c>
      <c r="AQ413">
        <f>'[1]Impact Score Math'!G413</f>
        <v>12</v>
      </c>
      <c r="AT413" s="1">
        <f>'[1]Forward Ranks'!CJ413</f>
        <v>0.32532751091703055</v>
      </c>
      <c r="AU413" s="1">
        <f>'[1]Forward Ranks'!CK413</f>
        <v>0.73580786026200873</v>
      </c>
    </row>
    <row r="414" spans="1:47" x14ac:dyDescent="0.3">
      <c r="A414" t="str">
        <f>'[1]Forward Ranks'!A414</f>
        <v>Tom Wilson</v>
      </c>
      <c r="B414">
        <f>'[1]Forward Ranks'!D414</f>
        <v>0</v>
      </c>
      <c r="C414" s="1">
        <f>'[1]Forward Ranks'!I414</f>
        <v>0.55021834061135366</v>
      </c>
      <c r="D414" s="1">
        <f>'[1]Forward Ranks'!J414</f>
        <v>0.28820960698689957</v>
      </c>
      <c r="E414" s="1">
        <f>'[1]Forward Ranks'!K414</f>
        <v>0.65502183406113534</v>
      </c>
      <c r="F414" s="1">
        <f>'[1]Forward Ranks'!L414</f>
        <v>0.37336244541484714</v>
      </c>
      <c r="G414">
        <f>'[1]Forward Ranks'!N414</f>
        <v>0</v>
      </c>
      <c r="H414" s="1">
        <f>'[1]Forward Ranks'!S414</f>
        <v>0.55676855895196509</v>
      </c>
      <c r="I414" s="1">
        <f>'[1]Forward Ranks'!T414</f>
        <v>0.40393013100436681</v>
      </c>
      <c r="J414" s="1">
        <f>'[1]Forward Ranks'!U414</f>
        <v>0.52183406113537123</v>
      </c>
      <c r="K414" s="1">
        <f>'[1]Forward Ranks'!V414</f>
        <v>0.44978165938864628</v>
      </c>
      <c r="L414">
        <f>'[1]Forward Ranks'!X414</f>
        <v>0</v>
      </c>
      <c r="M414" s="1">
        <f>'[1]Forward Ranks'!AC414</f>
        <v>0.16593886462882096</v>
      </c>
      <c r="N414" s="1">
        <f>'[1]Forward Ranks'!AD414</f>
        <v>1.7467248908296942E-2</v>
      </c>
      <c r="O414" s="1">
        <f>'[1]Forward Ranks'!AE414</f>
        <v>1.0917030567685589E-2</v>
      </c>
      <c r="P414" s="1">
        <f>'[1]Forward Ranks'!AF414</f>
        <v>5.6768558951965066E-2</v>
      </c>
      <c r="Q414">
        <f>'[1]Forward Ranks'!AH414</f>
        <v>0</v>
      </c>
      <c r="R414" s="1">
        <f>'[1]Forward Ranks'!AM414</f>
        <v>0.46724890829694321</v>
      </c>
      <c r="S414" s="1">
        <f>'[1]Forward Ranks'!AN414</f>
        <v>0.18122270742358079</v>
      </c>
      <c r="T414" s="1">
        <f>'[1]Forward Ranks'!AO414</f>
        <v>0.56113537117903933</v>
      </c>
      <c r="U414" s="1">
        <f>'[1]Forward Ranks'!AP414</f>
        <v>0.27947598253275108</v>
      </c>
      <c r="V414">
        <f>'[1]Forward Ranks'!AR414</f>
        <v>0</v>
      </c>
      <c r="W414" s="1">
        <f>'[1]Forward Ranks'!AW414</f>
        <v>0.29039301310043669</v>
      </c>
      <c r="X414" s="1">
        <f>'[1]Forward Ranks'!AX414</f>
        <v>1.7467248908296942E-2</v>
      </c>
      <c r="Y414" s="1">
        <f>'[1]Forward Ranks'!AY414</f>
        <v>4.5851528384279479E-2</v>
      </c>
      <c r="Z414" s="1">
        <f>'[1]Forward Ranks'!AZ414</f>
        <v>8.9519650655021835E-2</v>
      </c>
      <c r="AA414">
        <f>'[1]Forward Ranks'!BB414</f>
        <v>0</v>
      </c>
      <c r="AB414" s="1">
        <f>'[1]Forward Ranks'!BG414</f>
        <v>0.68122270742358082</v>
      </c>
      <c r="AC414" s="1">
        <f>'[1]Forward Ranks'!BH414</f>
        <v>0.888646288209607</v>
      </c>
      <c r="AD414" s="1">
        <f>'[1]Forward Ranks'!BI414</f>
        <v>0.78384279475982532</v>
      </c>
      <c r="AE414" s="1">
        <f>'[1]Forward Ranks'!BJ414</f>
        <v>0.1091703056768559</v>
      </c>
      <c r="AF414">
        <f>'[1]Forward Ranks'!BL414</f>
        <v>0</v>
      </c>
      <c r="AG414" s="1">
        <f>'[1]Forward Ranks'!BQ414</f>
        <v>0.3296943231441048</v>
      </c>
      <c r="AH414" s="1">
        <f>'[1]Forward Ranks'!BR414</f>
        <v>6.3318777292576414E-2</v>
      </c>
      <c r="AI414" s="1">
        <f>'[1]Forward Ranks'!BS414</f>
        <v>0.18777292576419213</v>
      </c>
      <c r="AJ414" s="1">
        <f>'[1]Forward Ranks'!BT414</f>
        <v>0.14847161572052403</v>
      </c>
      <c r="AL414" s="2">
        <f>'[1]Forward Ranks'!BX414</f>
        <v>0.18558951965065501</v>
      </c>
      <c r="AN414" t="str">
        <f>'[1]Forward Ranks'!B414</f>
        <v>WSH</v>
      </c>
      <c r="AO414">
        <f>'[1]F on ice'!E414</f>
        <v>33</v>
      </c>
      <c r="AP414" s="2">
        <f>'[1]Impact Score Math'!E414</f>
        <v>0.32665330661322645</v>
      </c>
      <c r="AQ414">
        <f>'[1]Impact Score Math'!G414</f>
        <v>337</v>
      </c>
      <c r="AT414" s="1">
        <f>'[1]Forward Ranks'!CJ414</f>
        <v>1.3100436681222707E-2</v>
      </c>
      <c r="AU414" s="1">
        <f>'[1]Forward Ranks'!CK414</f>
        <v>0.94978165938864634</v>
      </c>
    </row>
    <row r="415" spans="1:47" x14ac:dyDescent="0.3">
      <c r="A415" t="str">
        <f>'[1]Forward Ranks'!A415</f>
        <v>Tomas Hertl</v>
      </c>
      <c r="B415">
        <f>'[1]Forward Ranks'!D415</f>
        <v>0</v>
      </c>
      <c r="C415" s="1">
        <f>'[1]Forward Ranks'!I415</f>
        <v>0.70524017467248912</v>
      </c>
      <c r="D415" s="1">
        <f>'[1]Forward Ranks'!J415</f>
        <v>0.96943231441048039</v>
      </c>
      <c r="E415" s="1">
        <f>'[1]Forward Ranks'!K415</f>
        <v>0.61790393013100442</v>
      </c>
      <c r="F415" s="1">
        <f>'[1]Forward Ranks'!L415</f>
        <v>0.88427947598253276</v>
      </c>
      <c r="G415">
        <f>'[1]Forward Ranks'!N415</f>
        <v>0</v>
      </c>
      <c r="H415" s="1">
        <f>'[1]Forward Ranks'!S415</f>
        <v>0.51528384279475981</v>
      </c>
      <c r="I415" s="1">
        <f>'[1]Forward Ranks'!T415</f>
        <v>0.59606986899563319</v>
      </c>
      <c r="J415" s="1">
        <f>'[1]Forward Ranks'!U415</f>
        <v>0.45851528384279477</v>
      </c>
      <c r="K415" s="1">
        <f>'[1]Forward Ranks'!V415</f>
        <v>0.55240174672489084</v>
      </c>
      <c r="L415">
        <f>'[1]Forward Ranks'!X415</f>
        <v>0</v>
      </c>
      <c r="M415" s="1">
        <f>'[1]Forward Ranks'!AC415</f>
        <v>0.37554585152838427</v>
      </c>
      <c r="N415" s="1">
        <f>'[1]Forward Ranks'!AD415</f>
        <v>0.29475982532751094</v>
      </c>
      <c r="O415" s="1">
        <f>'[1]Forward Ranks'!AE415</f>
        <v>5.8951965065502182E-2</v>
      </c>
      <c r="P415" s="1">
        <f>'[1]Forward Ranks'!AF415</f>
        <v>0.20087336244541484</v>
      </c>
      <c r="Q415">
        <f>'[1]Forward Ranks'!AH415</f>
        <v>0</v>
      </c>
      <c r="R415" s="1">
        <f>'[1]Forward Ranks'!AM415</f>
        <v>0.85152838427947597</v>
      </c>
      <c r="S415" s="1">
        <f>'[1]Forward Ranks'!AN415</f>
        <v>0.9366812227074236</v>
      </c>
      <c r="T415" s="1">
        <f>'[1]Forward Ranks'!AO415</f>
        <v>0.69868995633187769</v>
      </c>
      <c r="U415" s="1">
        <f>'[1]Forward Ranks'!AP415</f>
        <v>0.89519650655021832</v>
      </c>
      <c r="V415">
        <f>'[1]Forward Ranks'!AR415</f>
        <v>0</v>
      </c>
      <c r="W415" s="1">
        <f>'[1]Forward Ranks'!AW415</f>
        <v>0.5</v>
      </c>
      <c r="X415" s="1">
        <f>'[1]Forward Ranks'!AX415</f>
        <v>0.30786026200873362</v>
      </c>
      <c r="Y415" s="1">
        <f>'[1]Forward Ranks'!AY415</f>
        <v>0.3056768558951965</v>
      </c>
      <c r="Z415" s="1">
        <f>'[1]Forward Ranks'!AZ415</f>
        <v>0.28820960698689957</v>
      </c>
      <c r="AA415">
        <f>'[1]Forward Ranks'!BB415</f>
        <v>0</v>
      </c>
      <c r="AB415" s="1">
        <f>'[1]Forward Ranks'!BG415</f>
        <v>0.94323144104803491</v>
      </c>
      <c r="AC415" s="1">
        <f>'[1]Forward Ranks'!BH415</f>
        <v>0.60043668122270744</v>
      </c>
      <c r="AD415" s="1">
        <f>'[1]Forward Ranks'!BI415</f>
        <v>0.58078602620087338</v>
      </c>
      <c r="AE415" s="1">
        <f>'[1]Forward Ranks'!BJ415</f>
        <v>0.15938864628820962</v>
      </c>
      <c r="AF415">
        <f>'[1]Forward Ranks'!BL415</f>
        <v>0</v>
      </c>
      <c r="AG415" s="1">
        <f>'[1]Forward Ranks'!BQ415</f>
        <v>0.58296943231441045</v>
      </c>
      <c r="AH415" s="1">
        <f>'[1]Forward Ranks'!BR415</f>
        <v>0.87117903930131002</v>
      </c>
      <c r="AI415" s="1">
        <f>'[1]Forward Ranks'!BS415</f>
        <v>0.25109170305676853</v>
      </c>
      <c r="AJ415" s="1">
        <f>'[1]Forward Ranks'!BT415</f>
        <v>0.72270742358078599</v>
      </c>
      <c r="AL415" s="2">
        <f>'[1]Forward Ranks'!BX415</f>
        <v>0.68995633187772931</v>
      </c>
      <c r="AN415" t="str">
        <f>'[1]Forward Ranks'!B415</f>
        <v>S.J</v>
      </c>
      <c r="AO415">
        <f>'[1]F on ice'!E415</f>
        <v>79</v>
      </c>
      <c r="AP415" s="2">
        <f>'[1]Impact Score Math'!E415</f>
        <v>0.85370741482965928</v>
      </c>
      <c r="AQ415">
        <f>'[1]Impact Score Math'!G415</f>
        <v>74</v>
      </c>
      <c r="AT415" s="1">
        <f>'[1]Forward Ranks'!CJ415</f>
        <v>0.35371179039301309</v>
      </c>
      <c r="AU415" s="1">
        <f>'[1]Forward Ranks'!CK415</f>
        <v>0.40829694323144106</v>
      </c>
    </row>
    <row r="416" spans="1:47" x14ac:dyDescent="0.3">
      <c r="A416" t="str">
        <f>'[1]Forward Ranks'!A416</f>
        <v>Tomas Nosek</v>
      </c>
      <c r="B416">
        <f>'[1]Forward Ranks'!D416</f>
        <v>0</v>
      </c>
      <c r="C416" s="1">
        <f>'[1]Forward Ranks'!I416</f>
        <v>0.11135371179039301</v>
      </c>
      <c r="D416" s="1">
        <f>'[1]Forward Ranks'!J416</f>
        <v>0.32314410480349343</v>
      </c>
      <c r="E416" s="1">
        <f>'[1]Forward Ranks'!K416</f>
        <v>0.18558951965065501</v>
      </c>
      <c r="F416" s="1">
        <f>'[1]Forward Ranks'!L416</f>
        <v>0.15283842794759825</v>
      </c>
      <c r="G416">
        <f>'[1]Forward Ranks'!N416</f>
        <v>0</v>
      </c>
      <c r="H416" s="1">
        <f>'[1]Forward Ranks'!S416</f>
        <v>0.14847161572052403</v>
      </c>
      <c r="I416" s="1">
        <f>'[1]Forward Ranks'!T416</f>
        <v>0.51528384279475981</v>
      </c>
      <c r="J416" s="1">
        <f>'[1]Forward Ranks'!U416</f>
        <v>0.39519650655021832</v>
      </c>
      <c r="K416" s="1">
        <f>'[1]Forward Ranks'!V416</f>
        <v>0.26637554585152839</v>
      </c>
      <c r="L416">
        <f>'[1]Forward Ranks'!X416</f>
        <v>0</v>
      </c>
      <c r="M416" s="1">
        <f>'[1]Forward Ranks'!AC416</f>
        <v>0.65502183406113534</v>
      </c>
      <c r="N416" s="1">
        <f>'[1]Forward Ranks'!AD416</f>
        <v>0.6266375545851528</v>
      </c>
      <c r="O416" s="1">
        <f>'[1]Forward Ranks'!AE416</f>
        <v>0.98689956331877726</v>
      </c>
      <c r="P416" s="1">
        <f>'[1]Forward Ranks'!AF416</f>
        <v>0.68340611353711789</v>
      </c>
      <c r="Q416">
        <f>'[1]Forward Ranks'!AH416</f>
        <v>0</v>
      </c>
      <c r="R416" s="1">
        <f>'[1]Forward Ranks'!AM416</f>
        <v>1.3100436681222707E-2</v>
      </c>
      <c r="S416" s="1">
        <f>'[1]Forward Ranks'!AN416</f>
        <v>0.11135371179039301</v>
      </c>
      <c r="T416" s="1">
        <f>'[1]Forward Ranks'!AO416</f>
        <v>2.8384279475982533E-2</v>
      </c>
      <c r="U416" s="1">
        <f>'[1]Forward Ranks'!AP416</f>
        <v>5.0218340611353711E-2</v>
      </c>
      <c r="V416">
        <f>'[1]Forward Ranks'!AR416</f>
        <v>0</v>
      </c>
      <c r="W416" s="1">
        <f>'[1]Forward Ranks'!AW416</f>
        <v>0.40174672489082969</v>
      </c>
      <c r="X416" s="1">
        <f>'[1]Forward Ranks'!AX416</f>
        <v>0.38209606986899564</v>
      </c>
      <c r="Y416" s="1">
        <f>'[1]Forward Ranks'!AY416</f>
        <v>0.81222707423580787</v>
      </c>
      <c r="Z416" s="1">
        <f>'[1]Forward Ranks'!AZ416</f>
        <v>0.32532751091703055</v>
      </c>
      <c r="AA416">
        <f>'[1]Forward Ranks'!BB416</f>
        <v>0</v>
      </c>
      <c r="AB416" s="1">
        <f>'[1]Forward Ranks'!BG416</f>
        <v>0.11353711790393013</v>
      </c>
      <c r="AC416" s="1">
        <f>'[1]Forward Ranks'!BH416</f>
        <v>2.1834061135371178E-3</v>
      </c>
      <c r="AD416" s="1">
        <f>'[1]Forward Ranks'!BI416</f>
        <v>0.27292576419213976</v>
      </c>
      <c r="AE416" s="1">
        <f>'[1]Forward Ranks'!BJ416</f>
        <v>0.87991266375545851</v>
      </c>
      <c r="AF416">
        <f>'[1]Forward Ranks'!BL416</f>
        <v>0</v>
      </c>
      <c r="AG416" s="1">
        <f>'[1]Forward Ranks'!BQ416</f>
        <v>0.25109170305676853</v>
      </c>
      <c r="AH416" s="1">
        <f>'[1]Forward Ranks'!BR416</f>
        <v>0.42139737991266374</v>
      </c>
      <c r="AI416" s="1">
        <f>'[1]Forward Ranks'!BS416</f>
        <v>0.87117903930131002</v>
      </c>
      <c r="AJ416" s="1">
        <f>'[1]Forward Ranks'!BT416</f>
        <v>0.3056768558951965</v>
      </c>
      <c r="AL416" s="2">
        <f>'[1]Forward Ranks'!BX416</f>
        <v>0.16157205240174671</v>
      </c>
      <c r="AN416" t="str">
        <f>'[1]Forward Ranks'!B416</f>
        <v>BOS</v>
      </c>
      <c r="AO416">
        <f>'[1]F on ice'!E416</f>
        <v>66</v>
      </c>
      <c r="AP416" s="2">
        <f>'[1]Impact Score Math'!E416</f>
        <v>0.20040080160320642</v>
      </c>
      <c r="AQ416">
        <f>'[1]Impact Score Math'!G416</f>
        <v>400</v>
      </c>
      <c r="AT416" s="1">
        <f>'[1]Forward Ranks'!CJ416</f>
        <v>0.12663755458515283</v>
      </c>
      <c r="AU416" s="1">
        <f>'[1]Forward Ranks'!CK416</f>
        <v>0.30349344978165937</v>
      </c>
    </row>
    <row r="417" spans="1:47" x14ac:dyDescent="0.3">
      <c r="A417" t="str">
        <f>'[1]Forward Ranks'!A417</f>
        <v>Tomas Tatar</v>
      </c>
      <c r="B417">
        <f>'[1]Forward Ranks'!D417</f>
        <v>0</v>
      </c>
      <c r="C417" s="1">
        <f>'[1]Forward Ranks'!I417</f>
        <v>0.93886462882096067</v>
      </c>
      <c r="D417" s="1">
        <f>'[1]Forward Ranks'!J417</f>
        <v>0.97379912663755464</v>
      </c>
      <c r="E417" s="1">
        <f>'[1]Forward Ranks'!K417</f>
        <v>0.91048034934497812</v>
      </c>
      <c r="F417" s="1">
        <f>'[1]Forward Ranks'!L417</f>
        <v>0.98689956331877726</v>
      </c>
      <c r="G417">
        <f>'[1]Forward Ranks'!N417</f>
        <v>0</v>
      </c>
      <c r="H417" s="1">
        <f>'[1]Forward Ranks'!S417</f>
        <v>0.70960698689956336</v>
      </c>
      <c r="I417" s="1">
        <f>'[1]Forward Ranks'!T417</f>
        <v>0.66812227074235808</v>
      </c>
      <c r="J417" s="1">
        <f>'[1]Forward Ranks'!U417</f>
        <v>0.27947598253275108</v>
      </c>
      <c r="K417" s="1">
        <f>'[1]Forward Ranks'!V417</f>
        <v>0.71397379912663761</v>
      </c>
      <c r="L417">
        <f>'[1]Forward Ranks'!X417</f>
        <v>0</v>
      </c>
      <c r="M417" s="1">
        <f>'[1]Forward Ranks'!AC417</f>
        <v>0.9366812227074236</v>
      </c>
      <c r="N417" s="1">
        <f>'[1]Forward Ranks'!AD417</f>
        <v>0.98034934497816595</v>
      </c>
      <c r="O417" s="1">
        <f>'[1]Forward Ranks'!AE417</f>
        <v>0.94978165938864634</v>
      </c>
      <c r="P417" s="1">
        <f>'[1]Forward Ranks'!AF417</f>
        <v>0.96943231441048039</v>
      </c>
      <c r="Q417">
        <f>'[1]Forward Ranks'!AH417</f>
        <v>0</v>
      </c>
      <c r="R417" s="1">
        <f>'[1]Forward Ranks'!AM417</f>
        <v>0.85807860262008728</v>
      </c>
      <c r="S417" s="1">
        <f>'[1]Forward Ranks'!AN417</f>
        <v>0.89519650655021832</v>
      </c>
      <c r="T417" s="1">
        <f>'[1]Forward Ranks'!AO417</f>
        <v>0.81659388646288211</v>
      </c>
      <c r="U417" s="1">
        <f>'[1]Forward Ranks'!AP417</f>
        <v>0.90393013100436681</v>
      </c>
      <c r="V417">
        <f>'[1]Forward Ranks'!AR417</f>
        <v>0</v>
      </c>
      <c r="W417" s="1">
        <f>'[1]Forward Ranks'!AW417</f>
        <v>0.87554585152838427</v>
      </c>
      <c r="X417" s="1">
        <f>'[1]Forward Ranks'!AX417</f>
        <v>0.85807860262008728</v>
      </c>
      <c r="Y417" s="1">
        <f>'[1]Forward Ranks'!AY417</f>
        <v>0.94541484716157209</v>
      </c>
      <c r="Z417" s="1">
        <f>'[1]Forward Ranks'!AZ417</f>
        <v>0.91048034934497812</v>
      </c>
      <c r="AA417">
        <f>'[1]Forward Ranks'!BB417</f>
        <v>0</v>
      </c>
      <c r="AB417" s="1">
        <f>'[1]Forward Ranks'!BG417</f>
        <v>0.68558951965065507</v>
      </c>
      <c r="AC417" s="1">
        <f>'[1]Forward Ranks'!BH417</f>
        <v>0.39737991266375544</v>
      </c>
      <c r="AD417" s="1">
        <f>'[1]Forward Ranks'!BI417</f>
        <v>0.71615720524017468</v>
      </c>
      <c r="AE417" s="1">
        <f>'[1]Forward Ranks'!BJ417</f>
        <v>0.9126637554585153</v>
      </c>
      <c r="AF417">
        <f>'[1]Forward Ranks'!BL417</f>
        <v>0</v>
      </c>
      <c r="AG417" s="1">
        <f>'[1]Forward Ranks'!BQ417</f>
        <v>0.95633187772925765</v>
      </c>
      <c r="AH417" s="1">
        <f>'[1]Forward Ranks'!BR417</f>
        <v>0.99563318777292575</v>
      </c>
      <c r="AI417" s="1">
        <f>'[1]Forward Ranks'!BS417</f>
        <v>0.99126637554585151</v>
      </c>
      <c r="AJ417" s="1">
        <f>'[1]Forward Ranks'!BT417</f>
        <v>0.99126637554585151</v>
      </c>
      <c r="AL417" s="2">
        <f>'[1]Forward Ranks'!BX417</f>
        <v>0.99126637554585151</v>
      </c>
      <c r="AN417" t="str">
        <f>'[1]Forward Ranks'!B417</f>
        <v>N.J</v>
      </c>
      <c r="AO417">
        <f>'[1]F on ice'!E417</f>
        <v>82</v>
      </c>
      <c r="AP417" s="2">
        <f>'[1]Impact Score Math'!E417</f>
        <v>0.97995991983967934</v>
      </c>
      <c r="AQ417">
        <f>'[1]Impact Score Math'!G417</f>
        <v>11</v>
      </c>
      <c r="AT417" s="1">
        <f>'[1]Forward Ranks'!CJ417</f>
        <v>0.55021834061135366</v>
      </c>
      <c r="AU417" s="1">
        <f>'[1]Forward Ranks'!CK417</f>
        <v>0.12445414847161572</v>
      </c>
    </row>
    <row r="418" spans="1:47" x14ac:dyDescent="0.3">
      <c r="A418" t="str">
        <f>'[1]Forward Ranks'!A418</f>
        <v>Tommy Novak</v>
      </c>
      <c r="B418">
        <f>'[1]Forward Ranks'!D418</f>
        <v>0</v>
      </c>
      <c r="C418" s="1">
        <f>'[1]Forward Ranks'!I418</f>
        <v>0.64192139737991272</v>
      </c>
      <c r="D418" s="1">
        <f>'[1]Forward Ranks'!J418</f>
        <v>0.57205240174672489</v>
      </c>
      <c r="E418" s="1">
        <f>'[1]Forward Ranks'!K418</f>
        <v>0.90393013100436681</v>
      </c>
      <c r="F418" s="1">
        <f>'[1]Forward Ranks'!L418</f>
        <v>0.81222707423580787</v>
      </c>
      <c r="G418">
        <f>'[1]Forward Ranks'!N418</f>
        <v>0</v>
      </c>
      <c r="H418" s="1">
        <f>'[1]Forward Ranks'!S418</f>
        <v>0.87991266375545851</v>
      </c>
      <c r="I418" s="1">
        <f>'[1]Forward Ranks'!T418</f>
        <v>0.96724890829694321</v>
      </c>
      <c r="J418" s="1">
        <f>'[1]Forward Ranks'!U418</f>
        <v>0.96724890829694321</v>
      </c>
      <c r="K418" s="1">
        <f>'[1]Forward Ranks'!V418</f>
        <v>0.97161572052401746</v>
      </c>
      <c r="L418">
        <f>'[1]Forward Ranks'!X418</f>
        <v>0</v>
      </c>
      <c r="M418" s="1">
        <f>'[1]Forward Ranks'!AC418</f>
        <v>2.8384279475982533E-2</v>
      </c>
      <c r="N418" s="1">
        <f>'[1]Forward Ranks'!AD418</f>
        <v>5.6768558951965066E-2</v>
      </c>
      <c r="O418" s="1">
        <f>'[1]Forward Ranks'!AE418</f>
        <v>0.27947598253275108</v>
      </c>
      <c r="P418" s="1">
        <f>'[1]Forward Ranks'!AF418</f>
        <v>1.5283842794759825E-2</v>
      </c>
      <c r="Q418">
        <f>'[1]Forward Ranks'!AH418</f>
        <v>0</v>
      </c>
      <c r="R418" s="1">
        <f>'[1]Forward Ranks'!AM418</f>
        <v>0.82969432314410485</v>
      </c>
      <c r="S418" s="1">
        <f>'[1]Forward Ranks'!AN418</f>
        <v>0.58296943231441045</v>
      </c>
      <c r="T418" s="1">
        <f>'[1]Forward Ranks'!AO418</f>
        <v>0.95414847161572047</v>
      </c>
      <c r="U418" s="1">
        <f>'[1]Forward Ranks'!AP418</f>
        <v>0.87991266375545851</v>
      </c>
      <c r="V418">
        <f>'[1]Forward Ranks'!AR418</f>
        <v>0</v>
      </c>
      <c r="W418" s="1">
        <f>'[1]Forward Ranks'!AW418</f>
        <v>5.0218340611353711E-2</v>
      </c>
      <c r="X418" s="1">
        <f>'[1]Forward Ranks'!AX418</f>
        <v>7.2052401746724892E-2</v>
      </c>
      <c r="Y418" s="1">
        <f>'[1]Forward Ranks'!AY418</f>
        <v>0.13100436681222707</v>
      </c>
      <c r="Z418" s="1">
        <f>'[1]Forward Ranks'!AZ418</f>
        <v>1.3100436681222707E-2</v>
      </c>
      <c r="AA418">
        <f>'[1]Forward Ranks'!BB418</f>
        <v>0</v>
      </c>
      <c r="AB418" s="1">
        <f>'[1]Forward Ranks'!BG418</f>
        <v>0.36026200873362446</v>
      </c>
      <c r="AC418" s="1">
        <f>'[1]Forward Ranks'!BH418</f>
        <v>0.9759825327510917</v>
      </c>
      <c r="AD418" s="1">
        <f>'[1]Forward Ranks'!BI418</f>
        <v>0.92576419213973804</v>
      </c>
      <c r="AE418" s="1">
        <f>'[1]Forward Ranks'!BJ418</f>
        <v>0.93013100436681218</v>
      </c>
      <c r="AF418">
        <f>'[1]Forward Ranks'!BL418</f>
        <v>0</v>
      </c>
      <c r="AG418" s="1">
        <f>'[1]Forward Ranks'!BQ418</f>
        <v>0.18340611353711792</v>
      </c>
      <c r="AH418" s="1">
        <f>'[1]Forward Ranks'!BR418</f>
        <v>0.23580786026200873</v>
      </c>
      <c r="AI418" s="1">
        <f>'[1]Forward Ranks'!BS418</f>
        <v>0.67685589519650657</v>
      </c>
      <c r="AJ418" s="1">
        <f>'[1]Forward Ranks'!BT418</f>
        <v>0.23362445414847161</v>
      </c>
      <c r="AL418" s="2">
        <f>'[1]Forward Ranks'!BX418</f>
        <v>0.55240174672489084</v>
      </c>
      <c r="AN418" t="str">
        <f>'[1]Forward Ranks'!B418</f>
        <v>NSH</v>
      </c>
      <c r="AO418">
        <f>'[1]F on ice'!E418</f>
        <v>51</v>
      </c>
      <c r="AP418" s="2">
        <f>'[1]Impact Score Math'!E418</f>
        <v>0.5531062124248497</v>
      </c>
      <c r="AQ418">
        <f>'[1]Impact Score Math'!G418</f>
        <v>224</v>
      </c>
      <c r="AT418" s="1">
        <f>'[1]Forward Ranks'!CJ418</f>
        <v>0.8733624454148472</v>
      </c>
      <c r="AU418" s="1">
        <f>'[1]Forward Ranks'!CK418</f>
        <v>0.6746724890829694</v>
      </c>
    </row>
    <row r="419" spans="1:47" x14ac:dyDescent="0.3">
      <c r="A419" t="str">
        <f>'[1]Forward Ranks'!A419</f>
        <v>Travis Boyd</v>
      </c>
      <c r="B419">
        <f>'[1]Forward Ranks'!D419</f>
        <v>0</v>
      </c>
      <c r="C419" s="1">
        <f>'[1]Forward Ranks'!I419</f>
        <v>0.1091703056768559</v>
      </c>
      <c r="D419" s="1">
        <f>'[1]Forward Ranks'!J419</f>
        <v>0.13100436681222707</v>
      </c>
      <c r="E419" s="1">
        <f>'[1]Forward Ranks'!K419</f>
        <v>0.34934497816593885</v>
      </c>
      <c r="F419" s="1">
        <f>'[1]Forward Ranks'!L419</f>
        <v>0.15065502183406113</v>
      </c>
      <c r="G419">
        <f>'[1]Forward Ranks'!N419</f>
        <v>0</v>
      </c>
      <c r="H419" s="1">
        <f>'[1]Forward Ranks'!S419</f>
        <v>0.54585152838427953</v>
      </c>
      <c r="I419" s="1">
        <f>'[1]Forward Ranks'!T419</f>
        <v>0.13100436681222707</v>
      </c>
      <c r="J419" s="1">
        <f>'[1]Forward Ranks'!U419</f>
        <v>0.16157205240174671</v>
      </c>
      <c r="K419" s="1">
        <f>'[1]Forward Ranks'!V419</f>
        <v>0.20524017467248909</v>
      </c>
      <c r="L419">
        <f>'[1]Forward Ranks'!X419</f>
        <v>0</v>
      </c>
      <c r="M419" s="1">
        <f>'[1]Forward Ranks'!AC419</f>
        <v>0.10698689956331878</v>
      </c>
      <c r="N419" s="1">
        <f>'[1]Forward Ranks'!AD419</f>
        <v>6.9868995633187769E-2</v>
      </c>
      <c r="O419" s="1">
        <f>'[1]Forward Ranks'!AE419</f>
        <v>4.3668122270742356E-2</v>
      </c>
      <c r="P419" s="1">
        <f>'[1]Forward Ranks'!AF419</f>
        <v>0.10043668122270742</v>
      </c>
      <c r="Q419">
        <f>'[1]Forward Ranks'!AH419</f>
        <v>0</v>
      </c>
      <c r="R419" s="1">
        <f>'[1]Forward Ranks'!AM419</f>
        <v>0.4126637554585153</v>
      </c>
      <c r="S419" s="1">
        <f>'[1]Forward Ranks'!AN419</f>
        <v>0.37772925764192139</v>
      </c>
      <c r="T419" s="1">
        <f>'[1]Forward Ranks'!AO419</f>
        <v>0.49126637554585151</v>
      </c>
      <c r="U419" s="1">
        <f>'[1]Forward Ranks'!AP419</f>
        <v>0.45196506550218341</v>
      </c>
      <c r="V419">
        <f>'[1]Forward Ranks'!AR419</f>
        <v>0</v>
      </c>
      <c r="W419" s="1">
        <f>'[1]Forward Ranks'!AW419</f>
        <v>0.17685589519650655</v>
      </c>
      <c r="X419" s="1">
        <f>'[1]Forward Ranks'!AX419</f>
        <v>4.3668122270742356E-2</v>
      </c>
      <c r="Y419" s="1">
        <f>'[1]Forward Ranks'!AY419</f>
        <v>1.5283842794759825E-2</v>
      </c>
      <c r="Z419" s="1">
        <f>'[1]Forward Ranks'!AZ419</f>
        <v>8.0786026200873357E-2</v>
      </c>
      <c r="AA419">
        <f>'[1]Forward Ranks'!BB419</f>
        <v>0</v>
      </c>
      <c r="AB419" s="1">
        <f>'[1]Forward Ranks'!BG419</f>
        <v>0.59606986899563319</v>
      </c>
      <c r="AC419" s="1">
        <f>'[1]Forward Ranks'!BH419</f>
        <v>0.29039301310043669</v>
      </c>
      <c r="AD419" s="1">
        <f>'[1]Forward Ranks'!BI419</f>
        <v>0.72707423580786024</v>
      </c>
      <c r="AE419" s="1">
        <f>'[1]Forward Ranks'!BJ419</f>
        <v>0.34061135371179041</v>
      </c>
      <c r="AF419">
        <f>'[1]Forward Ranks'!BL419</f>
        <v>0</v>
      </c>
      <c r="AG419" s="1">
        <f>'[1]Forward Ranks'!BQ419</f>
        <v>7.2052401746724892E-2</v>
      </c>
      <c r="AH419" s="1">
        <f>'[1]Forward Ranks'!BR419</f>
        <v>5.458515283842795E-2</v>
      </c>
      <c r="AI419" s="1">
        <f>'[1]Forward Ranks'!BS419</f>
        <v>0.11572052401746726</v>
      </c>
      <c r="AJ419" s="1">
        <f>'[1]Forward Ranks'!BT419</f>
        <v>8.296943231441048E-2</v>
      </c>
      <c r="AL419" s="2">
        <f>'[1]Forward Ranks'!BX419</f>
        <v>5.2401746724890827E-2</v>
      </c>
      <c r="AN419" t="str">
        <f>'[1]Forward Ranks'!B419</f>
        <v>ARI</v>
      </c>
      <c r="AO419">
        <f>'[1]F on ice'!E419</f>
        <v>82</v>
      </c>
      <c r="AP419" s="2">
        <f>'[1]Impact Score Math'!E419</f>
        <v>0.16032064128256512</v>
      </c>
      <c r="AQ419">
        <f>'[1]Impact Score Math'!G419</f>
        <v>420</v>
      </c>
      <c r="AT419" s="1">
        <f>'[1]Forward Ranks'!CJ419</f>
        <v>0.63100436681222705</v>
      </c>
      <c r="AU419" s="1">
        <f>'[1]Forward Ranks'!CK419</f>
        <v>0.39519650655021832</v>
      </c>
    </row>
    <row r="420" spans="1:47" x14ac:dyDescent="0.3">
      <c r="A420" t="str">
        <f>'[1]Forward Ranks'!A420</f>
        <v>Travis Konecny</v>
      </c>
      <c r="B420">
        <f>'[1]Forward Ranks'!D420</f>
        <v>0</v>
      </c>
      <c r="C420" s="1">
        <f>'[1]Forward Ranks'!I420</f>
        <v>0.70305676855895194</v>
      </c>
      <c r="D420" s="1">
        <f>'[1]Forward Ranks'!J420</f>
        <v>0.48253275109170307</v>
      </c>
      <c r="E420" s="1">
        <f>'[1]Forward Ranks'!K420</f>
        <v>0.54803493449781659</v>
      </c>
      <c r="F420" s="1">
        <f>'[1]Forward Ranks'!L420</f>
        <v>0.59606986899563319</v>
      </c>
      <c r="G420">
        <f>'[1]Forward Ranks'!N420</f>
        <v>0</v>
      </c>
      <c r="H420" s="1">
        <f>'[1]Forward Ranks'!S420</f>
        <v>0.92358078602620086</v>
      </c>
      <c r="I420" s="1">
        <f>'[1]Forward Ranks'!T420</f>
        <v>0.61353711790393017</v>
      </c>
      <c r="J420" s="1">
        <f>'[1]Forward Ranks'!U420</f>
        <v>0.78165938864628826</v>
      </c>
      <c r="K420" s="1">
        <f>'[1]Forward Ranks'!V420</f>
        <v>0.86244541484716153</v>
      </c>
      <c r="L420">
        <f>'[1]Forward Ranks'!X420</f>
        <v>0</v>
      </c>
      <c r="M420" s="1">
        <f>'[1]Forward Ranks'!AC420</f>
        <v>0.1703056768558952</v>
      </c>
      <c r="N420" s="1">
        <f>'[1]Forward Ranks'!AD420</f>
        <v>5.0218340611353711E-2</v>
      </c>
      <c r="O420" s="1">
        <f>'[1]Forward Ranks'!AE420</f>
        <v>0.21615720524017468</v>
      </c>
      <c r="P420" s="1">
        <f>'[1]Forward Ranks'!AF420</f>
        <v>0.1222707423580786</v>
      </c>
      <c r="Q420">
        <f>'[1]Forward Ranks'!AH420</f>
        <v>0</v>
      </c>
      <c r="R420" s="1">
        <f>'[1]Forward Ranks'!AM420</f>
        <v>0.79257641921397382</v>
      </c>
      <c r="S420" s="1">
        <f>'[1]Forward Ranks'!AN420</f>
        <v>0.65938864628820959</v>
      </c>
      <c r="T420" s="1">
        <f>'[1]Forward Ranks'!AO420</f>
        <v>0.77292576419213976</v>
      </c>
      <c r="U420" s="1">
        <f>'[1]Forward Ranks'!AP420</f>
        <v>0.77729257641921401</v>
      </c>
      <c r="V420">
        <f>'[1]Forward Ranks'!AR420</f>
        <v>0</v>
      </c>
      <c r="W420" s="1">
        <f>'[1]Forward Ranks'!AW420</f>
        <v>0.18340611353711792</v>
      </c>
      <c r="X420" s="1">
        <f>'[1]Forward Ranks'!AX420</f>
        <v>2.4017467248908297E-2</v>
      </c>
      <c r="Y420" s="1">
        <f>'[1]Forward Ranks'!AY420</f>
        <v>0.11353711790393013</v>
      </c>
      <c r="Z420" s="1">
        <f>'[1]Forward Ranks'!AZ420</f>
        <v>4.8034934497816595E-2</v>
      </c>
      <c r="AA420">
        <f>'[1]Forward Ranks'!BB420</f>
        <v>0</v>
      </c>
      <c r="AB420" s="1">
        <f>'[1]Forward Ranks'!BG420</f>
        <v>0.90174672489082974</v>
      </c>
      <c r="AC420" s="1">
        <f>'[1]Forward Ranks'!BH420</f>
        <v>0.51746724890829698</v>
      </c>
      <c r="AD420" s="1">
        <f>'[1]Forward Ranks'!BI420</f>
        <v>0.51528384279475981</v>
      </c>
      <c r="AE420" s="1">
        <f>'[1]Forward Ranks'!BJ420</f>
        <v>0.35807860262008734</v>
      </c>
      <c r="AF420">
        <f>'[1]Forward Ranks'!BL420</f>
        <v>0</v>
      </c>
      <c r="AG420" s="1">
        <f>'[1]Forward Ranks'!BQ420</f>
        <v>0.45633187772925765</v>
      </c>
      <c r="AH420" s="1">
        <f>'[1]Forward Ranks'!BR420</f>
        <v>0.19868995633187772</v>
      </c>
      <c r="AI420" s="1">
        <f>'[1]Forward Ranks'!BS420</f>
        <v>0.34934497816593885</v>
      </c>
      <c r="AJ420" s="1">
        <f>'[1]Forward Ranks'!BT420</f>
        <v>0.31004366812227074</v>
      </c>
      <c r="AL420" s="2">
        <f>'[1]Forward Ranks'!BX420</f>
        <v>0.51091703056768556</v>
      </c>
      <c r="AN420" t="str">
        <f>'[1]Forward Ranks'!B420</f>
        <v>PHI</v>
      </c>
      <c r="AO420">
        <f>'[1]F on ice'!E420</f>
        <v>60</v>
      </c>
      <c r="AP420" s="2">
        <f>'[1]Impact Score Math'!E420</f>
        <v>0.68537074148296595</v>
      </c>
      <c r="AQ420">
        <f>'[1]Impact Score Math'!G420</f>
        <v>158</v>
      </c>
      <c r="AT420" s="1">
        <f>'[1]Forward Ranks'!CJ420</f>
        <v>0.11572052401746726</v>
      </c>
      <c r="AU420" s="1">
        <f>'[1]Forward Ranks'!CK420</f>
        <v>0.9759825327510917</v>
      </c>
    </row>
    <row r="421" spans="1:47" x14ac:dyDescent="0.3">
      <c r="A421" t="str">
        <f>'[1]Forward Ranks'!A421</f>
        <v>Trent Frederic</v>
      </c>
      <c r="B421">
        <f>'[1]Forward Ranks'!D421</f>
        <v>0</v>
      </c>
      <c r="C421" s="1">
        <f>'[1]Forward Ranks'!I421</f>
        <v>0.51965065502183405</v>
      </c>
      <c r="D421" s="1">
        <f>'[1]Forward Ranks'!J421</f>
        <v>0.74890829694323147</v>
      </c>
      <c r="E421" s="1">
        <f>'[1]Forward Ranks'!K421</f>
        <v>0.84497816593886466</v>
      </c>
      <c r="F421" s="1">
        <f>'[1]Forward Ranks'!L421</f>
        <v>0.67030567685589515</v>
      </c>
      <c r="G421">
        <f>'[1]Forward Ranks'!N421</f>
        <v>0</v>
      </c>
      <c r="H421" s="1">
        <f>'[1]Forward Ranks'!S421</f>
        <v>0.84716157205240172</v>
      </c>
      <c r="I421" s="1">
        <f>'[1]Forward Ranks'!T421</f>
        <v>0.44978165938864628</v>
      </c>
      <c r="J421" s="1">
        <f>'[1]Forward Ranks'!U421</f>
        <v>0.31004366812227074</v>
      </c>
      <c r="K421" s="1">
        <f>'[1]Forward Ranks'!V421</f>
        <v>0.72707423580786024</v>
      </c>
      <c r="L421">
        <f>'[1]Forward Ranks'!X421</f>
        <v>0</v>
      </c>
      <c r="M421" s="1">
        <f>'[1]Forward Ranks'!AC421</f>
        <v>0.71179039301310043</v>
      </c>
      <c r="N421" s="1">
        <f>'[1]Forward Ranks'!AD421</f>
        <v>0.83406113537117899</v>
      </c>
      <c r="O421" s="1">
        <f>'[1]Forward Ranks'!AE421</f>
        <v>0.95633187772925765</v>
      </c>
      <c r="P421" s="1">
        <f>'[1]Forward Ranks'!AF421</f>
        <v>0.85371179039301315</v>
      </c>
      <c r="Q421">
        <f>'[1]Forward Ranks'!AH421</f>
        <v>0</v>
      </c>
      <c r="R421" s="1">
        <f>'[1]Forward Ranks'!AM421</f>
        <v>0.33624454148471616</v>
      </c>
      <c r="S421" s="1">
        <f>'[1]Forward Ranks'!AN421</f>
        <v>0.66812227074235808</v>
      </c>
      <c r="T421" s="1">
        <f>'[1]Forward Ranks'!AO421</f>
        <v>0.5633187772925764</v>
      </c>
      <c r="U421" s="1">
        <f>'[1]Forward Ranks'!AP421</f>
        <v>0.54148471615720528</v>
      </c>
      <c r="V421">
        <f>'[1]Forward Ranks'!AR421</f>
        <v>0</v>
      </c>
      <c r="W421" s="1">
        <f>'[1]Forward Ranks'!AW421</f>
        <v>0.59170305676855894</v>
      </c>
      <c r="X421" s="1">
        <f>'[1]Forward Ranks'!AX421</f>
        <v>0.74672489082969429</v>
      </c>
      <c r="Y421" s="1">
        <f>'[1]Forward Ranks'!AY421</f>
        <v>0.67248908296943233</v>
      </c>
      <c r="Z421" s="1">
        <f>'[1]Forward Ranks'!AZ421</f>
        <v>0.72052401746724892</v>
      </c>
      <c r="AA421">
        <f>'[1]Forward Ranks'!BB421</f>
        <v>0</v>
      </c>
      <c r="AB421" s="1">
        <f>'[1]Forward Ranks'!BG421</f>
        <v>0.32096069868995636</v>
      </c>
      <c r="AC421" s="1">
        <f>'[1]Forward Ranks'!BH421</f>
        <v>0.20960698689956331</v>
      </c>
      <c r="AD421" s="1">
        <f>'[1]Forward Ranks'!BI421</f>
        <v>0.88209606986899558</v>
      </c>
      <c r="AE421" s="1">
        <f>'[1]Forward Ranks'!BJ421</f>
        <v>0.98471615720524019</v>
      </c>
      <c r="AF421">
        <f>'[1]Forward Ranks'!BL421</f>
        <v>0</v>
      </c>
      <c r="AG421" s="1">
        <f>'[1]Forward Ranks'!BQ421</f>
        <v>0.61572052401746724</v>
      </c>
      <c r="AH421" s="1">
        <f>'[1]Forward Ranks'!BR421</f>
        <v>0.85807860262008728</v>
      </c>
      <c r="AI421" s="1">
        <f>'[1]Forward Ranks'!BS421</f>
        <v>0.98471615720524019</v>
      </c>
      <c r="AJ421" s="1">
        <f>'[1]Forward Ranks'!BT421</f>
        <v>0.8253275109170306</v>
      </c>
      <c r="AL421" s="2">
        <f>'[1]Forward Ranks'!BX421</f>
        <v>0.75545851528384278</v>
      </c>
      <c r="AN421" t="str">
        <f>'[1]Forward Ranks'!B421</f>
        <v>BOS</v>
      </c>
      <c r="AO421">
        <f>'[1]F on ice'!E421</f>
        <v>79</v>
      </c>
      <c r="AP421" s="2">
        <f>'[1]Impact Score Math'!E421</f>
        <v>0.67134268537074149</v>
      </c>
      <c r="AQ421">
        <f>'[1]Impact Score Math'!G421</f>
        <v>165</v>
      </c>
      <c r="AT421" s="1">
        <f>'[1]Forward Ranks'!CJ421</f>
        <v>0.23799126637554585</v>
      </c>
      <c r="AU421" s="1">
        <f>'[1]Forward Ranks'!CK421</f>
        <v>0.73580786026200873</v>
      </c>
    </row>
    <row r="422" spans="1:47" x14ac:dyDescent="0.3">
      <c r="A422" t="str">
        <f>'[1]Forward Ranks'!A422</f>
        <v>Trevor Lewis</v>
      </c>
      <c r="B422">
        <f>'[1]Forward Ranks'!D422</f>
        <v>0</v>
      </c>
      <c r="C422" s="1">
        <f>'[1]Forward Ranks'!I422</f>
        <v>0.77292576419213976</v>
      </c>
      <c r="D422" s="1">
        <f>'[1]Forward Ranks'!J422</f>
        <v>0.30349344978165937</v>
      </c>
      <c r="E422" s="1">
        <f>'[1]Forward Ranks'!K422</f>
        <v>0.2183406113537118</v>
      </c>
      <c r="F422" s="1">
        <f>'[1]Forward Ranks'!L422</f>
        <v>0.29694323144104806</v>
      </c>
      <c r="G422">
        <f>'[1]Forward Ranks'!N422</f>
        <v>0</v>
      </c>
      <c r="H422" s="1">
        <f>'[1]Forward Ranks'!S422</f>
        <v>0.20742358078602621</v>
      </c>
      <c r="I422" s="1">
        <f>'[1]Forward Ranks'!T422</f>
        <v>0.37336244541484714</v>
      </c>
      <c r="J422" s="1">
        <f>'[1]Forward Ranks'!U422</f>
        <v>0.45851528384279477</v>
      </c>
      <c r="K422" s="1">
        <f>'[1]Forward Ranks'!V422</f>
        <v>0.22270742358078602</v>
      </c>
      <c r="L422">
        <f>'[1]Forward Ranks'!X422</f>
        <v>0</v>
      </c>
      <c r="M422" s="1">
        <f>'[1]Forward Ranks'!AC422</f>
        <v>0.94541484716157209</v>
      </c>
      <c r="N422" s="1">
        <f>'[1]Forward Ranks'!AD422</f>
        <v>0.76200873362445409</v>
      </c>
      <c r="O422" s="1">
        <f>'[1]Forward Ranks'!AE422</f>
        <v>0.4366812227074236</v>
      </c>
      <c r="P422" s="1">
        <f>'[1]Forward Ranks'!AF422</f>
        <v>0.90174672489082974</v>
      </c>
      <c r="Q422">
        <f>'[1]Forward Ranks'!AH422</f>
        <v>0</v>
      </c>
      <c r="R422" s="1">
        <f>'[1]Forward Ranks'!AM422</f>
        <v>0.15720524017467249</v>
      </c>
      <c r="S422" s="1">
        <f>'[1]Forward Ranks'!AN422</f>
        <v>0.14628820960698691</v>
      </c>
      <c r="T422" s="1">
        <f>'[1]Forward Ranks'!AO422</f>
        <v>0.10480349344978165</v>
      </c>
      <c r="U422" s="1">
        <f>'[1]Forward Ranks'!AP422</f>
        <v>4.8034934497816595E-2</v>
      </c>
      <c r="V422">
        <f>'[1]Forward Ranks'!AR422</f>
        <v>0</v>
      </c>
      <c r="W422" s="1">
        <f>'[1]Forward Ranks'!AW422</f>
        <v>0.61790393013100442</v>
      </c>
      <c r="X422" s="1">
        <f>'[1]Forward Ranks'!AX422</f>
        <v>0.46288209606986902</v>
      </c>
      <c r="Y422" s="1">
        <f>'[1]Forward Ranks'!AY422</f>
        <v>0.46724890829694321</v>
      </c>
      <c r="Z422" s="1">
        <f>'[1]Forward Ranks'!AZ422</f>
        <v>0.72052401746724892</v>
      </c>
      <c r="AA422">
        <f>'[1]Forward Ranks'!BB422</f>
        <v>0</v>
      </c>
      <c r="AB422" s="1">
        <f>'[1]Forward Ranks'!BG422</f>
        <v>0.15502183406113537</v>
      </c>
      <c r="AC422" s="1">
        <f>'[1]Forward Ranks'!BH422</f>
        <v>0.64192139737991272</v>
      </c>
      <c r="AD422" s="1">
        <f>'[1]Forward Ranks'!BI422</f>
        <v>6.9868995633187769E-2</v>
      </c>
      <c r="AE422" s="1">
        <f>'[1]Forward Ranks'!BJ422</f>
        <v>3.7117903930131008E-2</v>
      </c>
      <c r="AF422">
        <f>'[1]Forward Ranks'!BL422</f>
        <v>0</v>
      </c>
      <c r="AG422" s="1">
        <f>'[1]Forward Ranks'!BQ422</f>
        <v>0.92576419213973804</v>
      </c>
      <c r="AH422" s="1">
        <f>'[1]Forward Ranks'!BR422</f>
        <v>0.46506550218340609</v>
      </c>
      <c r="AI422" s="1">
        <f>'[1]Forward Ranks'!BS422</f>
        <v>0.21615720524017468</v>
      </c>
      <c r="AJ422" s="1">
        <f>'[1]Forward Ranks'!BT422</f>
        <v>0.6026200873362445</v>
      </c>
      <c r="AL422" s="2">
        <f>'[1]Forward Ranks'!BX422</f>
        <v>0.48471615720524019</v>
      </c>
      <c r="AN422" t="str">
        <f>'[1]Forward Ranks'!B422</f>
        <v>CGY</v>
      </c>
      <c r="AO422">
        <f>'[1]F on ice'!E422</f>
        <v>82</v>
      </c>
      <c r="AP422" s="2">
        <f>'[1]Impact Score Math'!E422</f>
        <v>0.43286573146292584</v>
      </c>
      <c r="AQ422">
        <f>'[1]Impact Score Math'!G422</f>
        <v>284</v>
      </c>
      <c r="AT422" s="1">
        <f>'[1]Forward Ranks'!CJ422</f>
        <v>0.56550218340611358</v>
      </c>
      <c r="AU422" s="1">
        <f>'[1]Forward Ranks'!CK422</f>
        <v>1.5283842794759825E-2</v>
      </c>
    </row>
    <row r="423" spans="1:47" x14ac:dyDescent="0.3">
      <c r="A423" t="str">
        <f>'[1]Forward Ranks'!A423</f>
        <v>Trevor Moore</v>
      </c>
      <c r="B423">
        <f>'[1]Forward Ranks'!D423</f>
        <v>0</v>
      </c>
      <c r="C423" s="1">
        <f>'[1]Forward Ranks'!I423</f>
        <v>0.82096069868995636</v>
      </c>
      <c r="D423" s="1">
        <f>'[1]Forward Ranks'!J423</f>
        <v>0.64847161572052403</v>
      </c>
      <c r="E423" s="1">
        <f>'[1]Forward Ranks'!K423</f>
        <v>0.18340611353711792</v>
      </c>
      <c r="F423" s="1">
        <f>'[1]Forward Ranks'!L423</f>
        <v>0.63318777292576423</v>
      </c>
      <c r="G423">
        <f>'[1]Forward Ranks'!N423</f>
        <v>0</v>
      </c>
      <c r="H423" s="1">
        <f>'[1]Forward Ranks'!S423</f>
        <v>0.24454148471615719</v>
      </c>
      <c r="I423" s="1">
        <f>'[1]Forward Ranks'!T423</f>
        <v>0.43231441048034935</v>
      </c>
      <c r="J423" s="1">
        <f>'[1]Forward Ranks'!U423</f>
        <v>0.58078602620087338</v>
      </c>
      <c r="K423" s="1">
        <f>'[1]Forward Ranks'!V423</f>
        <v>0.27510917030567683</v>
      </c>
      <c r="L423">
        <f>'[1]Forward Ranks'!X423</f>
        <v>0</v>
      </c>
      <c r="M423" s="1">
        <f>'[1]Forward Ranks'!AC423</f>
        <v>0.90174672489082974</v>
      </c>
      <c r="N423" s="1">
        <f>'[1]Forward Ranks'!AD423</f>
        <v>0.888646288209607</v>
      </c>
      <c r="O423" s="1">
        <f>'[1]Forward Ranks'!AE423</f>
        <v>0.66812227074235808</v>
      </c>
      <c r="P423" s="1">
        <f>'[1]Forward Ranks'!AF423</f>
        <v>0.92139737991266379</v>
      </c>
      <c r="Q423">
        <f>'[1]Forward Ranks'!AH423</f>
        <v>0</v>
      </c>
      <c r="R423" s="1">
        <f>'[1]Forward Ranks'!AM423</f>
        <v>0.68777292576419213</v>
      </c>
      <c r="S423" s="1">
        <f>'[1]Forward Ranks'!AN423</f>
        <v>0.4126637554585153</v>
      </c>
      <c r="T423" s="1">
        <f>'[1]Forward Ranks'!AO423</f>
        <v>0.12882096069868995</v>
      </c>
      <c r="U423" s="1">
        <f>'[1]Forward Ranks'!AP423</f>
        <v>0.56986899563318782</v>
      </c>
      <c r="V423">
        <f>'[1]Forward Ranks'!AR423</f>
        <v>0</v>
      </c>
      <c r="W423" s="1">
        <f>'[1]Forward Ranks'!AW423</f>
        <v>0.66812227074235808</v>
      </c>
      <c r="X423" s="1">
        <f>'[1]Forward Ranks'!AX423</f>
        <v>0.68995633187772931</v>
      </c>
      <c r="Y423" s="1">
        <f>'[1]Forward Ranks'!AY423</f>
        <v>0.49781659388646288</v>
      </c>
      <c r="Z423" s="1">
        <f>'[1]Forward Ranks'!AZ423</f>
        <v>0.65502183406113534</v>
      </c>
      <c r="AA423">
        <f>'[1]Forward Ranks'!BB423</f>
        <v>0</v>
      </c>
      <c r="AB423" s="1">
        <f>'[1]Forward Ranks'!BG423</f>
        <v>0.69432314410480345</v>
      </c>
      <c r="AC423" s="1">
        <f>'[1]Forward Ranks'!BH423</f>
        <v>0.37117903930131002</v>
      </c>
      <c r="AD423" s="1">
        <f>'[1]Forward Ranks'!BI423</f>
        <v>6.1135371179039298E-2</v>
      </c>
      <c r="AE423" s="1">
        <f>'[1]Forward Ranks'!BJ423</f>
        <v>0.10043668122270742</v>
      </c>
      <c r="AF423">
        <f>'[1]Forward Ranks'!BL423</f>
        <v>0</v>
      </c>
      <c r="AG423" s="1">
        <f>'[1]Forward Ranks'!BQ423</f>
        <v>0.91703056768558955</v>
      </c>
      <c r="AH423" s="1">
        <f>'[1]Forward Ranks'!BR423</f>
        <v>0.81877729257641918</v>
      </c>
      <c r="AI423" s="1">
        <f>'[1]Forward Ranks'!BS423</f>
        <v>0.30131004366812225</v>
      </c>
      <c r="AJ423" s="1">
        <f>'[1]Forward Ranks'!BT423</f>
        <v>0.84497816593886466</v>
      </c>
      <c r="AL423" s="2">
        <f>'[1]Forward Ranks'!BX423</f>
        <v>0.79475982532751088</v>
      </c>
      <c r="AN423" t="str">
        <f>'[1]Forward Ranks'!B423</f>
        <v>L.A</v>
      </c>
      <c r="AO423">
        <f>'[1]F on ice'!E423</f>
        <v>59</v>
      </c>
      <c r="AP423" s="2">
        <f>'[1]Impact Score Math'!E423</f>
        <v>0.83366733466933862</v>
      </c>
      <c r="AQ423">
        <f>'[1]Impact Score Math'!G423</f>
        <v>84</v>
      </c>
      <c r="AT423" s="1">
        <f>'[1]Forward Ranks'!CJ423</f>
        <v>0.83842794759825323</v>
      </c>
      <c r="AU423" s="1">
        <f>'[1]Forward Ranks'!CK423</f>
        <v>0.2576419213973799</v>
      </c>
    </row>
    <row r="424" spans="1:47" x14ac:dyDescent="0.3">
      <c r="A424" t="str">
        <f>'[1]Forward Ranks'!A424</f>
        <v>Trevor Zegras</v>
      </c>
      <c r="B424">
        <f>'[1]Forward Ranks'!D424</f>
        <v>0</v>
      </c>
      <c r="C424" s="1">
        <f>'[1]Forward Ranks'!I424</f>
        <v>0.48689956331877732</v>
      </c>
      <c r="D424" s="1">
        <f>'[1]Forward Ranks'!J424</f>
        <v>0.36899563318777295</v>
      </c>
      <c r="E424" s="1">
        <f>'[1]Forward Ranks'!K424</f>
        <v>0.66157205240174677</v>
      </c>
      <c r="F424" s="1">
        <f>'[1]Forward Ranks'!L424</f>
        <v>0.46943231441048033</v>
      </c>
      <c r="G424">
        <f>'[1]Forward Ranks'!N424</f>
        <v>0</v>
      </c>
      <c r="H424" s="1">
        <f>'[1]Forward Ranks'!S424</f>
        <v>0.65938864628820959</v>
      </c>
      <c r="I424" s="1">
        <f>'[1]Forward Ranks'!T424</f>
        <v>0.75545851528384278</v>
      </c>
      <c r="J424" s="1">
        <f>'[1]Forward Ranks'!U424</f>
        <v>0.86244541484716153</v>
      </c>
      <c r="K424" s="1">
        <f>'[1]Forward Ranks'!V424</f>
        <v>0.75764192139737996</v>
      </c>
      <c r="L424">
        <f>'[1]Forward Ranks'!X424</f>
        <v>0</v>
      </c>
      <c r="M424" s="1">
        <f>'[1]Forward Ranks'!AC424</f>
        <v>5.8951965065502182E-2</v>
      </c>
      <c r="N424" s="1">
        <f>'[1]Forward Ranks'!AD424</f>
        <v>1.5283842794759825E-2</v>
      </c>
      <c r="O424" s="1">
        <f>'[1]Forward Ranks'!AE424</f>
        <v>2.4017467248908297E-2</v>
      </c>
      <c r="P424" s="1">
        <f>'[1]Forward Ranks'!AF424</f>
        <v>2.1834061135371178E-2</v>
      </c>
      <c r="Q424">
        <f>'[1]Forward Ranks'!AH424</f>
        <v>0</v>
      </c>
      <c r="R424" s="1">
        <f>'[1]Forward Ranks'!AM424</f>
        <v>0.87991266375545851</v>
      </c>
      <c r="S424" s="1">
        <f>'[1]Forward Ranks'!AN424</f>
        <v>0.71179039301310043</v>
      </c>
      <c r="T424" s="1">
        <f>'[1]Forward Ranks'!AO424</f>
        <v>0.89519650655021832</v>
      </c>
      <c r="U424" s="1">
        <f>'[1]Forward Ranks'!AP424</f>
        <v>0.84716157205240172</v>
      </c>
      <c r="V424">
        <f>'[1]Forward Ranks'!AR424</f>
        <v>0</v>
      </c>
      <c r="W424" s="1">
        <f>'[1]Forward Ranks'!AW424</f>
        <v>0.8493449781659389</v>
      </c>
      <c r="X424" s="1">
        <f>'[1]Forward Ranks'!AX424</f>
        <v>0.40829694323144106</v>
      </c>
      <c r="Y424" s="1">
        <f>'[1]Forward Ranks'!AY424</f>
        <v>0.16812227074235808</v>
      </c>
      <c r="Z424" s="1">
        <f>'[1]Forward Ranks'!AZ424</f>
        <v>0.36462882096069871</v>
      </c>
      <c r="AA424">
        <f>'[1]Forward Ranks'!BB424</f>
        <v>0</v>
      </c>
      <c r="AB424" s="1">
        <f>'[1]Forward Ranks'!BG424</f>
        <v>0.9606986899563319</v>
      </c>
      <c r="AC424" s="1">
        <f>'[1]Forward Ranks'!BH424</f>
        <v>0.98471615720524019</v>
      </c>
      <c r="AD424" s="1">
        <f>'[1]Forward Ranks'!BI424</f>
        <v>0.77947598253275108</v>
      </c>
      <c r="AE424" s="1">
        <f>'[1]Forward Ranks'!BJ424</f>
        <v>0.49126637554585151</v>
      </c>
      <c r="AF424">
        <f>'[1]Forward Ranks'!BL424</f>
        <v>0</v>
      </c>
      <c r="AG424" s="1">
        <f>'[1]Forward Ranks'!BQ424</f>
        <v>0.16812227074235808</v>
      </c>
      <c r="AH424" s="1">
        <f>'[1]Forward Ranks'!BR424</f>
        <v>8.5152838427947602E-2</v>
      </c>
      <c r="AI424" s="1">
        <f>'[1]Forward Ranks'!BS424</f>
        <v>0.22925764192139739</v>
      </c>
      <c r="AJ424" s="1">
        <f>'[1]Forward Ranks'!BT424</f>
        <v>0.12008733624454149</v>
      </c>
      <c r="AL424" s="2">
        <f>'[1]Forward Ranks'!BX424</f>
        <v>0.54803493449781659</v>
      </c>
      <c r="AN424" t="str">
        <f>'[1]Forward Ranks'!B424</f>
        <v>ANA</v>
      </c>
      <c r="AO424">
        <f>'[1]F on ice'!E424</f>
        <v>81</v>
      </c>
      <c r="AP424" s="2">
        <f>'[1]Impact Score Math'!E424</f>
        <v>0.74749498997995989</v>
      </c>
      <c r="AQ424">
        <f>'[1]Impact Score Math'!G424</f>
        <v>127</v>
      </c>
      <c r="AT424" s="1">
        <f>'[1]Forward Ranks'!CJ424</f>
        <v>0.17685589519650655</v>
      </c>
      <c r="AU424" s="1">
        <f>'[1]Forward Ranks'!CK424</f>
        <v>0.77074235807860259</v>
      </c>
    </row>
    <row r="425" spans="1:47" x14ac:dyDescent="0.3">
      <c r="A425" t="str">
        <f>'[1]Forward Ranks'!A425</f>
        <v>Troy Terry</v>
      </c>
      <c r="B425">
        <f>'[1]Forward Ranks'!D425</f>
        <v>0</v>
      </c>
      <c r="C425" s="1">
        <f>'[1]Forward Ranks'!I425</f>
        <v>0.46288209606986902</v>
      </c>
      <c r="D425" s="1">
        <f>'[1]Forward Ranks'!J425</f>
        <v>0.55458515283842791</v>
      </c>
      <c r="E425" s="1">
        <f>'[1]Forward Ranks'!K425</f>
        <v>0.76855895196506552</v>
      </c>
      <c r="F425" s="1">
        <f>'[1]Forward Ranks'!L425</f>
        <v>0.55458515283842791</v>
      </c>
      <c r="G425">
        <f>'[1]Forward Ranks'!N425</f>
        <v>0</v>
      </c>
      <c r="H425" s="1">
        <f>'[1]Forward Ranks'!S425</f>
        <v>0.6026200873362445</v>
      </c>
      <c r="I425" s="1">
        <f>'[1]Forward Ranks'!T425</f>
        <v>0.93231441048034935</v>
      </c>
      <c r="J425" s="1">
        <f>'[1]Forward Ranks'!U425</f>
        <v>0.86244541484716153</v>
      </c>
      <c r="K425" s="1">
        <f>'[1]Forward Ranks'!V425</f>
        <v>0.87554585152838427</v>
      </c>
      <c r="L425">
        <f>'[1]Forward Ranks'!X425</f>
        <v>0</v>
      </c>
      <c r="M425" s="1">
        <f>'[1]Forward Ranks'!AC425</f>
        <v>0.16812227074235808</v>
      </c>
      <c r="N425" s="1">
        <f>'[1]Forward Ranks'!AD425</f>
        <v>6.3318777292576414E-2</v>
      </c>
      <c r="O425" s="1">
        <f>'[1]Forward Ranks'!AE425</f>
        <v>0.1943231441048035</v>
      </c>
      <c r="P425" s="1">
        <f>'[1]Forward Ranks'!AF425</f>
        <v>0.10698689956331878</v>
      </c>
      <c r="Q425">
        <f>'[1]Forward Ranks'!AH425</f>
        <v>0</v>
      </c>
      <c r="R425" s="1">
        <f>'[1]Forward Ranks'!AM425</f>
        <v>0.83624454148471616</v>
      </c>
      <c r="S425" s="1">
        <f>'[1]Forward Ranks'!AN425</f>
        <v>0.90611353711790388</v>
      </c>
      <c r="T425" s="1">
        <f>'[1]Forward Ranks'!AO425</f>
        <v>0.9606986899563319</v>
      </c>
      <c r="U425" s="1">
        <f>'[1]Forward Ranks'!AP425</f>
        <v>0.93231441048034935</v>
      </c>
      <c r="V425">
        <f>'[1]Forward Ranks'!AR425</f>
        <v>0</v>
      </c>
      <c r="W425" s="1">
        <f>'[1]Forward Ranks'!AW425</f>
        <v>0.97816593886462877</v>
      </c>
      <c r="X425" s="1">
        <f>'[1]Forward Ranks'!AX425</f>
        <v>0.86244541484716153</v>
      </c>
      <c r="Y425" s="1">
        <f>'[1]Forward Ranks'!AY425</f>
        <v>0.59825327510917026</v>
      </c>
      <c r="Z425" s="1">
        <f>'[1]Forward Ranks'!AZ425</f>
        <v>0.8973799126637555</v>
      </c>
      <c r="AA425">
        <f>'[1]Forward Ranks'!BB425</f>
        <v>0</v>
      </c>
      <c r="AB425" s="1">
        <f>'[1]Forward Ranks'!BG425</f>
        <v>0.97379912663755464</v>
      </c>
      <c r="AC425" s="1">
        <f>'[1]Forward Ranks'!BH425</f>
        <v>0.73799126637554591</v>
      </c>
      <c r="AD425" s="1">
        <f>'[1]Forward Ranks'!BI425</f>
        <v>0.86899563318777295</v>
      </c>
      <c r="AE425" s="1">
        <f>'[1]Forward Ranks'!BJ425</f>
        <v>0.77947598253275108</v>
      </c>
      <c r="AF425">
        <f>'[1]Forward Ranks'!BL425</f>
        <v>0</v>
      </c>
      <c r="AG425" s="1">
        <f>'[1]Forward Ranks'!BQ425</f>
        <v>0.29475982532751094</v>
      </c>
      <c r="AH425" s="1">
        <f>'[1]Forward Ranks'!BR425</f>
        <v>0.24672489082969432</v>
      </c>
      <c r="AI425" s="1">
        <f>'[1]Forward Ranks'!BS425</f>
        <v>0.48034934497816595</v>
      </c>
      <c r="AJ425" s="1">
        <f>'[1]Forward Ranks'!BT425</f>
        <v>0.2816593886462882</v>
      </c>
      <c r="AL425" s="2">
        <f>'[1]Forward Ranks'!BX425</f>
        <v>0.66593886462882101</v>
      </c>
      <c r="AN425" t="str">
        <f>'[1]Forward Ranks'!B425</f>
        <v>ANA</v>
      </c>
      <c r="AO425">
        <f>'[1]F on ice'!E425</f>
        <v>70</v>
      </c>
      <c r="AP425" s="2">
        <f>'[1]Impact Score Math'!E425</f>
        <v>0.86172344689378755</v>
      </c>
      <c r="AQ425">
        <f>'[1]Impact Score Math'!G425</f>
        <v>70</v>
      </c>
      <c r="AT425" s="1">
        <f>'[1]Forward Ranks'!CJ425</f>
        <v>0.73362445414847166</v>
      </c>
      <c r="AU425" s="1">
        <f>'[1]Forward Ranks'!CK425</f>
        <v>0.88427947598253276</v>
      </c>
    </row>
    <row r="426" spans="1:47" x14ac:dyDescent="0.3">
      <c r="A426" t="str">
        <f>'[1]Forward Ranks'!A426</f>
        <v>Ty Dellandrea</v>
      </c>
      <c r="B426">
        <f>'[1]Forward Ranks'!D426</f>
        <v>0</v>
      </c>
      <c r="C426" s="1">
        <f>'[1]Forward Ranks'!I426</f>
        <v>0.48471615720524019</v>
      </c>
      <c r="D426" s="1">
        <f>'[1]Forward Ranks'!J426</f>
        <v>0.28602620087336245</v>
      </c>
      <c r="E426" s="1">
        <f>'[1]Forward Ranks'!K426</f>
        <v>0.51965065502183405</v>
      </c>
      <c r="F426" s="1">
        <f>'[1]Forward Ranks'!L426</f>
        <v>0.2816593886462882</v>
      </c>
      <c r="G426">
        <f>'[1]Forward Ranks'!N426</f>
        <v>0</v>
      </c>
      <c r="H426" s="1">
        <f>'[1]Forward Ranks'!S426</f>
        <v>0.26419213973799127</v>
      </c>
      <c r="I426" s="1">
        <f>'[1]Forward Ranks'!T426</f>
        <v>0.55458515283842791</v>
      </c>
      <c r="J426" s="1">
        <f>'[1]Forward Ranks'!U426</f>
        <v>0.51091703056768556</v>
      </c>
      <c r="K426" s="1">
        <f>'[1]Forward Ranks'!V426</f>
        <v>0.39956331877729256</v>
      </c>
      <c r="L426">
        <f>'[1]Forward Ranks'!X426</f>
        <v>0</v>
      </c>
      <c r="M426" s="1">
        <f>'[1]Forward Ranks'!AC426</f>
        <v>0.60043668122270744</v>
      </c>
      <c r="N426" s="1">
        <f>'[1]Forward Ranks'!AD426</f>
        <v>0.73144104803493448</v>
      </c>
      <c r="O426" s="1">
        <f>'[1]Forward Ranks'!AE426</f>
        <v>0.45414847161572053</v>
      </c>
      <c r="P426" s="1">
        <f>'[1]Forward Ranks'!AF426</f>
        <v>0.69868995633187769</v>
      </c>
      <c r="Q426">
        <f>'[1]Forward Ranks'!AH426</f>
        <v>0</v>
      </c>
      <c r="R426" s="1">
        <f>'[1]Forward Ranks'!AM426</f>
        <v>0.39956331877729256</v>
      </c>
      <c r="S426" s="1">
        <f>'[1]Forward Ranks'!AN426</f>
        <v>0.11353711790393013</v>
      </c>
      <c r="T426" s="1">
        <f>'[1]Forward Ranks'!AO426</f>
        <v>0.49563318777292575</v>
      </c>
      <c r="U426" s="1">
        <f>'[1]Forward Ranks'!AP426</f>
        <v>0.19213973799126638</v>
      </c>
      <c r="V426">
        <f>'[1]Forward Ranks'!AR426</f>
        <v>0</v>
      </c>
      <c r="W426" s="1">
        <f>'[1]Forward Ranks'!AW426</f>
        <v>0.48253275109170307</v>
      </c>
      <c r="X426" s="1">
        <f>'[1]Forward Ranks'!AX426</f>
        <v>0.40611353711790393</v>
      </c>
      <c r="Y426" s="1">
        <f>'[1]Forward Ranks'!AY426</f>
        <v>0.14628820960698691</v>
      </c>
      <c r="Z426" s="1">
        <f>'[1]Forward Ranks'!AZ426</f>
        <v>0.44978165938864628</v>
      </c>
      <c r="AA426">
        <f>'[1]Forward Ranks'!BB426</f>
        <v>0</v>
      </c>
      <c r="AB426" s="1">
        <f>'[1]Forward Ranks'!BG426</f>
        <v>0.44104803493449779</v>
      </c>
      <c r="AC426" s="1">
        <f>'[1]Forward Ranks'!BH426</f>
        <v>0.48253275109170307</v>
      </c>
      <c r="AD426" s="1">
        <f>'[1]Forward Ranks'!BI426</f>
        <v>0.63537117903930129</v>
      </c>
      <c r="AE426" s="1">
        <f>'[1]Forward Ranks'!BJ426</f>
        <v>0.53711790393013104</v>
      </c>
      <c r="AF426">
        <f>'[1]Forward Ranks'!BL426</f>
        <v>0</v>
      </c>
      <c r="AG426" s="1">
        <f>'[1]Forward Ranks'!BQ426</f>
        <v>0.5240174672489083</v>
      </c>
      <c r="AH426" s="1">
        <f>'[1]Forward Ranks'!BR426</f>
        <v>0.43231441048034935</v>
      </c>
      <c r="AI426" s="1">
        <f>'[1]Forward Ranks'!BS426</f>
        <v>0.48471615720524019</v>
      </c>
      <c r="AJ426" s="1">
        <f>'[1]Forward Ranks'!BT426</f>
        <v>0.43013100436681223</v>
      </c>
      <c r="AL426" s="2">
        <f>'[1]Forward Ranks'!BX426</f>
        <v>0.388646288209607</v>
      </c>
      <c r="AN426" t="str">
        <f>'[1]Forward Ranks'!B426</f>
        <v>DAL</v>
      </c>
      <c r="AO426">
        <f>'[1]F on ice'!E426</f>
        <v>82</v>
      </c>
      <c r="AP426" s="2">
        <f>'[1]Impact Score Math'!E426</f>
        <v>0.4589178356713427</v>
      </c>
      <c r="AQ426">
        <f>'[1]Impact Score Math'!G426</f>
        <v>271</v>
      </c>
      <c r="AT426" s="1">
        <f>'[1]Forward Ranks'!CJ426</f>
        <v>0.17248908296943233</v>
      </c>
      <c r="AU426" s="1">
        <f>'[1]Forward Ranks'!CK426</f>
        <v>0.81877729257641918</v>
      </c>
    </row>
    <row r="427" spans="1:47" x14ac:dyDescent="0.3">
      <c r="A427" t="str">
        <f>'[1]Forward Ranks'!A427</f>
        <v>Tyler Bertuzzi</v>
      </c>
      <c r="B427">
        <f>'[1]Forward Ranks'!D427</f>
        <v>0</v>
      </c>
      <c r="C427" s="1">
        <f>'[1]Forward Ranks'!I427</f>
        <v>0.87117903930131002</v>
      </c>
      <c r="D427" s="1">
        <f>'[1]Forward Ranks'!J427</f>
        <v>0.73362445414847166</v>
      </c>
      <c r="E427" s="1">
        <f>'[1]Forward Ranks'!K427</f>
        <v>0.77510917030567683</v>
      </c>
      <c r="F427" s="1">
        <f>'[1]Forward Ranks'!L427</f>
        <v>0.83624454148471616</v>
      </c>
      <c r="G427">
        <f>'[1]Forward Ranks'!N427</f>
        <v>0</v>
      </c>
      <c r="H427" s="1">
        <f>'[1]Forward Ranks'!S427</f>
        <v>0.1222707423580786</v>
      </c>
      <c r="I427" s="1">
        <f>'[1]Forward Ranks'!T427</f>
        <v>0.86462882096069871</v>
      </c>
      <c r="J427" s="1">
        <f>'[1]Forward Ranks'!U427</f>
        <v>0.88209606986899558</v>
      </c>
      <c r="K427" s="1">
        <f>'[1]Forward Ranks'!V427</f>
        <v>0.59606986899563319</v>
      </c>
      <c r="L427">
        <f>'[1]Forward Ranks'!X427</f>
        <v>0</v>
      </c>
      <c r="M427" s="1">
        <f>'[1]Forward Ranks'!AC427</f>
        <v>0.37554585152838427</v>
      </c>
      <c r="N427" s="1">
        <f>'[1]Forward Ranks'!AD427</f>
        <v>0.21397379912663755</v>
      </c>
      <c r="O427" s="1">
        <f>'[1]Forward Ranks'!AE427</f>
        <v>0.17467248908296942</v>
      </c>
      <c r="P427" s="1">
        <f>'[1]Forward Ranks'!AF427</f>
        <v>0.37554585152838427</v>
      </c>
      <c r="Q427">
        <f>'[1]Forward Ranks'!AH427</f>
        <v>0</v>
      </c>
      <c r="R427" s="1">
        <f>'[1]Forward Ranks'!AM427</f>
        <v>0.98034934497816595</v>
      </c>
      <c r="S427" s="1">
        <f>'[1]Forward Ranks'!AN427</f>
        <v>0.91484716157205237</v>
      </c>
      <c r="T427" s="1">
        <f>'[1]Forward Ranks'!AO427</f>
        <v>0.60480349344978168</v>
      </c>
      <c r="U427" s="1">
        <f>'[1]Forward Ranks'!AP427</f>
        <v>0.9366812227074236</v>
      </c>
      <c r="V427">
        <f>'[1]Forward Ranks'!AR427</f>
        <v>0</v>
      </c>
      <c r="W427" s="1">
        <f>'[1]Forward Ranks'!AW427</f>
        <v>0.28384279475982532</v>
      </c>
      <c r="X427" s="1">
        <f>'[1]Forward Ranks'!AX427</f>
        <v>7.4235807860262015E-2</v>
      </c>
      <c r="Y427" s="1">
        <f>'[1]Forward Ranks'!AY427</f>
        <v>1.0917030567685589E-2</v>
      </c>
      <c r="Z427" s="1">
        <f>'[1]Forward Ranks'!AZ427</f>
        <v>0.16375545851528384</v>
      </c>
      <c r="AA427">
        <f>'[1]Forward Ranks'!BB427</f>
        <v>0</v>
      </c>
      <c r="AB427" s="1">
        <f>'[1]Forward Ranks'!BG427</f>
        <v>0.69213973799126638</v>
      </c>
      <c r="AC427" s="1">
        <f>'[1]Forward Ranks'!BH427</f>
        <v>0.72925764192139741</v>
      </c>
      <c r="AD427" s="1">
        <f>'[1]Forward Ranks'!BI427</f>
        <v>0.5873362445414847</v>
      </c>
      <c r="AE427" s="1">
        <f>'[1]Forward Ranks'!BJ427</f>
        <v>0.29039301310043669</v>
      </c>
      <c r="AF427">
        <f>'[1]Forward Ranks'!BL427</f>
        <v>0</v>
      </c>
      <c r="AG427" s="1">
        <f>'[1]Forward Ranks'!BQ427</f>
        <v>0.74672489082969429</v>
      </c>
      <c r="AH427" s="1">
        <f>'[1]Forward Ranks'!BR427</f>
        <v>0.49781659388646288</v>
      </c>
      <c r="AI427" s="1">
        <f>'[1]Forward Ranks'!BS427</f>
        <v>0.46943231441048033</v>
      </c>
      <c r="AJ427" s="1">
        <f>'[1]Forward Ranks'!BT427</f>
        <v>0.70960698689956336</v>
      </c>
      <c r="AL427" s="2">
        <f>'[1]Forward Ranks'!BX427</f>
        <v>0.75764192139737996</v>
      </c>
      <c r="AN427" t="str">
        <f>'[1]Forward Ranks'!B427</f>
        <v>BOS, DET</v>
      </c>
      <c r="AO427">
        <f>'[1]F on ice'!E427</f>
        <v>50</v>
      </c>
      <c r="AP427" s="2">
        <f>'[1]Impact Score Math'!E427</f>
        <v>0.78557114228456915</v>
      </c>
      <c r="AQ427">
        <f>'[1]Impact Score Math'!G427</f>
        <v>108</v>
      </c>
      <c r="AT427" s="1">
        <f>'[1]Forward Ranks'!CJ427</f>
        <v>0.57641921397379914</v>
      </c>
      <c r="AU427" s="1">
        <f>'[1]Forward Ranks'!CK427</f>
        <v>0.38646288209606988</v>
      </c>
    </row>
    <row r="428" spans="1:47" x14ac:dyDescent="0.3">
      <c r="A428" t="str">
        <f>'[1]Forward Ranks'!A428</f>
        <v>Tyler Johnson</v>
      </c>
      <c r="B428">
        <f>'[1]Forward Ranks'!D428</f>
        <v>0</v>
      </c>
      <c r="C428" s="1">
        <f>'[1]Forward Ranks'!I428</f>
        <v>0.11572052401746726</v>
      </c>
      <c r="D428" s="1">
        <f>'[1]Forward Ranks'!J428</f>
        <v>5.8951965065502182E-2</v>
      </c>
      <c r="E428" s="1">
        <f>'[1]Forward Ranks'!K428</f>
        <v>0.21615720524017468</v>
      </c>
      <c r="F428" s="1">
        <f>'[1]Forward Ranks'!L428</f>
        <v>0.1331877729257642</v>
      </c>
      <c r="G428">
        <f>'[1]Forward Ranks'!N428</f>
        <v>0</v>
      </c>
      <c r="H428" s="1">
        <f>'[1]Forward Ranks'!S428</f>
        <v>0.26419213973799127</v>
      </c>
      <c r="I428" s="1">
        <f>'[1]Forward Ranks'!T428</f>
        <v>0.4606986899563319</v>
      </c>
      <c r="J428" s="1">
        <f>'[1]Forward Ranks'!U428</f>
        <v>0.42358078602620086</v>
      </c>
      <c r="K428" s="1">
        <f>'[1]Forward Ranks'!V428</f>
        <v>0.32096069868995636</v>
      </c>
      <c r="L428">
        <f>'[1]Forward Ranks'!X428</f>
        <v>0</v>
      </c>
      <c r="M428" s="1">
        <f>'[1]Forward Ranks'!AC428</f>
        <v>0.33187772925764192</v>
      </c>
      <c r="N428" s="1">
        <f>'[1]Forward Ranks'!AD428</f>
        <v>0.53275109170305679</v>
      </c>
      <c r="O428" s="1">
        <f>'[1]Forward Ranks'!AE428</f>
        <v>0.26419213973799127</v>
      </c>
      <c r="P428" s="1">
        <f>'[1]Forward Ranks'!AF428</f>
        <v>0.37554585152838427</v>
      </c>
      <c r="Q428">
        <f>'[1]Forward Ranks'!AH428</f>
        <v>0</v>
      </c>
      <c r="R428" s="1">
        <f>'[1]Forward Ranks'!AM428</f>
        <v>0.36026200873362446</v>
      </c>
      <c r="S428" s="1">
        <f>'[1]Forward Ranks'!AN428</f>
        <v>0.35807860262008734</v>
      </c>
      <c r="T428" s="1">
        <f>'[1]Forward Ranks'!AO428</f>
        <v>0.38646288209606988</v>
      </c>
      <c r="U428" s="1">
        <f>'[1]Forward Ranks'!AP428</f>
        <v>0.47379912663755458</v>
      </c>
      <c r="V428">
        <f>'[1]Forward Ranks'!AR428</f>
        <v>0</v>
      </c>
      <c r="W428" s="1">
        <f>'[1]Forward Ranks'!AW428</f>
        <v>0.57860262008733621</v>
      </c>
      <c r="X428" s="1">
        <f>'[1]Forward Ranks'!AX428</f>
        <v>0.70742358078602618</v>
      </c>
      <c r="Y428" s="1">
        <f>'[1]Forward Ranks'!AY428</f>
        <v>0.55895196506550215</v>
      </c>
      <c r="Z428" s="1">
        <f>'[1]Forward Ranks'!AZ428</f>
        <v>0.51965065502183405</v>
      </c>
      <c r="AA428">
        <f>'[1]Forward Ranks'!BB428</f>
        <v>0</v>
      </c>
      <c r="AB428" s="1">
        <f>'[1]Forward Ranks'!BG428</f>
        <v>0.71615720524017468</v>
      </c>
      <c r="AC428" s="1">
        <f>'[1]Forward Ranks'!BH428</f>
        <v>0.58951965065502188</v>
      </c>
      <c r="AD428" s="1">
        <f>'[1]Forward Ranks'!BI428</f>
        <v>0.32532751091703055</v>
      </c>
      <c r="AE428" s="1">
        <f>'[1]Forward Ranks'!BJ428</f>
        <v>0.24672489082969432</v>
      </c>
      <c r="AF428">
        <f>'[1]Forward Ranks'!BL428</f>
        <v>0</v>
      </c>
      <c r="AG428" s="1">
        <f>'[1]Forward Ranks'!BQ428</f>
        <v>0.14628820960698691</v>
      </c>
      <c r="AH428" s="1">
        <f>'[1]Forward Ranks'!BR428</f>
        <v>0.14847161572052403</v>
      </c>
      <c r="AI428" s="1">
        <f>'[1]Forward Ranks'!BS428</f>
        <v>0.14410480349344978</v>
      </c>
      <c r="AJ428" s="1">
        <f>'[1]Forward Ranks'!BT428</f>
        <v>0.17685589519650655</v>
      </c>
      <c r="AL428" s="2">
        <f>'[1]Forward Ranks'!BX428</f>
        <v>0.18777292576419213</v>
      </c>
      <c r="AN428" t="str">
        <f>'[1]Forward Ranks'!B428</f>
        <v>CHI</v>
      </c>
      <c r="AO428">
        <f>'[1]F on ice'!E428</f>
        <v>56</v>
      </c>
      <c r="AP428" s="2">
        <f>'[1]Impact Score Math'!E428</f>
        <v>0.33667334669338678</v>
      </c>
      <c r="AQ428">
        <f>'[1]Impact Score Math'!G428</f>
        <v>332</v>
      </c>
      <c r="AT428" s="1">
        <f>'[1]Forward Ranks'!CJ428</f>
        <v>0.74672489082969429</v>
      </c>
      <c r="AU428" s="1">
        <f>'[1]Forward Ranks'!CK428</f>
        <v>4.148471615720524E-2</v>
      </c>
    </row>
    <row r="429" spans="1:47" x14ac:dyDescent="0.3">
      <c r="A429" t="str">
        <f>'[1]Forward Ranks'!A429</f>
        <v>Tyler Motte</v>
      </c>
      <c r="B429">
        <f>'[1]Forward Ranks'!D429</f>
        <v>0</v>
      </c>
      <c r="C429" s="1">
        <f>'[1]Forward Ranks'!I429</f>
        <v>0.24890829694323144</v>
      </c>
      <c r="D429" s="1">
        <f>'[1]Forward Ranks'!J429</f>
        <v>0.6266375545851528</v>
      </c>
      <c r="E429" s="1">
        <f>'[1]Forward Ranks'!K429</f>
        <v>0.27510917030567683</v>
      </c>
      <c r="F429" s="1">
        <f>'[1]Forward Ranks'!L429</f>
        <v>0.51528384279475981</v>
      </c>
      <c r="G429">
        <f>'[1]Forward Ranks'!N429</f>
        <v>0</v>
      </c>
      <c r="H429" s="1">
        <f>'[1]Forward Ranks'!S429</f>
        <v>0.34934497816593885</v>
      </c>
      <c r="I429" s="1">
        <f>'[1]Forward Ranks'!T429</f>
        <v>0.60917030567685593</v>
      </c>
      <c r="J429" s="1">
        <f>'[1]Forward Ranks'!U429</f>
        <v>0.65938864628820959</v>
      </c>
      <c r="K429" s="1">
        <f>'[1]Forward Ranks'!V429</f>
        <v>0.51310043668122274</v>
      </c>
      <c r="L429">
        <f>'[1]Forward Ranks'!X429</f>
        <v>0</v>
      </c>
      <c r="M429" s="1">
        <f>'[1]Forward Ranks'!AC429</f>
        <v>0.25109170305676853</v>
      </c>
      <c r="N429" s="1">
        <f>'[1]Forward Ranks'!AD429</f>
        <v>0.49344978165938863</v>
      </c>
      <c r="O429" s="1">
        <f>'[1]Forward Ranks'!AE429</f>
        <v>0.77947598253275108</v>
      </c>
      <c r="P429" s="1">
        <f>'[1]Forward Ranks'!AF429</f>
        <v>0.25327510917030566</v>
      </c>
      <c r="Q429">
        <f>'[1]Forward Ranks'!AH429</f>
        <v>0</v>
      </c>
      <c r="R429" s="1">
        <f>'[1]Forward Ranks'!AM429</f>
        <v>0.13100436681222707</v>
      </c>
      <c r="S429" s="1">
        <f>'[1]Forward Ranks'!AN429</f>
        <v>0.38209606986899564</v>
      </c>
      <c r="T429" s="1">
        <f>'[1]Forward Ranks'!AO429</f>
        <v>0.30349344978165937</v>
      </c>
      <c r="U429" s="1">
        <f>'[1]Forward Ranks'!AP429</f>
        <v>0.34934497816593885</v>
      </c>
      <c r="V429">
        <f>'[1]Forward Ranks'!AR429</f>
        <v>0</v>
      </c>
      <c r="W429" s="1">
        <f>'[1]Forward Ranks'!AW429</f>
        <v>0.21397379912663755</v>
      </c>
      <c r="X429" s="1">
        <f>'[1]Forward Ranks'!AX429</f>
        <v>0.73799126637554591</v>
      </c>
      <c r="Y429" s="1">
        <f>'[1]Forward Ranks'!AY429</f>
        <v>0.74672489082969429</v>
      </c>
      <c r="Z429" s="1">
        <f>'[1]Forward Ranks'!AZ429</f>
        <v>0.35807860262008734</v>
      </c>
      <c r="AA429">
        <f>'[1]Forward Ranks'!BB429</f>
        <v>0</v>
      </c>
      <c r="AB429" s="1">
        <f>'[1]Forward Ranks'!BG429</f>
        <v>0.15938864628820962</v>
      </c>
      <c r="AC429" s="1">
        <f>'[1]Forward Ranks'!BH429</f>
        <v>0.18995633187772926</v>
      </c>
      <c r="AD429" s="1">
        <f>'[1]Forward Ranks'!BI429</f>
        <v>0.33406113537117904</v>
      </c>
      <c r="AE429" s="1">
        <f>'[1]Forward Ranks'!BJ429</f>
        <v>0.72925764192139741</v>
      </c>
      <c r="AF429">
        <f>'[1]Forward Ranks'!BL429</f>
        <v>0</v>
      </c>
      <c r="AG429" s="1">
        <f>'[1]Forward Ranks'!BQ429</f>
        <v>0.20742358078602621</v>
      </c>
      <c r="AH429" s="1">
        <f>'[1]Forward Ranks'!BR429</f>
        <v>0.54585152838427953</v>
      </c>
      <c r="AI429" s="1">
        <f>'[1]Forward Ranks'!BS429</f>
        <v>0.48471615720524019</v>
      </c>
      <c r="AJ429" s="1">
        <f>'[1]Forward Ranks'!BT429</f>
        <v>0.37991266375545851</v>
      </c>
      <c r="AL429" s="2">
        <f>'[1]Forward Ranks'!BX429</f>
        <v>0.1965065502183406</v>
      </c>
      <c r="AN429" t="str">
        <f>'[1]Forward Ranks'!B429</f>
        <v>NYR, OTT</v>
      </c>
      <c r="AO429">
        <f>'[1]F on ice'!E429</f>
        <v>62</v>
      </c>
      <c r="AP429" s="2">
        <f>'[1]Impact Score Math'!E429</f>
        <v>0.23847695390781562</v>
      </c>
      <c r="AQ429">
        <f>'[1]Impact Score Math'!G429</f>
        <v>381</v>
      </c>
      <c r="AT429" s="1">
        <f>'[1]Forward Ranks'!CJ429</f>
        <v>0.888646288209607</v>
      </c>
      <c r="AU429" s="1">
        <f>'[1]Forward Ranks'!CK429</f>
        <v>0.94323144104803491</v>
      </c>
    </row>
    <row r="430" spans="1:47" x14ac:dyDescent="0.3">
      <c r="A430" t="str">
        <f>'[1]Forward Ranks'!A430</f>
        <v>Tyler Pitlick</v>
      </c>
      <c r="B430">
        <f>'[1]Forward Ranks'!D430</f>
        <v>0</v>
      </c>
      <c r="C430" s="1">
        <f>'[1]Forward Ranks'!I430</f>
        <v>8.5152838427947602E-2</v>
      </c>
      <c r="D430" s="1">
        <f>'[1]Forward Ranks'!J430</f>
        <v>0.15065502183406113</v>
      </c>
      <c r="E430" s="1">
        <f>'[1]Forward Ranks'!K430</f>
        <v>0.38209606986899564</v>
      </c>
      <c r="F430" s="1">
        <f>'[1]Forward Ranks'!L430</f>
        <v>9.3886462882096067E-2</v>
      </c>
      <c r="G430">
        <f>'[1]Forward Ranks'!N430</f>
        <v>0</v>
      </c>
      <c r="H430" s="1">
        <f>'[1]Forward Ranks'!S430</f>
        <v>0.56986899563318782</v>
      </c>
      <c r="I430" s="1">
        <f>'[1]Forward Ranks'!T430</f>
        <v>0.48689956331877732</v>
      </c>
      <c r="J430" s="1">
        <f>'[1]Forward Ranks'!U430</f>
        <v>0.69650655021834063</v>
      </c>
      <c r="K430" s="1">
        <f>'[1]Forward Ranks'!V430</f>
        <v>0.50218340611353707</v>
      </c>
      <c r="L430">
        <f>'[1]Forward Ranks'!X430</f>
        <v>0</v>
      </c>
      <c r="M430" s="1">
        <f>'[1]Forward Ranks'!AC430</f>
        <v>0.62882096069868998</v>
      </c>
      <c r="N430" s="1">
        <f>'[1]Forward Ranks'!AD430</f>
        <v>0.74235807860262004</v>
      </c>
      <c r="O430" s="1">
        <f>'[1]Forward Ranks'!AE430</f>
        <v>0.6266375545851528</v>
      </c>
      <c r="P430" s="1">
        <f>'[1]Forward Ranks'!AF430</f>
        <v>0.62008733624454149</v>
      </c>
      <c r="Q430">
        <f>'[1]Forward Ranks'!AH430</f>
        <v>0</v>
      </c>
      <c r="R430" s="1">
        <f>'[1]Forward Ranks'!AM430</f>
        <v>0.1331877729257642</v>
      </c>
      <c r="S430" s="1">
        <f>'[1]Forward Ranks'!AN430</f>
        <v>0.40174672489082969</v>
      </c>
      <c r="T430" s="1">
        <f>'[1]Forward Ranks'!AO430</f>
        <v>0.3296943231441048</v>
      </c>
      <c r="U430" s="1">
        <f>'[1]Forward Ranks'!AP430</f>
        <v>0.20305676855895197</v>
      </c>
      <c r="V430">
        <f>'[1]Forward Ranks'!AR430</f>
        <v>0</v>
      </c>
      <c r="W430" s="1">
        <f>'[1]Forward Ranks'!AW430</f>
        <v>0.88646288209606983</v>
      </c>
      <c r="X430" s="1">
        <f>'[1]Forward Ranks'!AX430</f>
        <v>0.9366812227074236</v>
      </c>
      <c r="Y430" s="1">
        <f>'[1]Forward Ranks'!AY430</f>
        <v>0.90829694323144106</v>
      </c>
      <c r="Z430" s="1">
        <f>'[1]Forward Ranks'!AZ430</f>
        <v>0.92576419213973804</v>
      </c>
      <c r="AA430">
        <f>'[1]Forward Ranks'!BB430</f>
        <v>0</v>
      </c>
      <c r="AB430" s="1">
        <f>'[1]Forward Ranks'!BG430</f>
        <v>0.11790393013100436</v>
      </c>
      <c r="AC430" s="1">
        <f>'[1]Forward Ranks'!BH430</f>
        <v>0.17467248908296942</v>
      </c>
      <c r="AD430" s="1">
        <f>'[1]Forward Ranks'!BI430</f>
        <v>0.66812227074235808</v>
      </c>
      <c r="AE430" s="1">
        <f>'[1]Forward Ranks'!BJ430</f>
        <v>0.59388646288209612</v>
      </c>
      <c r="AF430">
        <f>'[1]Forward Ranks'!BL430</f>
        <v>0</v>
      </c>
      <c r="AG430" s="1">
        <f>'[1]Forward Ranks'!BQ430</f>
        <v>0.2183406113537118</v>
      </c>
      <c r="AH430" s="1">
        <f>'[1]Forward Ranks'!BR430</f>
        <v>0.30349344978165937</v>
      </c>
      <c r="AI430" s="1">
        <f>'[1]Forward Ranks'!BS430</f>
        <v>0.48471615720524019</v>
      </c>
      <c r="AJ430" s="1">
        <f>'[1]Forward Ranks'!BT430</f>
        <v>0.20087336244541484</v>
      </c>
      <c r="AL430" s="2">
        <f>'[1]Forward Ranks'!BX430</f>
        <v>0.35152838427947597</v>
      </c>
      <c r="AN430" t="str">
        <f>'[1]Forward Ranks'!B430</f>
        <v>STL</v>
      </c>
      <c r="AO430">
        <f>'[1]F on ice'!E430</f>
        <v>61</v>
      </c>
      <c r="AP430" s="2">
        <f>'[1]Impact Score Math'!E430</f>
        <v>0.31262525050100198</v>
      </c>
      <c r="AQ430">
        <f>'[1]Impact Score Math'!G430</f>
        <v>344</v>
      </c>
      <c r="AT430" s="1">
        <f>'[1]Forward Ranks'!CJ430</f>
        <v>0.51965065502183405</v>
      </c>
      <c r="AU430" s="1">
        <f>'[1]Forward Ranks'!CK430</f>
        <v>0.66375545851528384</v>
      </c>
    </row>
    <row r="431" spans="1:47" x14ac:dyDescent="0.3">
      <c r="A431" t="str">
        <f>'[1]Forward Ranks'!A431</f>
        <v>Tyler Seguin</v>
      </c>
      <c r="B431">
        <f>'[1]Forward Ranks'!D431</f>
        <v>0</v>
      </c>
      <c r="C431" s="1">
        <f>'[1]Forward Ranks'!I431</f>
        <v>0.78602620087336239</v>
      </c>
      <c r="D431" s="1">
        <f>'[1]Forward Ranks'!J431</f>
        <v>0.59170305676855894</v>
      </c>
      <c r="E431" s="1">
        <f>'[1]Forward Ranks'!K431</f>
        <v>0.51528384279475981</v>
      </c>
      <c r="F431" s="1">
        <f>'[1]Forward Ranks'!L431</f>
        <v>0.68777292576419213</v>
      </c>
      <c r="G431">
        <f>'[1]Forward Ranks'!N431</f>
        <v>0</v>
      </c>
      <c r="H431" s="1">
        <f>'[1]Forward Ranks'!S431</f>
        <v>0.44323144104803491</v>
      </c>
      <c r="I431" s="1">
        <f>'[1]Forward Ranks'!T431</f>
        <v>0.8253275109170306</v>
      </c>
      <c r="J431" s="1">
        <f>'[1]Forward Ranks'!U431</f>
        <v>0.60043668122270744</v>
      </c>
      <c r="K431" s="1">
        <f>'[1]Forward Ranks'!V431</f>
        <v>0.70742358078602618</v>
      </c>
      <c r="L431">
        <f>'[1]Forward Ranks'!X431</f>
        <v>0</v>
      </c>
      <c r="M431" s="1">
        <f>'[1]Forward Ranks'!AC431</f>
        <v>0.69868995633187769</v>
      </c>
      <c r="N431" s="1">
        <f>'[1]Forward Ranks'!AD431</f>
        <v>0.60480349344978168</v>
      </c>
      <c r="O431" s="1">
        <f>'[1]Forward Ranks'!AE431</f>
        <v>0.45851528384279477</v>
      </c>
      <c r="P431" s="1">
        <f>'[1]Forward Ranks'!AF431</f>
        <v>0.75109170305676853</v>
      </c>
      <c r="Q431">
        <f>'[1]Forward Ranks'!AH431</f>
        <v>0</v>
      </c>
      <c r="R431" s="1">
        <f>'[1]Forward Ranks'!AM431</f>
        <v>0.78165938864628826</v>
      </c>
      <c r="S431" s="1">
        <f>'[1]Forward Ranks'!AN431</f>
        <v>0.40393013100436681</v>
      </c>
      <c r="T431" s="1">
        <f>'[1]Forward Ranks'!AO431</f>
        <v>0.4759825327510917</v>
      </c>
      <c r="U431" s="1">
        <f>'[1]Forward Ranks'!AP431</f>
        <v>0.62445414847161573</v>
      </c>
      <c r="V431">
        <f>'[1]Forward Ranks'!AR431</f>
        <v>0</v>
      </c>
      <c r="W431" s="1">
        <f>'[1]Forward Ranks'!AW431</f>
        <v>0.63973799126637554</v>
      </c>
      <c r="X431" s="1">
        <f>'[1]Forward Ranks'!AX431</f>
        <v>0.27729257641921395</v>
      </c>
      <c r="Y431" s="1">
        <f>'[1]Forward Ranks'!AY431</f>
        <v>9.3886462882096067E-2</v>
      </c>
      <c r="Z431" s="1">
        <f>'[1]Forward Ranks'!AZ431</f>
        <v>0.51091703056768556</v>
      </c>
      <c r="AA431">
        <f>'[1]Forward Ranks'!BB431</f>
        <v>0</v>
      </c>
      <c r="AB431" s="1">
        <f>'[1]Forward Ranks'!BG431</f>
        <v>0.58515283842794763</v>
      </c>
      <c r="AC431" s="1">
        <f>'[1]Forward Ranks'!BH431</f>
        <v>0.40393013100436681</v>
      </c>
      <c r="AD431" s="1">
        <f>'[1]Forward Ranks'!BI431</f>
        <v>0.39519650655021832</v>
      </c>
      <c r="AE431" s="1">
        <f>'[1]Forward Ranks'!BJ431</f>
        <v>0.35807860262008734</v>
      </c>
      <c r="AF431">
        <f>'[1]Forward Ranks'!BL431</f>
        <v>0</v>
      </c>
      <c r="AG431" s="1">
        <f>'[1]Forward Ranks'!BQ431</f>
        <v>0.80349344978165937</v>
      </c>
      <c r="AH431" s="1">
        <f>'[1]Forward Ranks'!BR431</f>
        <v>0.59606986899563319</v>
      </c>
      <c r="AI431" s="1">
        <f>'[1]Forward Ranks'!BS431</f>
        <v>0.48471615720524019</v>
      </c>
      <c r="AJ431" s="1">
        <f>'[1]Forward Ranks'!BT431</f>
        <v>0.77947598253275108</v>
      </c>
      <c r="AL431" s="2">
        <f>'[1]Forward Ranks'!BX431</f>
        <v>0.85589519650655022</v>
      </c>
      <c r="AN431" t="str">
        <f>'[1]Forward Ranks'!B431</f>
        <v>DAL</v>
      </c>
      <c r="AO431">
        <f>'[1]F on ice'!E431</f>
        <v>76</v>
      </c>
      <c r="AP431" s="2">
        <f>'[1]Impact Score Math'!E431</f>
        <v>0.83967935871743482</v>
      </c>
      <c r="AQ431">
        <f>'[1]Impact Score Math'!G431</f>
        <v>81</v>
      </c>
      <c r="AT431" s="1">
        <f>'[1]Forward Ranks'!CJ431</f>
        <v>0.58078602620087338</v>
      </c>
      <c r="AU431" s="1">
        <f>'[1]Forward Ranks'!CK431</f>
        <v>0.39519650655021832</v>
      </c>
    </row>
    <row r="432" spans="1:47" x14ac:dyDescent="0.3">
      <c r="A432" t="str">
        <f>'[1]Forward Ranks'!A432</f>
        <v>Tyler Toffoli</v>
      </c>
      <c r="B432">
        <f>'[1]Forward Ranks'!D432</f>
        <v>0</v>
      </c>
      <c r="C432" s="1">
        <f>'[1]Forward Ranks'!I432</f>
        <v>0.95196506550218341</v>
      </c>
      <c r="D432" s="1">
        <f>'[1]Forward Ranks'!J432</f>
        <v>0.56550218340611358</v>
      </c>
      <c r="E432" s="1">
        <f>'[1]Forward Ranks'!K432</f>
        <v>0.92139737991266379</v>
      </c>
      <c r="F432" s="1">
        <f>'[1]Forward Ranks'!L432</f>
        <v>0.89082969432314407</v>
      </c>
      <c r="G432">
        <f>'[1]Forward Ranks'!N432</f>
        <v>0</v>
      </c>
      <c r="H432" s="1">
        <f>'[1]Forward Ranks'!S432</f>
        <v>0.87991266375545851</v>
      </c>
      <c r="I432" s="1">
        <f>'[1]Forward Ranks'!T432</f>
        <v>0.77510917030567683</v>
      </c>
      <c r="J432" s="1">
        <f>'[1]Forward Ranks'!U432</f>
        <v>0.41048034934497818</v>
      </c>
      <c r="K432" s="1">
        <f>'[1]Forward Ranks'!V432</f>
        <v>0.91048034934497812</v>
      </c>
      <c r="L432">
        <f>'[1]Forward Ranks'!X432</f>
        <v>0</v>
      </c>
      <c r="M432" s="1">
        <f>'[1]Forward Ranks'!AC432</f>
        <v>0.95196506550218341</v>
      </c>
      <c r="N432" s="1">
        <f>'[1]Forward Ranks'!AD432</f>
        <v>0.94104803493449785</v>
      </c>
      <c r="O432" s="1">
        <f>'[1]Forward Ranks'!AE432</f>
        <v>0.69213973799126638</v>
      </c>
      <c r="P432" s="1">
        <f>'[1]Forward Ranks'!AF432</f>
        <v>0.93449781659388642</v>
      </c>
      <c r="Q432">
        <f>'[1]Forward Ranks'!AH432</f>
        <v>0</v>
      </c>
      <c r="R432" s="1">
        <f>'[1]Forward Ranks'!AM432</f>
        <v>0.74017467248908297</v>
      </c>
      <c r="S432" s="1">
        <f>'[1]Forward Ranks'!AN432</f>
        <v>0.43449781659388648</v>
      </c>
      <c r="T432" s="1">
        <f>'[1]Forward Ranks'!AO432</f>
        <v>0.90393013100436681</v>
      </c>
      <c r="U432" s="1">
        <f>'[1]Forward Ranks'!AP432</f>
        <v>0.77729257641921401</v>
      </c>
      <c r="V432">
        <f>'[1]Forward Ranks'!AR432</f>
        <v>0</v>
      </c>
      <c r="W432" s="1">
        <f>'[1]Forward Ranks'!AW432</f>
        <v>0.63973799126637554</v>
      </c>
      <c r="X432" s="1">
        <f>'[1]Forward Ranks'!AX432</f>
        <v>0.87554585152838427</v>
      </c>
      <c r="Y432" s="1">
        <f>'[1]Forward Ranks'!AY432</f>
        <v>0.78384279475982532</v>
      </c>
      <c r="Z432" s="1">
        <f>'[1]Forward Ranks'!AZ432</f>
        <v>0.81004366812227069</v>
      </c>
      <c r="AA432">
        <f>'[1]Forward Ranks'!BB432</f>
        <v>0</v>
      </c>
      <c r="AB432" s="1">
        <f>'[1]Forward Ranks'!BG432</f>
        <v>0.48689956331877732</v>
      </c>
      <c r="AC432" s="1">
        <f>'[1]Forward Ranks'!BH432</f>
        <v>0.57205240174672489</v>
      </c>
      <c r="AD432" s="1">
        <f>'[1]Forward Ranks'!BI432</f>
        <v>0.79039301310043664</v>
      </c>
      <c r="AE432" s="1">
        <f>'[1]Forward Ranks'!BJ432</f>
        <v>0.61790393013100442</v>
      </c>
      <c r="AF432">
        <f>'[1]Forward Ranks'!BL432</f>
        <v>0</v>
      </c>
      <c r="AG432" s="1">
        <f>'[1]Forward Ranks'!BQ432</f>
        <v>0.96943231441048039</v>
      </c>
      <c r="AH432" s="1">
        <f>'[1]Forward Ranks'!BR432</f>
        <v>0.82314410480349343</v>
      </c>
      <c r="AI432" s="1">
        <f>'[1]Forward Ranks'!BS432</f>
        <v>0.90829694323144106</v>
      </c>
      <c r="AJ432" s="1">
        <f>'[1]Forward Ranks'!BT432</f>
        <v>0.96506550218340614</v>
      </c>
      <c r="AL432" s="2">
        <f>'[1]Forward Ranks'!BX432</f>
        <v>0.98908296943231444</v>
      </c>
      <c r="AN432" t="str">
        <f>'[1]Forward Ranks'!B432</f>
        <v>CGY</v>
      </c>
      <c r="AO432">
        <f>'[1]F on ice'!E432</f>
        <v>82</v>
      </c>
      <c r="AP432" s="2">
        <f>'[1]Impact Score Math'!E432</f>
        <v>0.94989979959919835</v>
      </c>
      <c r="AQ432">
        <f>'[1]Impact Score Math'!G432</f>
        <v>26</v>
      </c>
      <c r="AT432" s="1">
        <f>'[1]Forward Ranks'!CJ432</f>
        <v>0.67903930131004364</v>
      </c>
      <c r="AU432" s="1">
        <f>'[1]Forward Ranks'!CK432</f>
        <v>0.42358078602620086</v>
      </c>
    </row>
    <row r="433" spans="1:47" x14ac:dyDescent="0.3">
      <c r="A433" t="str">
        <f>'[1]Forward Ranks'!A433</f>
        <v>Tyson Jost</v>
      </c>
      <c r="B433">
        <f>'[1]Forward Ranks'!D433</f>
        <v>0</v>
      </c>
      <c r="C433" s="1">
        <f>'[1]Forward Ranks'!I433</f>
        <v>0.22707423580786026</v>
      </c>
      <c r="D433" s="1">
        <f>'[1]Forward Ranks'!J433</f>
        <v>0.50655021834061131</v>
      </c>
      <c r="E433" s="1">
        <f>'[1]Forward Ranks'!K433</f>
        <v>0.38209606986899564</v>
      </c>
      <c r="F433" s="1">
        <f>'[1]Forward Ranks'!L433</f>
        <v>0.35152838427947597</v>
      </c>
      <c r="G433">
        <f>'[1]Forward Ranks'!N433</f>
        <v>0</v>
      </c>
      <c r="H433" s="1">
        <f>'[1]Forward Ranks'!S433</f>
        <v>0.11572052401746726</v>
      </c>
      <c r="I433" s="1">
        <f>'[1]Forward Ranks'!T433</f>
        <v>0.75545851528384278</v>
      </c>
      <c r="J433" s="1">
        <f>'[1]Forward Ranks'!U433</f>
        <v>0.54803493449781659</v>
      </c>
      <c r="K433" s="1">
        <f>'[1]Forward Ranks'!V433</f>
        <v>0.5</v>
      </c>
      <c r="L433">
        <f>'[1]Forward Ranks'!X433</f>
        <v>0</v>
      </c>
      <c r="M433" s="1">
        <f>'[1]Forward Ranks'!AC433</f>
        <v>0.48034934497816595</v>
      </c>
      <c r="N433" s="1">
        <f>'[1]Forward Ranks'!AD433</f>
        <v>0.56113537117903933</v>
      </c>
      <c r="O433" s="1">
        <f>'[1]Forward Ranks'!AE433</f>
        <v>0.14410480349344978</v>
      </c>
      <c r="P433" s="1">
        <f>'[1]Forward Ranks'!AF433</f>
        <v>0.56550218340611358</v>
      </c>
      <c r="Q433">
        <f>'[1]Forward Ranks'!AH433</f>
        <v>0</v>
      </c>
      <c r="R433" s="1">
        <f>'[1]Forward Ranks'!AM433</f>
        <v>0.11790393013100436</v>
      </c>
      <c r="S433" s="1">
        <f>'[1]Forward Ranks'!AN433</f>
        <v>0.53493449781659386</v>
      </c>
      <c r="T433" s="1">
        <f>'[1]Forward Ranks'!AO433</f>
        <v>0.14192139737991266</v>
      </c>
      <c r="U433" s="1">
        <f>'[1]Forward Ranks'!AP433</f>
        <v>0.25327510917030566</v>
      </c>
      <c r="V433">
        <f>'[1]Forward Ranks'!AR433</f>
        <v>0</v>
      </c>
      <c r="W433" s="1">
        <f>'[1]Forward Ranks'!AW433</f>
        <v>0.60480349344978168</v>
      </c>
      <c r="X433" s="1">
        <f>'[1]Forward Ranks'!AX433</f>
        <v>0.90393013100436681</v>
      </c>
      <c r="Y433" s="1">
        <f>'[1]Forward Ranks'!AY433</f>
        <v>0.388646288209607</v>
      </c>
      <c r="Z433" s="1">
        <f>'[1]Forward Ranks'!AZ433</f>
        <v>0.86244541484716153</v>
      </c>
      <c r="AA433">
        <f>'[1]Forward Ranks'!BB433</f>
        <v>0</v>
      </c>
      <c r="AB433" s="1">
        <f>'[1]Forward Ranks'!BG433</f>
        <v>0.39956331877729256</v>
      </c>
      <c r="AC433" s="1">
        <f>'[1]Forward Ranks'!BH433</f>
        <v>0.44541484716157204</v>
      </c>
      <c r="AD433" s="1">
        <f>'[1]Forward Ranks'!BI433</f>
        <v>0.42358078602620086</v>
      </c>
      <c r="AE433" s="1">
        <f>'[1]Forward Ranks'!BJ433</f>
        <v>0.18995633187772926</v>
      </c>
      <c r="AF433">
        <f>'[1]Forward Ranks'!BL433</f>
        <v>0</v>
      </c>
      <c r="AG433" s="1">
        <f>'[1]Forward Ranks'!BQ433</f>
        <v>0.31222707423580787</v>
      </c>
      <c r="AH433" s="1">
        <f>'[1]Forward Ranks'!BR433</f>
        <v>0.50655021834061131</v>
      </c>
      <c r="AI433" s="1">
        <f>'[1]Forward Ranks'!BS433</f>
        <v>0.20305676855895197</v>
      </c>
      <c r="AJ433" s="1">
        <f>'[1]Forward Ranks'!BT433</f>
        <v>0.41703056768558949</v>
      </c>
      <c r="AL433" s="2">
        <f>'[1]Forward Ranks'!BX433</f>
        <v>0.31659388646288211</v>
      </c>
      <c r="AN433" t="str">
        <f>'[1]Forward Ranks'!B433</f>
        <v>BUF, MIN</v>
      </c>
      <c r="AO433">
        <f>'[1]F on ice'!E433</f>
        <v>71</v>
      </c>
      <c r="AP433" s="2">
        <f>'[1]Impact Score Math'!E433</f>
        <v>0.40080160320641284</v>
      </c>
      <c r="AQ433">
        <f>'[1]Impact Score Math'!G433</f>
        <v>300</v>
      </c>
      <c r="AT433" s="1">
        <f>'[1]Forward Ranks'!CJ433</f>
        <v>0.56550218340611358</v>
      </c>
      <c r="AU433" s="1">
        <f>'[1]Forward Ranks'!CK433</f>
        <v>0.68340611353711789</v>
      </c>
    </row>
    <row r="434" spans="1:47" x14ac:dyDescent="0.3">
      <c r="A434" t="str">
        <f>'[1]Forward Ranks'!A434</f>
        <v>Valeri Nichushkin</v>
      </c>
      <c r="B434">
        <f>'[1]Forward Ranks'!D434</f>
        <v>0</v>
      </c>
      <c r="C434" s="1">
        <f>'[1]Forward Ranks'!I434</f>
        <v>0.77292576419213976</v>
      </c>
      <c r="D434" s="1">
        <f>'[1]Forward Ranks'!J434</f>
        <v>0.44323144104803491</v>
      </c>
      <c r="E434" s="1">
        <f>'[1]Forward Ranks'!K434</f>
        <v>0.80786026200873362</v>
      </c>
      <c r="F434" s="1">
        <f>'[1]Forward Ranks'!L434</f>
        <v>0.56550218340611358</v>
      </c>
      <c r="G434">
        <f>'[1]Forward Ranks'!N434</f>
        <v>0</v>
      </c>
      <c r="H434" s="1">
        <f>'[1]Forward Ranks'!S434</f>
        <v>0.16812227074235808</v>
      </c>
      <c r="I434" s="1">
        <f>'[1]Forward Ranks'!T434</f>
        <v>0.92794759825327511</v>
      </c>
      <c r="J434" s="1">
        <f>'[1]Forward Ranks'!U434</f>
        <v>0.8253275109170306</v>
      </c>
      <c r="K434" s="1">
        <f>'[1]Forward Ranks'!V434</f>
        <v>0.71397379912663761</v>
      </c>
      <c r="L434">
        <f>'[1]Forward Ranks'!X434</f>
        <v>0</v>
      </c>
      <c r="M434" s="1">
        <f>'[1]Forward Ranks'!AC434</f>
        <v>0.68777292576419213</v>
      </c>
      <c r="N434" s="1">
        <f>'[1]Forward Ranks'!AD434</f>
        <v>0.60480349344978168</v>
      </c>
      <c r="O434" s="1">
        <f>'[1]Forward Ranks'!AE434</f>
        <v>0.80786026200873362</v>
      </c>
      <c r="P434" s="1">
        <f>'[1]Forward Ranks'!AF434</f>
        <v>0.69213973799126638</v>
      </c>
      <c r="Q434">
        <f>'[1]Forward Ranks'!AH434</f>
        <v>0</v>
      </c>
      <c r="R434" s="1">
        <f>'[1]Forward Ranks'!AM434</f>
        <v>0.72270742358078599</v>
      </c>
      <c r="S434" s="1">
        <f>'[1]Forward Ranks'!AN434</f>
        <v>0.59388646288209612</v>
      </c>
      <c r="T434" s="1">
        <f>'[1]Forward Ranks'!AO434</f>
        <v>0.78602620087336239</v>
      </c>
      <c r="U434" s="1">
        <f>'[1]Forward Ranks'!AP434</f>
        <v>0.58951965065502188</v>
      </c>
      <c r="V434">
        <f>'[1]Forward Ranks'!AR434</f>
        <v>0</v>
      </c>
      <c r="W434" s="1">
        <f>'[1]Forward Ranks'!AW434</f>
        <v>0.5240174672489083</v>
      </c>
      <c r="X434" s="1">
        <f>'[1]Forward Ranks'!AX434</f>
        <v>0.39082969432314413</v>
      </c>
      <c r="Y434" s="1">
        <f>'[1]Forward Ranks'!AY434</f>
        <v>0.31441048034934499</v>
      </c>
      <c r="Z434" s="1">
        <f>'[1]Forward Ranks'!AZ434</f>
        <v>0.39082969432314413</v>
      </c>
      <c r="AA434">
        <f>'[1]Forward Ranks'!BB434</f>
        <v>0</v>
      </c>
      <c r="AB434" s="1">
        <f>'[1]Forward Ranks'!BG434</f>
        <v>0.86244541484716153</v>
      </c>
      <c r="AC434" s="1">
        <f>'[1]Forward Ranks'!BH434</f>
        <v>0.71397379912663761</v>
      </c>
      <c r="AD434" s="1">
        <f>'[1]Forward Ranks'!BI434</f>
        <v>0.75764192139737996</v>
      </c>
      <c r="AE434" s="1">
        <f>'[1]Forward Ranks'!BJ434</f>
        <v>0.86026200873362446</v>
      </c>
      <c r="AF434">
        <f>'[1]Forward Ranks'!BL434</f>
        <v>0</v>
      </c>
      <c r="AG434" s="1">
        <f>'[1]Forward Ranks'!BQ434</f>
        <v>0.78820960698689957</v>
      </c>
      <c r="AH434" s="1">
        <f>'[1]Forward Ranks'!BR434</f>
        <v>0.49126637554585151</v>
      </c>
      <c r="AI434" s="1">
        <f>'[1]Forward Ranks'!BS434</f>
        <v>0.89301310043668125</v>
      </c>
      <c r="AJ434" s="1">
        <f>'[1]Forward Ranks'!BT434</f>
        <v>0.66375545851528384</v>
      </c>
      <c r="AL434" s="2">
        <f>'[1]Forward Ranks'!BX434</f>
        <v>0.74454148471615722</v>
      </c>
      <c r="AN434" t="str">
        <f>'[1]Forward Ranks'!B434</f>
        <v>COL</v>
      </c>
      <c r="AO434">
        <f>'[1]F on ice'!E434</f>
        <v>53</v>
      </c>
      <c r="AP434" s="2">
        <f>'[1]Impact Score Math'!E434</f>
        <v>0.83166332665330667</v>
      </c>
      <c r="AQ434">
        <f>'[1]Impact Score Math'!G434</f>
        <v>85</v>
      </c>
      <c r="AT434" s="1">
        <f>'[1]Forward Ranks'!CJ434</f>
        <v>0.98253275109170302</v>
      </c>
      <c r="AU434" s="1">
        <f>'[1]Forward Ranks'!CK434</f>
        <v>0.52183406113537123</v>
      </c>
    </row>
    <row r="435" spans="1:47" x14ac:dyDescent="0.3">
      <c r="A435" t="str">
        <f>'[1]Forward Ranks'!A435</f>
        <v>Vasily Podkolzin</v>
      </c>
      <c r="B435">
        <f>'[1]Forward Ranks'!D435</f>
        <v>0</v>
      </c>
      <c r="C435" s="1">
        <f>'[1]Forward Ranks'!I435</f>
        <v>0.31441048034934499</v>
      </c>
      <c r="D435" s="1">
        <f>'[1]Forward Ranks'!J435</f>
        <v>0.31222707423580787</v>
      </c>
      <c r="E435" s="1">
        <f>'[1]Forward Ranks'!K435</f>
        <v>0.15502183406113537</v>
      </c>
      <c r="F435" s="1">
        <f>'[1]Forward Ranks'!L435</f>
        <v>0.27292576419213976</v>
      </c>
      <c r="G435">
        <f>'[1]Forward Ranks'!N435</f>
        <v>0</v>
      </c>
      <c r="H435" s="1">
        <f>'[1]Forward Ranks'!S435</f>
        <v>0.33624454148471616</v>
      </c>
      <c r="I435" s="1">
        <f>'[1]Forward Ranks'!T435</f>
        <v>6.9868995633187769E-2</v>
      </c>
      <c r="J435" s="1">
        <f>'[1]Forward Ranks'!U435</f>
        <v>0.15065502183406113</v>
      </c>
      <c r="K435" s="1">
        <f>'[1]Forward Ranks'!V435</f>
        <v>8.296943231441048E-2</v>
      </c>
      <c r="L435">
        <f>'[1]Forward Ranks'!X435</f>
        <v>0</v>
      </c>
      <c r="M435" s="1">
        <f>'[1]Forward Ranks'!AC435</f>
        <v>0.49344978165938863</v>
      </c>
      <c r="N435" s="1">
        <f>'[1]Forward Ranks'!AD435</f>
        <v>0.83842794759825323</v>
      </c>
      <c r="O435" s="1">
        <f>'[1]Forward Ranks'!AE435</f>
        <v>0.62008733624454149</v>
      </c>
      <c r="P435" s="1">
        <f>'[1]Forward Ranks'!AF435</f>
        <v>0.4606986899563319</v>
      </c>
      <c r="Q435">
        <f>'[1]Forward Ranks'!AH435</f>
        <v>0</v>
      </c>
      <c r="R435" s="1">
        <f>'[1]Forward Ranks'!AM435</f>
        <v>0.60917030567685593</v>
      </c>
      <c r="S435" s="1">
        <f>'[1]Forward Ranks'!AN435</f>
        <v>0.33624454148471616</v>
      </c>
      <c r="T435" s="1">
        <f>'[1]Forward Ranks'!AO435</f>
        <v>9.1703056768558958E-2</v>
      </c>
      <c r="U435" s="1">
        <f>'[1]Forward Ranks'!AP435</f>
        <v>0.42139737991266374</v>
      </c>
      <c r="V435">
        <f>'[1]Forward Ranks'!AR435</f>
        <v>0</v>
      </c>
      <c r="W435" s="1">
        <f>'[1]Forward Ranks'!AW435</f>
        <v>0.388646288209607</v>
      </c>
      <c r="X435" s="1">
        <f>'[1]Forward Ranks'!AX435</f>
        <v>0.90611353711790388</v>
      </c>
      <c r="Y435" s="1">
        <f>'[1]Forward Ranks'!AY435</f>
        <v>0.86462882096069871</v>
      </c>
      <c r="Z435" s="1">
        <f>'[1]Forward Ranks'!AZ435</f>
        <v>0.46288209606986902</v>
      </c>
      <c r="AA435">
        <f>'[1]Forward Ranks'!BB435</f>
        <v>0</v>
      </c>
      <c r="AB435" s="1">
        <f>'[1]Forward Ranks'!BG435</f>
        <v>0.3296943231441048</v>
      </c>
      <c r="AC435" s="1">
        <f>'[1]Forward Ranks'!BH435</f>
        <v>0.82751091703056767</v>
      </c>
      <c r="AD435" s="1">
        <f>'[1]Forward Ranks'!BI435</f>
        <v>9.3886462882096067E-2</v>
      </c>
      <c r="AE435" s="1">
        <f>'[1]Forward Ranks'!BJ435</f>
        <v>0.31877729257641924</v>
      </c>
      <c r="AF435">
        <f>'[1]Forward Ranks'!BL435</f>
        <v>0</v>
      </c>
      <c r="AG435" s="1">
        <f>'[1]Forward Ranks'!BQ435</f>
        <v>0.35807860262008734</v>
      </c>
      <c r="AH435" s="1">
        <f>'[1]Forward Ranks'!BR435</f>
        <v>0.53711790393013104</v>
      </c>
      <c r="AI435" s="1">
        <f>'[1]Forward Ranks'!BS435</f>
        <v>0.23580786026200873</v>
      </c>
      <c r="AJ435" s="1">
        <f>'[1]Forward Ranks'!BT435</f>
        <v>0.30349344978165937</v>
      </c>
      <c r="AL435" s="2">
        <f>'[1]Forward Ranks'!BX435</f>
        <v>0.25545851528384278</v>
      </c>
      <c r="AN435" t="str">
        <f>'[1]Forward Ranks'!B435</f>
        <v>VAN</v>
      </c>
      <c r="AO435">
        <f>'[1]F on ice'!E435</f>
        <v>39</v>
      </c>
      <c r="AP435" s="2">
        <f>'[1]Impact Score Math'!E435</f>
        <v>0.31062124248496992</v>
      </c>
      <c r="AQ435">
        <f>'[1]Impact Score Math'!G435</f>
        <v>345</v>
      </c>
      <c r="AT435" s="1">
        <f>'[1]Forward Ranks'!CJ435</f>
        <v>0.8253275109170306</v>
      </c>
      <c r="AU435" s="1">
        <f>'[1]Forward Ranks'!CK435</f>
        <v>0.57205240174672489</v>
      </c>
    </row>
    <row r="436" spans="1:47" x14ac:dyDescent="0.3">
      <c r="A436" t="str">
        <f>'[1]Forward Ranks'!A436</f>
        <v>Victor Olofsson</v>
      </c>
      <c r="B436">
        <f>'[1]Forward Ranks'!D436</f>
        <v>0</v>
      </c>
      <c r="C436" s="1">
        <f>'[1]Forward Ranks'!I436</f>
        <v>0.45196506550218341</v>
      </c>
      <c r="D436" s="1">
        <f>'[1]Forward Ranks'!J436</f>
        <v>0.15502183406113537</v>
      </c>
      <c r="E436" s="1">
        <f>'[1]Forward Ranks'!K436</f>
        <v>0.43886462882096072</v>
      </c>
      <c r="F436" s="1">
        <f>'[1]Forward Ranks'!L436</f>
        <v>0.2816593886462882</v>
      </c>
      <c r="G436">
        <f>'[1]Forward Ranks'!N436</f>
        <v>0</v>
      </c>
      <c r="H436" s="1">
        <f>'[1]Forward Ranks'!S436</f>
        <v>0.92358078602620086</v>
      </c>
      <c r="I436" s="1">
        <f>'[1]Forward Ranks'!T436</f>
        <v>7.2052401746724892E-2</v>
      </c>
      <c r="J436" s="1">
        <f>'[1]Forward Ranks'!U436</f>
        <v>0.23144104803493451</v>
      </c>
      <c r="K436" s="1">
        <f>'[1]Forward Ranks'!V436</f>
        <v>0.51310043668122274</v>
      </c>
      <c r="L436">
        <f>'[1]Forward Ranks'!X436</f>
        <v>0</v>
      </c>
      <c r="M436" s="1">
        <f>'[1]Forward Ranks'!AC436</f>
        <v>0.41703056768558949</v>
      </c>
      <c r="N436" s="1">
        <f>'[1]Forward Ranks'!AD436</f>
        <v>0.23580786026200873</v>
      </c>
      <c r="O436" s="1">
        <f>'[1]Forward Ranks'!AE436</f>
        <v>2.6200873362445413E-2</v>
      </c>
      <c r="P436" s="1">
        <f>'[1]Forward Ranks'!AF436</f>
        <v>0.21179039301310043</v>
      </c>
      <c r="Q436">
        <f>'[1]Forward Ranks'!AH436</f>
        <v>0</v>
      </c>
      <c r="R436" s="1">
        <f>'[1]Forward Ranks'!AM436</f>
        <v>0.27510917030567683</v>
      </c>
      <c r="S436" s="1">
        <f>'[1]Forward Ranks'!AN436</f>
        <v>0.10480349344978165</v>
      </c>
      <c r="T436" s="1">
        <f>'[1]Forward Ranks'!AO436</f>
        <v>0.2183406113537118</v>
      </c>
      <c r="U436" s="1">
        <f>'[1]Forward Ranks'!AP436</f>
        <v>0.15720524017467249</v>
      </c>
      <c r="V436">
        <f>'[1]Forward Ranks'!AR436</f>
        <v>0</v>
      </c>
      <c r="W436" s="1">
        <f>'[1]Forward Ranks'!AW436</f>
        <v>0.42358078602620086</v>
      </c>
      <c r="X436" s="1">
        <f>'[1]Forward Ranks'!AX436</f>
        <v>0.48253275109170307</v>
      </c>
      <c r="Y436" s="1">
        <f>'[1]Forward Ranks'!AY436</f>
        <v>6.768558951965066E-2</v>
      </c>
      <c r="Z436" s="1">
        <f>'[1]Forward Ranks'!AZ436</f>
        <v>0.35807860262008734</v>
      </c>
      <c r="AA436">
        <f>'[1]Forward Ranks'!BB436</f>
        <v>0</v>
      </c>
      <c r="AB436" s="1">
        <f>'[1]Forward Ranks'!BG436</f>
        <v>0.33842794759825329</v>
      </c>
      <c r="AC436" s="1">
        <f>'[1]Forward Ranks'!BH436</f>
        <v>0.48689956331877732</v>
      </c>
      <c r="AD436" s="1">
        <f>'[1]Forward Ranks'!BI436</f>
        <v>0.41703056768558949</v>
      </c>
      <c r="AE436" s="1">
        <f>'[1]Forward Ranks'!BJ436</f>
        <v>5.0218340611353711E-2</v>
      </c>
      <c r="AF436">
        <f>'[1]Forward Ranks'!BL436</f>
        <v>0</v>
      </c>
      <c r="AG436" s="1">
        <f>'[1]Forward Ranks'!BQ436</f>
        <v>0.42576419213973798</v>
      </c>
      <c r="AH436" s="1">
        <f>'[1]Forward Ranks'!BR436</f>
        <v>0.14628820960698691</v>
      </c>
      <c r="AI436" s="1">
        <f>'[1]Forward Ranks'!BS436</f>
        <v>0.13537117903930132</v>
      </c>
      <c r="AJ436" s="1">
        <f>'[1]Forward Ranks'!BT436</f>
        <v>0.2205240174672489</v>
      </c>
      <c r="AL436" s="2">
        <f>'[1]Forward Ranks'!BX436</f>
        <v>0.23362445414847161</v>
      </c>
      <c r="AN436" t="str">
        <f>'[1]Forward Ranks'!B436</f>
        <v>BUF</v>
      </c>
      <c r="AO436">
        <f>'[1]F on ice'!E436</f>
        <v>75</v>
      </c>
      <c r="AP436" s="2">
        <f>'[1]Impact Score Math'!E436</f>
        <v>0.28857715430861725</v>
      </c>
      <c r="AQ436">
        <f>'[1]Impact Score Math'!G436</f>
        <v>356</v>
      </c>
      <c r="AT436" s="1">
        <f>'[1]Forward Ranks'!CJ436</f>
        <v>0.98908296943231444</v>
      </c>
      <c r="AU436" s="1">
        <f>'[1]Forward Ranks'!CK436</f>
        <v>0.35589519650655022</v>
      </c>
    </row>
    <row r="437" spans="1:47" x14ac:dyDescent="0.3">
      <c r="A437" t="str">
        <f>'[1]Forward Ranks'!A437</f>
        <v>Viktor Arvidsson</v>
      </c>
      <c r="B437">
        <f>'[1]Forward Ranks'!D437</f>
        <v>0</v>
      </c>
      <c r="C437" s="1">
        <f>'[1]Forward Ranks'!I437</f>
        <v>0.82969432314410485</v>
      </c>
      <c r="D437" s="1">
        <f>'[1]Forward Ranks'!J437</f>
        <v>0.67903930131004364</v>
      </c>
      <c r="E437" s="1">
        <f>'[1]Forward Ranks'!K437</f>
        <v>0.37117903930131002</v>
      </c>
      <c r="F437" s="1">
        <f>'[1]Forward Ranks'!L437</f>
        <v>0.70960698689956336</v>
      </c>
      <c r="G437">
        <f>'[1]Forward Ranks'!N437</f>
        <v>0</v>
      </c>
      <c r="H437" s="1">
        <f>'[1]Forward Ranks'!S437</f>
        <v>0.51528384279475981</v>
      </c>
      <c r="I437" s="1">
        <f>'[1]Forward Ranks'!T437</f>
        <v>0.40393013100436681</v>
      </c>
      <c r="J437" s="1">
        <f>'[1]Forward Ranks'!U437</f>
        <v>0.65938864628820959</v>
      </c>
      <c r="K437" s="1">
        <f>'[1]Forward Ranks'!V437</f>
        <v>0.43449781659388648</v>
      </c>
      <c r="L437">
        <f>'[1]Forward Ranks'!X437</f>
        <v>0</v>
      </c>
      <c r="M437" s="1">
        <f>'[1]Forward Ranks'!AC437</f>
        <v>0.81659388646288211</v>
      </c>
      <c r="N437" s="1">
        <f>'[1]Forward Ranks'!AD437</f>
        <v>0.8253275109170306</v>
      </c>
      <c r="O437" s="1">
        <f>'[1]Forward Ranks'!AE437</f>
        <v>0.73362445414847166</v>
      </c>
      <c r="P437" s="1">
        <f>'[1]Forward Ranks'!AF437</f>
        <v>0.75109170305676853</v>
      </c>
      <c r="Q437">
        <f>'[1]Forward Ranks'!AH437</f>
        <v>0</v>
      </c>
      <c r="R437" s="1">
        <f>'[1]Forward Ranks'!AM437</f>
        <v>0.75982532751091703</v>
      </c>
      <c r="S437" s="1">
        <f>'[1]Forward Ranks'!AN437</f>
        <v>0.47379912663755458</v>
      </c>
      <c r="T437" s="1">
        <f>'[1]Forward Ranks'!AO437</f>
        <v>0.31004366812227074</v>
      </c>
      <c r="U437" s="1">
        <f>'[1]Forward Ranks'!AP437</f>
        <v>0.68558951965065507</v>
      </c>
      <c r="V437">
        <f>'[1]Forward Ranks'!AR437</f>
        <v>0</v>
      </c>
      <c r="W437" s="1">
        <f>'[1]Forward Ranks'!AW437</f>
        <v>0.37117903930131002</v>
      </c>
      <c r="X437" s="1">
        <f>'[1]Forward Ranks'!AX437</f>
        <v>0.5873362445414847</v>
      </c>
      <c r="Y437" s="1">
        <f>'[1]Forward Ranks'!AY437</f>
        <v>0.73144104803493448</v>
      </c>
      <c r="Z437" s="1">
        <f>'[1]Forward Ranks'!AZ437</f>
        <v>0.41921397379912662</v>
      </c>
      <c r="AA437">
        <f>'[1]Forward Ranks'!BB437</f>
        <v>0</v>
      </c>
      <c r="AB437" s="1">
        <f>'[1]Forward Ranks'!BG437</f>
        <v>0.8733624454148472</v>
      </c>
      <c r="AC437" s="1">
        <f>'[1]Forward Ranks'!BH437</f>
        <v>0.34716157205240172</v>
      </c>
      <c r="AD437" s="1">
        <f>'[1]Forward Ranks'!BI437</f>
        <v>0.19868995633187772</v>
      </c>
      <c r="AE437" s="1">
        <f>'[1]Forward Ranks'!BJ437</f>
        <v>0.33187772925764192</v>
      </c>
      <c r="AF437">
        <f>'[1]Forward Ranks'!BL437</f>
        <v>0</v>
      </c>
      <c r="AG437" s="1">
        <f>'[1]Forward Ranks'!BQ437</f>
        <v>0.86899563318777295</v>
      </c>
      <c r="AH437" s="1">
        <f>'[1]Forward Ranks'!BR437</f>
        <v>0.78820960698689957</v>
      </c>
      <c r="AI437" s="1">
        <f>'[1]Forward Ranks'!BS437</f>
        <v>0.5633187772925764</v>
      </c>
      <c r="AJ437" s="1">
        <f>'[1]Forward Ranks'!BT437</f>
        <v>0.79912663755458513</v>
      </c>
      <c r="AL437" s="2">
        <f>'[1]Forward Ranks'!BX437</f>
        <v>0.78602620087336239</v>
      </c>
      <c r="AN437" t="str">
        <f>'[1]Forward Ranks'!B437</f>
        <v>L.A</v>
      </c>
      <c r="AO437">
        <f>'[1]F on ice'!E437</f>
        <v>77</v>
      </c>
      <c r="AP437" s="2">
        <f>'[1]Impact Score Math'!E437</f>
        <v>0.87775551102204408</v>
      </c>
      <c r="AQ437">
        <f>'[1]Impact Score Math'!G437</f>
        <v>62</v>
      </c>
      <c r="AT437" s="1">
        <f>'[1]Forward Ranks'!CJ437</f>
        <v>0.59170305676855894</v>
      </c>
      <c r="AU437" s="1">
        <f>'[1]Forward Ranks'!CK437</f>
        <v>0.78165938864628826</v>
      </c>
    </row>
    <row r="438" spans="1:47" x14ac:dyDescent="0.3">
      <c r="A438" t="str">
        <f>'[1]Forward Ranks'!A438</f>
        <v>Vincent Trocheck</v>
      </c>
      <c r="B438">
        <f>'[1]Forward Ranks'!D438</f>
        <v>0</v>
      </c>
      <c r="C438" s="1">
        <f>'[1]Forward Ranks'!I438</f>
        <v>0.70742358078602618</v>
      </c>
      <c r="D438" s="1">
        <f>'[1]Forward Ranks'!J438</f>
        <v>0.62882096069868998</v>
      </c>
      <c r="E438" s="1">
        <f>'[1]Forward Ranks'!K438</f>
        <v>0.63100436681222705</v>
      </c>
      <c r="F438" s="1">
        <f>'[1]Forward Ranks'!L438</f>
        <v>0.68777292576419213</v>
      </c>
      <c r="G438">
        <f>'[1]Forward Ranks'!N438</f>
        <v>0</v>
      </c>
      <c r="H438" s="1">
        <f>'[1]Forward Ranks'!S438</f>
        <v>0.27510917030567683</v>
      </c>
      <c r="I438" s="1">
        <f>'[1]Forward Ranks'!T438</f>
        <v>0.89519650655021832</v>
      </c>
      <c r="J438" s="1">
        <f>'[1]Forward Ranks'!U438</f>
        <v>0.94978165938864634</v>
      </c>
      <c r="K438" s="1">
        <f>'[1]Forward Ranks'!V438</f>
        <v>0.74454148471615722</v>
      </c>
      <c r="L438">
        <f>'[1]Forward Ranks'!X438</f>
        <v>0</v>
      </c>
      <c r="M438" s="1">
        <f>'[1]Forward Ranks'!AC438</f>
        <v>0.77074235807860259</v>
      </c>
      <c r="N438" s="1">
        <f>'[1]Forward Ranks'!AD438</f>
        <v>0.388646288209607</v>
      </c>
      <c r="O438" s="1">
        <f>'[1]Forward Ranks'!AE438</f>
        <v>0.51965065502183405</v>
      </c>
      <c r="P438" s="1">
        <f>'[1]Forward Ranks'!AF438</f>
        <v>0.4606986899563319</v>
      </c>
      <c r="Q438">
        <f>'[1]Forward Ranks'!AH438</f>
        <v>0</v>
      </c>
      <c r="R438" s="1">
        <f>'[1]Forward Ranks'!AM438</f>
        <v>0.86899563318777295</v>
      </c>
      <c r="S438" s="1">
        <f>'[1]Forward Ranks'!AN438</f>
        <v>0.67903930131004364</v>
      </c>
      <c r="T438" s="1">
        <f>'[1]Forward Ranks'!AO438</f>
        <v>0.5633187772925764</v>
      </c>
      <c r="U438" s="1">
        <f>'[1]Forward Ranks'!AP438</f>
        <v>0.80786026200873362</v>
      </c>
      <c r="V438">
        <f>'[1]Forward Ranks'!AR438</f>
        <v>0</v>
      </c>
      <c r="W438" s="1">
        <f>'[1]Forward Ranks'!AW438</f>
        <v>0.67903930131004364</v>
      </c>
      <c r="X438" s="1">
        <f>'[1]Forward Ranks'!AX438</f>
        <v>0.50436681222707425</v>
      </c>
      <c r="Y438" s="1">
        <f>'[1]Forward Ranks'!AY438</f>
        <v>0.27292576419213976</v>
      </c>
      <c r="Z438" s="1">
        <f>'[1]Forward Ranks'!AZ438</f>
        <v>0.46288209606986902</v>
      </c>
      <c r="AA438">
        <f>'[1]Forward Ranks'!BB438</f>
        <v>0</v>
      </c>
      <c r="AB438" s="1">
        <f>'[1]Forward Ranks'!BG438</f>
        <v>0.93886462882096067</v>
      </c>
      <c r="AC438" s="1">
        <f>'[1]Forward Ranks'!BH438</f>
        <v>0.36026200873362446</v>
      </c>
      <c r="AD438" s="1">
        <f>'[1]Forward Ranks'!BI438</f>
        <v>0.59606986899563319</v>
      </c>
      <c r="AE438" s="1">
        <f>'[1]Forward Ranks'!BJ438</f>
        <v>0.49126637554585151</v>
      </c>
      <c r="AF438">
        <f>'[1]Forward Ranks'!BL438</f>
        <v>0</v>
      </c>
      <c r="AG438" s="1">
        <f>'[1]Forward Ranks'!BQ438</f>
        <v>0.78820960698689957</v>
      </c>
      <c r="AH438" s="1">
        <f>'[1]Forward Ranks'!BR438</f>
        <v>0.49781659388646288</v>
      </c>
      <c r="AI438" s="1">
        <f>'[1]Forward Ranks'!BS438</f>
        <v>0.60698689956331875</v>
      </c>
      <c r="AJ438" s="1">
        <f>'[1]Forward Ranks'!BT438</f>
        <v>0.62227074235807855</v>
      </c>
      <c r="AL438" s="2">
        <f>'[1]Forward Ranks'!BX438</f>
        <v>0.81877729257641918</v>
      </c>
      <c r="AN438" t="str">
        <f>'[1]Forward Ranks'!B438</f>
        <v>NYR</v>
      </c>
      <c r="AO438">
        <f>'[1]F on ice'!E438</f>
        <v>82</v>
      </c>
      <c r="AP438" s="2">
        <f>'[1]Impact Score Math'!E438</f>
        <v>0.91382765531062127</v>
      </c>
      <c r="AQ438">
        <f>'[1]Impact Score Math'!G438</f>
        <v>44</v>
      </c>
      <c r="AT438" s="1">
        <f>'[1]Forward Ranks'!CJ438</f>
        <v>0.19213973799126638</v>
      </c>
      <c r="AU438" s="1">
        <f>'[1]Forward Ranks'!CK438</f>
        <v>0.60043668122270744</v>
      </c>
    </row>
    <row r="439" spans="1:47" x14ac:dyDescent="0.3">
      <c r="A439" t="str">
        <f>'[1]Forward Ranks'!A439</f>
        <v>Vinnie Hinostroza</v>
      </c>
      <c r="B439">
        <f>'[1]Forward Ranks'!D439</f>
        <v>0</v>
      </c>
      <c r="C439" s="1">
        <f>'[1]Forward Ranks'!I439</f>
        <v>0.60043668122270744</v>
      </c>
      <c r="D439" s="1">
        <f>'[1]Forward Ranks'!J439</f>
        <v>0.12663755458515283</v>
      </c>
      <c r="E439" s="1">
        <f>'[1]Forward Ranks'!K439</f>
        <v>0.56550218340611358</v>
      </c>
      <c r="F439" s="1">
        <f>'[1]Forward Ranks'!L439</f>
        <v>0.44323144104803491</v>
      </c>
      <c r="G439">
        <f>'[1]Forward Ranks'!N439</f>
        <v>0</v>
      </c>
      <c r="H439" s="1">
        <f>'[1]Forward Ranks'!S439</f>
        <v>0.14847161572052403</v>
      </c>
      <c r="I439" s="1">
        <f>'[1]Forward Ranks'!T439</f>
        <v>0.90611353711790388</v>
      </c>
      <c r="J439" s="1">
        <f>'[1]Forward Ranks'!U439</f>
        <v>0.75109170305676853</v>
      </c>
      <c r="K439" s="1">
        <f>'[1]Forward Ranks'!V439</f>
        <v>0.67030567685589515</v>
      </c>
      <c r="L439">
        <f>'[1]Forward Ranks'!X439</f>
        <v>0</v>
      </c>
      <c r="M439" s="1">
        <f>'[1]Forward Ranks'!AC439</f>
        <v>0.1943231441048035</v>
      </c>
      <c r="N439" s="1">
        <f>'[1]Forward Ranks'!AD439</f>
        <v>2.1834061135371178E-2</v>
      </c>
      <c r="O439" s="1">
        <f>'[1]Forward Ranks'!AE439</f>
        <v>0.31877729257641924</v>
      </c>
      <c r="P439" s="1">
        <f>'[1]Forward Ranks'!AF439</f>
        <v>6.5502183406113537E-2</v>
      </c>
      <c r="Q439">
        <f>'[1]Forward Ranks'!AH439</f>
        <v>0</v>
      </c>
      <c r="R439" s="1">
        <f>'[1]Forward Ranks'!AM439</f>
        <v>0.53056768558951961</v>
      </c>
      <c r="S439" s="1">
        <f>'[1]Forward Ranks'!AN439</f>
        <v>6.9868995633187769E-2</v>
      </c>
      <c r="T439" s="1">
        <f>'[1]Forward Ranks'!AO439</f>
        <v>0.61572052401746724</v>
      </c>
      <c r="U439" s="1">
        <f>'[1]Forward Ranks'!AP439</f>
        <v>0.26200873362445415</v>
      </c>
      <c r="V439">
        <f>'[1]Forward Ranks'!AR439</f>
        <v>0</v>
      </c>
      <c r="W439" s="1">
        <f>'[1]Forward Ranks'!AW439</f>
        <v>0.36462882096069871</v>
      </c>
      <c r="X439" s="1">
        <f>'[1]Forward Ranks'!AX439</f>
        <v>4.8034934497816595E-2</v>
      </c>
      <c r="Y439" s="1">
        <f>'[1]Forward Ranks'!AY439</f>
        <v>0.69868995633187769</v>
      </c>
      <c r="Z439" s="1">
        <f>'[1]Forward Ranks'!AZ439</f>
        <v>0.25545851528384278</v>
      </c>
      <c r="AA439">
        <f>'[1]Forward Ranks'!BB439</f>
        <v>0</v>
      </c>
      <c r="AB439" s="1">
        <f>'[1]Forward Ranks'!BG439</f>
        <v>0.51310043668122274</v>
      </c>
      <c r="AC439" s="1">
        <f>'[1]Forward Ranks'!BH439</f>
        <v>0.31004366812227074</v>
      </c>
      <c r="AD439" s="1">
        <f>'[1]Forward Ranks'!BI439</f>
        <v>0.48689956331877732</v>
      </c>
      <c r="AE439" s="1">
        <f>'[1]Forward Ranks'!BJ439</f>
        <v>0.54803493449781659</v>
      </c>
      <c r="AF439">
        <f>'[1]Forward Ranks'!BL439</f>
        <v>0</v>
      </c>
      <c r="AG439" s="1">
        <f>'[1]Forward Ranks'!BQ439</f>
        <v>0.40611353711790393</v>
      </c>
      <c r="AH439" s="1">
        <f>'[1]Forward Ranks'!BR439</f>
        <v>3.2751091703056769E-2</v>
      </c>
      <c r="AI439" s="1">
        <f>'[1]Forward Ranks'!BS439</f>
        <v>0.41703056768558949</v>
      </c>
      <c r="AJ439" s="1">
        <f>'[1]Forward Ranks'!BT439</f>
        <v>0.18558951965065501</v>
      </c>
      <c r="AL439" s="2">
        <f>'[1]Forward Ranks'!BX439</f>
        <v>0.27074235807860264</v>
      </c>
      <c r="AN439" t="str">
        <f>'[1]Forward Ranks'!B439</f>
        <v>BUF</v>
      </c>
      <c r="AO439">
        <f>'[1]F on ice'!E439</f>
        <v>26</v>
      </c>
      <c r="AP439" s="2">
        <f>'[1]Impact Score Math'!E439</f>
        <v>0.39078156312625251</v>
      </c>
      <c r="AQ439">
        <f>'[1]Impact Score Math'!G439</f>
        <v>305</v>
      </c>
      <c r="AT439" s="1">
        <f>'[1]Forward Ranks'!CJ439</f>
        <v>0.6506550218340611</v>
      </c>
      <c r="AU439" s="1">
        <f>'[1]Forward Ranks'!CK439</f>
        <v>0.67248908296943233</v>
      </c>
    </row>
    <row r="440" spans="1:47" x14ac:dyDescent="0.3">
      <c r="A440" t="str">
        <f>'[1]Forward Ranks'!A440</f>
        <v>Vitali Kravtsov</v>
      </c>
      <c r="B440">
        <f>'[1]Forward Ranks'!D440</f>
        <v>0</v>
      </c>
      <c r="C440" s="1">
        <f>'[1]Forward Ranks'!I440</f>
        <v>0.20305676855895197</v>
      </c>
      <c r="D440" s="1">
        <f>'[1]Forward Ranks'!J440</f>
        <v>0.33406113537117904</v>
      </c>
      <c r="E440" s="1">
        <f>'[1]Forward Ranks'!K440</f>
        <v>0.11353711790393013</v>
      </c>
      <c r="F440" s="1">
        <f>'[1]Forward Ranks'!L440</f>
        <v>0.20087336244541484</v>
      </c>
      <c r="G440">
        <f>'[1]Forward Ranks'!N440</f>
        <v>0</v>
      </c>
      <c r="H440" s="1">
        <f>'[1]Forward Ranks'!S440</f>
        <v>0.15502183406113537</v>
      </c>
      <c r="I440" s="1">
        <f>'[1]Forward Ranks'!T440</f>
        <v>3.7117903930131008E-2</v>
      </c>
      <c r="J440" s="1">
        <f>'[1]Forward Ranks'!U440</f>
        <v>2.1834061135371178E-3</v>
      </c>
      <c r="K440" s="1">
        <f>'[1]Forward Ranks'!V440</f>
        <v>2.8384279475982533E-2</v>
      </c>
      <c r="L440">
        <f>'[1]Forward Ranks'!X440</f>
        <v>0</v>
      </c>
      <c r="M440" s="1">
        <f>'[1]Forward Ranks'!AC440</f>
        <v>0.73362445414847166</v>
      </c>
      <c r="N440" s="1">
        <f>'[1]Forward Ranks'!AD440</f>
        <v>0.77729257641921401</v>
      </c>
      <c r="O440" s="1">
        <f>'[1]Forward Ranks'!AE440</f>
        <v>0.98689956331877726</v>
      </c>
      <c r="P440" s="1">
        <f>'[1]Forward Ranks'!AF440</f>
        <v>0.77947598253275108</v>
      </c>
      <c r="Q440">
        <f>'[1]Forward Ranks'!AH440</f>
        <v>0</v>
      </c>
      <c r="R440" s="1">
        <f>'[1]Forward Ranks'!AM440</f>
        <v>0.26855895196506552</v>
      </c>
      <c r="S440" s="1">
        <f>'[1]Forward Ranks'!AN440</f>
        <v>0.31441048034934499</v>
      </c>
      <c r="T440" s="1">
        <f>'[1]Forward Ranks'!AO440</f>
        <v>9.1703056768558958E-2</v>
      </c>
      <c r="U440" s="1">
        <f>'[1]Forward Ranks'!AP440</f>
        <v>0.23580786026200873</v>
      </c>
      <c r="V440">
        <f>'[1]Forward Ranks'!AR440</f>
        <v>0</v>
      </c>
      <c r="W440" s="1">
        <f>'[1]Forward Ranks'!AW440</f>
        <v>0.4759825327510917</v>
      </c>
      <c r="X440" s="1">
        <f>'[1]Forward Ranks'!AX440</f>
        <v>0.75327510917030571</v>
      </c>
      <c r="Y440" s="1">
        <f>'[1]Forward Ranks'!AY440</f>
        <v>0.94104803493449785</v>
      </c>
      <c r="Z440" s="1">
        <f>'[1]Forward Ranks'!AZ440</f>
        <v>0.60917030567685593</v>
      </c>
      <c r="AA440">
        <f>'[1]Forward Ranks'!BB440</f>
        <v>0</v>
      </c>
      <c r="AB440" s="1">
        <f>'[1]Forward Ranks'!BG440</f>
        <v>0.19868995633187772</v>
      </c>
      <c r="AC440" s="1">
        <f>'[1]Forward Ranks'!BH440</f>
        <v>0.79475982532751088</v>
      </c>
      <c r="AD440" s="1">
        <f>'[1]Forward Ranks'!BI440</f>
        <v>0.14847161572052403</v>
      </c>
      <c r="AE440" s="1">
        <f>'[1]Forward Ranks'!BJ440</f>
        <v>0.80349344978165937</v>
      </c>
      <c r="AF440">
        <f>'[1]Forward Ranks'!BL440</f>
        <v>0</v>
      </c>
      <c r="AG440" s="1">
        <f>'[1]Forward Ranks'!BQ440</f>
        <v>0.4126637554585153</v>
      </c>
      <c r="AH440" s="1">
        <f>'[1]Forward Ranks'!BR440</f>
        <v>0.49781659388646288</v>
      </c>
      <c r="AI440" s="1">
        <f>'[1]Forward Ranks'!BS440</f>
        <v>0.79039301310043664</v>
      </c>
      <c r="AJ440" s="1">
        <f>'[1]Forward Ranks'!BT440</f>
        <v>0.38209606986899564</v>
      </c>
      <c r="AL440" s="2">
        <f>'[1]Forward Ranks'!BX440</f>
        <v>0.21397379912663755</v>
      </c>
      <c r="AN440" t="str">
        <f>'[1]Forward Ranks'!B440</f>
        <v>NYR, VAN</v>
      </c>
      <c r="AO440">
        <f>'[1]F on ice'!E440</f>
        <v>44</v>
      </c>
      <c r="AP440" s="2">
        <f>'[1]Impact Score Math'!E440</f>
        <v>0.26052104208416832</v>
      </c>
      <c r="AQ440">
        <f>'[1]Impact Score Math'!G440</f>
        <v>370</v>
      </c>
      <c r="AT440" s="1">
        <f>'[1]Forward Ranks'!CJ440</f>
        <v>0.70960698689956336</v>
      </c>
      <c r="AU440" s="1">
        <f>'[1]Forward Ranks'!CK440</f>
        <v>2.1834061135371178E-3</v>
      </c>
    </row>
    <row r="441" spans="1:47" x14ac:dyDescent="0.3">
      <c r="A441" t="str">
        <f>'[1]Forward Ranks'!A441</f>
        <v>Vladimir Tarasenko</v>
      </c>
      <c r="B441">
        <f>'[1]Forward Ranks'!D441</f>
        <v>0</v>
      </c>
      <c r="C441" s="1">
        <f>'[1]Forward Ranks'!I441</f>
        <v>0.29912663755458513</v>
      </c>
      <c r="D441" s="1">
        <f>'[1]Forward Ranks'!J441</f>
        <v>0.2423580786026201</v>
      </c>
      <c r="E441" s="1">
        <f>'[1]Forward Ranks'!K441</f>
        <v>0.72707423580786024</v>
      </c>
      <c r="F441" s="1">
        <f>'[1]Forward Ranks'!L441</f>
        <v>0.34716157205240172</v>
      </c>
      <c r="G441">
        <f>'[1]Forward Ranks'!N441</f>
        <v>0</v>
      </c>
      <c r="H441" s="1">
        <f>'[1]Forward Ranks'!S441</f>
        <v>0.63318777292576423</v>
      </c>
      <c r="I441" s="1">
        <f>'[1]Forward Ranks'!T441</f>
        <v>0.73580786026200873</v>
      </c>
      <c r="J441" s="1">
        <f>'[1]Forward Ranks'!U441</f>
        <v>0.61790393013100442</v>
      </c>
      <c r="K441" s="1">
        <f>'[1]Forward Ranks'!V441</f>
        <v>0.73580786026200873</v>
      </c>
      <c r="L441">
        <f>'[1]Forward Ranks'!X441</f>
        <v>0</v>
      </c>
      <c r="M441" s="1">
        <f>'[1]Forward Ranks'!AC441</f>
        <v>0.10043668122270742</v>
      </c>
      <c r="N441" s="1">
        <f>'[1]Forward Ranks'!AD441</f>
        <v>9.606986899563319E-2</v>
      </c>
      <c r="O441" s="1">
        <f>'[1]Forward Ranks'!AE441</f>
        <v>0.29039301310043669</v>
      </c>
      <c r="P441" s="1">
        <f>'[1]Forward Ranks'!AF441</f>
        <v>7.8602620087336247E-2</v>
      </c>
      <c r="Q441">
        <f>'[1]Forward Ranks'!AH441</f>
        <v>0</v>
      </c>
      <c r="R441" s="1">
        <f>'[1]Forward Ranks'!AM441</f>
        <v>0.54585152838427953</v>
      </c>
      <c r="S441" s="1">
        <f>'[1]Forward Ranks'!AN441</f>
        <v>0.29475982532751094</v>
      </c>
      <c r="T441" s="1">
        <f>'[1]Forward Ranks'!AO441</f>
        <v>0.76855895196506552</v>
      </c>
      <c r="U441" s="1">
        <f>'[1]Forward Ranks'!AP441</f>
        <v>0.47379912663755458</v>
      </c>
      <c r="V441">
        <f>'[1]Forward Ranks'!AR441</f>
        <v>0</v>
      </c>
      <c r="W441" s="1">
        <f>'[1]Forward Ranks'!AW441</f>
        <v>5.6768558951965066E-2</v>
      </c>
      <c r="X441" s="1">
        <f>'[1]Forward Ranks'!AX441</f>
        <v>0.1965065502183406</v>
      </c>
      <c r="Y441" s="1">
        <f>'[1]Forward Ranks'!AY441</f>
        <v>0.4126637554585153</v>
      </c>
      <c r="Z441" s="1">
        <f>'[1]Forward Ranks'!AZ441</f>
        <v>0.11572052401746726</v>
      </c>
      <c r="AA441">
        <f>'[1]Forward Ranks'!BB441</f>
        <v>0</v>
      </c>
      <c r="AB441" s="1">
        <f>'[1]Forward Ranks'!BG441</f>
        <v>0.81877729257641918</v>
      </c>
      <c r="AC441" s="1">
        <f>'[1]Forward Ranks'!BH441</f>
        <v>0.69868995633187769</v>
      </c>
      <c r="AD441" s="1">
        <f>'[1]Forward Ranks'!BI441</f>
        <v>0.88646288209606983</v>
      </c>
      <c r="AE441" s="1">
        <f>'[1]Forward Ranks'!BJ441</f>
        <v>0.81877729257641918</v>
      </c>
      <c r="AF441">
        <f>'[1]Forward Ranks'!BL441</f>
        <v>0</v>
      </c>
      <c r="AG441" s="1">
        <f>'[1]Forward Ranks'!BQ441</f>
        <v>0.14410480349344978</v>
      </c>
      <c r="AH441" s="1">
        <f>'[1]Forward Ranks'!BR441</f>
        <v>0.1222707423580786</v>
      </c>
      <c r="AI441" s="1">
        <f>'[1]Forward Ranks'!BS441</f>
        <v>0.5393013100436681</v>
      </c>
      <c r="AJ441" s="1">
        <f>'[1]Forward Ranks'!BT441</f>
        <v>0.16157205240174671</v>
      </c>
      <c r="AL441" s="2">
        <f>'[1]Forward Ranks'!BX441</f>
        <v>0.20524017467248909</v>
      </c>
      <c r="AN441" t="str">
        <f>'[1]Forward Ranks'!B441</f>
        <v>NYR, STL</v>
      </c>
      <c r="AO441">
        <f>'[1]F on ice'!E441</f>
        <v>69</v>
      </c>
      <c r="AP441" s="2">
        <f>'[1]Impact Score Math'!E441</f>
        <v>0.36673346693386771</v>
      </c>
      <c r="AQ441">
        <f>'[1]Impact Score Math'!G441</f>
        <v>317</v>
      </c>
      <c r="AT441" s="1">
        <f>'[1]Forward Ranks'!CJ441</f>
        <v>0.91484716157205237</v>
      </c>
      <c r="AU441" s="1">
        <f>'[1]Forward Ranks'!CK441</f>
        <v>0.63755458515283847</v>
      </c>
    </row>
    <row r="442" spans="1:47" x14ac:dyDescent="0.3">
      <c r="A442" t="str">
        <f>'[1]Forward Ranks'!A442</f>
        <v>Vladislav Namestnikov</v>
      </c>
      <c r="B442">
        <f>'[1]Forward Ranks'!D442</f>
        <v>0</v>
      </c>
      <c r="C442" s="1">
        <f>'[1]Forward Ranks'!I442</f>
        <v>0.611353711790393</v>
      </c>
      <c r="D442" s="1">
        <f>'[1]Forward Ranks'!J442</f>
        <v>0.81441048034934493</v>
      </c>
      <c r="E442" s="1">
        <f>'[1]Forward Ranks'!K442</f>
        <v>0.46943231441048033</v>
      </c>
      <c r="F442" s="1">
        <f>'[1]Forward Ranks'!L442</f>
        <v>0.70960698689956336</v>
      </c>
      <c r="G442">
        <f>'[1]Forward Ranks'!N442</f>
        <v>0</v>
      </c>
      <c r="H442" s="1">
        <f>'[1]Forward Ranks'!S442</f>
        <v>0.29694323144104806</v>
      </c>
      <c r="I442" s="1">
        <f>'[1]Forward Ranks'!T442</f>
        <v>0.59170305676855894</v>
      </c>
      <c r="J442" s="1">
        <f>'[1]Forward Ranks'!U442</f>
        <v>0.23580786026200873</v>
      </c>
      <c r="K442" s="1">
        <f>'[1]Forward Ranks'!V442</f>
        <v>0.44978165938864628</v>
      </c>
      <c r="L442">
        <f>'[1]Forward Ranks'!X442</f>
        <v>0</v>
      </c>
      <c r="M442" s="1">
        <f>'[1]Forward Ranks'!AC442</f>
        <v>0.89519650655021832</v>
      </c>
      <c r="N442" s="1">
        <f>'[1]Forward Ranks'!AD442</f>
        <v>0.89301310043668125</v>
      </c>
      <c r="O442" s="1">
        <f>'[1]Forward Ranks'!AE442</f>
        <v>0.80786026200873362</v>
      </c>
      <c r="P442" s="1">
        <f>'[1]Forward Ranks'!AF442</f>
        <v>0.9126637554585153</v>
      </c>
      <c r="Q442">
        <f>'[1]Forward Ranks'!AH442</f>
        <v>0</v>
      </c>
      <c r="R442" s="1">
        <f>'[1]Forward Ranks'!AM442</f>
        <v>0.3930131004366812</v>
      </c>
      <c r="S442" s="1">
        <f>'[1]Forward Ranks'!AN442</f>
        <v>0.35807860262008734</v>
      </c>
      <c r="T442" s="1">
        <f>'[1]Forward Ranks'!AO442</f>
        <v>0.3296943231441048</v>
      </c>
      <c r="U442" s="1">
        <f>'[1]Forward Ranks'!AP442</f>
        <v>0.37772925764192139</v>
      </c>
      <c r="V442">
        <f>'[1]Forward Ranks'!AR442</f>
        <v>0</v>
      </c>
      <c r="W442" s="1">
        <f>'[1]Forward Ranks'!AW442</f>
        <v>0.8733624454148472</v>
      </c>
      <c r="X442" s="1">
        <f>'[1]Forward Ranks'!AX442</f>
        <v>0.89956331877729256</v>
      </c>
      <c r="Y442" s="1">
        <f>'[1]Forward Ranks'!AY442</f>
        <v>0.66812227074235808</v>
      </c>
      <c r="Z442" s="1">
        <f>'[1]Forward Ranks'!AZ442</f>
        <v>0.8973799126637555</v>
      </c>
      <c r="AA442">
        <f>'[1]Forward Ranks'!BB442</f>
        <v>0</v>
      </c>
      <c r="AB442" s="1">
        <f>'[1]Forward Ranks'!BG442</f>
        <v>0.24017467248908297</v>
      </c>
      <c r="AC442" s="1">
        <f>'[1]Forward Ranks'!BH442</f>
        <v>0.77729257641921401</v>
      </c>
      <c r="AD442" s="1">
        <f>'[1]Forward Ranks'!BI442</f>
        <v>0.5240174672489083</v>
      </c>
      <c r="AE442" s="1">
        <f>'[1]Forward Ranks'!BJ442</f>
        <v>0.64628820960698685</v>
      </c>
      <c r="AF442">
        <f>'[1]Forward Ranks'!BL442</f>
        <v>0</v>
      </c>
      <c r="AG442" s="1">
        <f>'[1]Forward Ranks'!BQ442</f>
        <v>0.81441048034934493</v>
      </c>
      <c r="AH442" s="1">
        <f>'[1]Forward Ranks'!BR442</f>
        <v>0.91703056768558955</v>
      </c>
      <c r="AI442" s="1">
        <f>'[1]Forward Ranks'!BS442</f>
        <v>0.72052401746724892</v>
      </c>
      <c r="AJ442" s="1">
        <f>'[1]Forward Ranks'!BT442</f>
        <v>0.87991266375545851</v>
      </c>
      <c r="AL442" s="2">
        <f>'[1]Forward Ranks'!BX442</f>
        <v>0.80567685589519655</v>
      </c>
      <c r="AN442" t="str">
        <f>'[1]Forward Ranks'!B442</f>
        <v>T.B, WPG</v>
      </c>
      <c r="AO442">
        <f>'[1]F on ice'!E442</f>
        <v>77</v>
      </c>
      <c r="AP442" s="2">
        <f>'[1]Impact Score Math'!E442</f>
        <v>0.67735470941883769</v>
      </c>
      <c r="AQ442">
        <f>'[1]Impact Score Math'!G442</f>
        <v>162</v>
      </c>
      <c r="AT442" s="1">
        <f>'[1]Forward Ranks'!CJ442</f>
        <v>0.32751091703056767</v>
      </c>
      <c r="AU442" s="1">
        <f>'[1]Forward Ranks'!CK442</f>
        <v>0.64192139737991272</v>
      </c>
    </row>
    <row r="443" spans="1:47" x14ac:dyDescent="0.3">
      <c r="A443" t="str">
        <f>'[1]Forward Ranks'!A443</f>
        <v>Wade Allison</v>
      </c>
      <c r="B443">
        <f>'[1]Forward Ranks'!D443</f>
        <v>0</v>
      </c>
      <c r="C443" s="1">
        <f>'[1]Forward Ranks'!I443</f>
        <v>0.66812227074235808</v>
      </c>
      <c r="D443" s="1">
        <f>'[1]Forward Ranks'!J443</f>
        <v>0.54585152838427953</v>
      </c>
      <c r="E443" s="1">
        <f>'[1]Forward Ranks'!K443</f>
        <v>0.17685589519650655</v>
      </c>
      <c r="F443" s="1">
        <f>'[1]Forward Ranks'!L443</f>
        <v>0.55458515283842791</v>
      </c>
      <c r="G443">
        <f>'[1]Forward Ranks'!N443</f>
        <v>0</v>
      </c>
      <c r="H443" s="1">
        <f>'[1]Forward Ranks'!S443</f>
        <v>0.5873362445414847</v>
      </c>
      <c r="I443" s="1">
        <f>'[1]Forward Ranks'!T443</f>
        <v>6.5502183406113537E-2</v>
      </c>
      <c r="J443" s="1">
        <f>'[1]Forward Ranks'!U443</f>
        <v>2.6200873362445413E-2</v>
      </c>
      <c r="K443" s="1">
        <f>'[1]Forward Ranks'!V443</f>
        <v>0.15502183406113537</v>
      </c>
      <c r="L443">
        <f>'[1]Forward Ranks'!X443</f>
        <v>0</v>
      </c>
      <c r="M443" s="1">
        <f>'[1]Forward Ranks'!AC443</f>
        <v>0.25982532751091703</v>
      </c>
      <c r="N443" s="1">
        <f>'[1]Forward Ranks'!AD443</f>
        <v>0.15502183406113537</v>
      </c>
      <c r="O443" s="1">
        <f>'[1]Forward Ranks'!AE443</f>
        <v>0.82969432314410485</v>
      </c>
      <c r="P443" s="1">
        <f>'[1]Forward Ranks'!AF443</f>
        <v>0.32532751091703055</v>
      </c>
      <c r="Q443">
        <f>'[1]Forward Ranks'!AH443</f>
        <v>0</v>
      </c>
      <c r="R443" s="1">
        <f>'[1]Forward Ranks'!AM443</f>
        <v>0.8493449781659389</v>
      </c>
      <c r="S443" s="1">
        <f>'[1]Forward Ranks'!AN443</f>
        <v>0.69432314410480345</v>
      </c>
      <c r="T443" s="1">
        <f>'[1]Forward Ranks'!AO443</f>
        <v>0.20524017467248909</v>
      </c>
      <c r="U443" s="1">
        <f>'[1]Forward Ranks'!AP443</f>
        <v>0.74454148471615722</v>
      </c>
      <c r="V443">
        <f>'[1]Forward Ranks'!AR443</f>
        <v>0</v>
      </c>
      <c r="W443" s="1">
        <f>'[1]Forward Ranks'!AW443</f>
        <v>0.34497816593886466</v>
      </c>
      <c r="X443" s="1">
        <f>'[1]Forward Ranks'!AX443</f>
        <v>0.10262008733624454</v>
      </c>
      <c r="Y443" s="1">
        <f>'[1]Forward Ranks'!AY443</f>
        <v>0.93449781659388642</v>
      </c>
      <c r="Z443" s="1">
        <f>'[1]Forward Ranks'!AZ443</f>
        <v>0.31441048034934499</v>
      </c>
      <c r="AA443">
        <f>'[1]Forward Ranks'!BB443</f>
        <v>0</v>
      </c>
      <c r="AB443" s="1">
        <f>'[1]Forward Ranks'!BG443</f>
        <v>0.5633187772925764</v>
      </c>
      <c r="AC443" s="1">
        <f>'[1]Forward Ranks'!BH443</f>
        <v>0.28384279475982532</v>
      </c>
      <c r="AD443" s="1">
        <f>'[1]Forward Ranks'!BI443</f>
        <v>6.768558951965066E-2</v>
      </c>
      <c r="AE443" s="1">
        <f>'[1]Forward Ranks'!BJ443</f>
        <v>0.388646288209607</v>
      </c>
      <c r="AF443">
        <f>'[1]Forward Ranks'!BL443</f>
        <v>0</v>
      </c>
      <c r="AG443" s="1">
        <f>'[1]Forward Ranks'!BQ443</f>
        <v>0.48689956331877732</v>
      </c>
      <c r="AH443" s="1">
        <f>'[1]Forward Ranks'!BR443</f>
        <v>0.34716157205240172</v>
      </c>
      <c r="AI443" s="1">
        <f>'[1]Forward Ranks'!BS443</f>
        <v>0.40611353711790393</v>
      </c>
      <c r="AJ443" s="1">
        <f>'[1]Forward Ranks'!BT443</f>
        <v>0.42139737991266374</v>
      </c>
      <c r="AL443" s="2">
        <f>'[1]Forward Ranks'!BX443</f>
        <v>0.46288209606986902</v>
      </c>
      <c r="AN443" t="str">
        <f>'[1]Forward Ranks'!B443</f>
        <v>PHI</v>
      </c>
      <c r="AO443">
        <f>'[1]F on ice'!E443</f>
        <v>60</v>
      </c>
      <c r="AP443" s="2">
        <f>'[1]Impact Score Math'!E443</f>
        <v>0.53907815631262523</v>
      </c>
      <c r="AQ443">
        <f>'[1]Impact Score Math'!G443</f>
        <v>231</v>
      </c>
      <c r="AT443" s="1">
        <f>'[1]Forward Ranks'!CJ443</f>
        <v>0.37991266375545851</v>
      </c>
      <c r="AU443" s="1">
        <f>'[1]Forward Ranks'!CK443</f>
        <v>0.21615720524017468</v>
      </c>
    </row>
    <row r="444" spans="1:47" x14ac:dyDescent="0.3">
      <c r="A444" t="str">
        <f>'[1]Forward Ranks'!A444</f>
        <v>Walker Duehr</v>
      </c>
      <c r="B444">
        <f>'[1]Forward Ranks'!D444</f>
        <v>0</v>
      </c>
      <c r="C444" s="1">
        <f>'[1]Forward Ranks'!I444</f>
        <v>0.86899563318777295</v>
      </c>
      <c r="D444" s="1">
        <f>'[1]Forward Ranks'!J444</f>
        <v>0.5240174672489083</v>
      </c>
      <c r="E444" s="1">
        <f>'[1]Forward Ranks'!K444</f>
        <v>0.81441048034934493</v>
      </c>
      <c r="F444" s="1">
        <f>'[1]Forward Ranks'!L444</f>
        <v>0.73362445414847166</v>
      </c>
      <c r="G444">
        <f>'[1]Forward Ranks'!N444</f>
        <v>0</v>
      </c>
      <c r="H444" s="1">
        <f>'[1]Forward Ranks'!S444</f>
        <v>0.99344978165938869</v>
      </c>
      <c r="I444" s="1">
        <f>'[1]Forward Ranks'!T444</f>
        <v>0.4606986899563319</v>
      </c>
      <c r="J444" s="1">
        <f>'[1]Forward Ranks'!U444</f>
        <v>0.86244541484716153</v>
      </c>
      <c r="K444" s="1">
        <f>'[1]Forward Ranks'!V444</f>
        <v>0.92576419213973804</v>
      </c>
      <c r="L444">
        <f>'[1]Forward Ranks'!X444</f>
        <v>0</v>
      </c>
      <c r="M444" s="1">
        <f>'[1]Forward Ranks'!AC444</f>
        <v>0.89956331877729256</v>
      </c>
      <c r="N444" s="1">
        <f>'[1]Forward Ranks'!AD444</f>
        <v>0.82751091703056767</v>
      </c>
      <c r="O444" s="1">
        <f>'[1]Forward Ranks'!AE444</f>
        <v>0.16812227074235808</v>
      </c>
      <c r="P444" s="1">
        <f>'[1]Forward Ranks'!AF444</f>
        <v>0.74454148471615722</v>
      </c>
      <c r="Q444">
        <f>'[1]Forward Ranks'!AH444</f>
        <v>0</v>
      </c>
      <c r="R444" s="1">
        <f>'[1]Forward Ranks'!AM444</f>
        <v>0.14192139737991266</v>
      </c>
      <c r="S444" s="1">
        <f>'[1]Forward Ranks'!AN444</f>
        <v>0.13100436681222707</v>
      </c>
      <c r="T444" s="1">
        <f>'[1]Forward Ranks'!AO444</f>
        <v>0.71615720524017468</v>
      </c>
      <c r="U444" s="1">
        <f>'[1]Forward Ranks'!AP444</f>
        <v>0.10698689956331878</v>
      </c>
      <c r="V444">
        <f>'[1]Forward Ranks'!AR444</f>
        <v>0</v>
      </c>
      <c r="W444" s="1">
        <f>'[1]Forward Ranks'!AW444</f>
        <v>0.65502183406113534</v>
      </c>
      <c r="X444" s="1">
        <f>'[1]Forward Ranks'!AX444</f>
        <v>0.54366812227074235</v>
      </c>
      <c r="Y444" s="1">
        <f>'[1]Forward Ranks'!AY444</f>
        <v>0.17467248908296942</v>
      </c>
      <c r="Z444" s="1">
        <f>'[1]Forward Ranks'!AZ444</f>
        <v>0.61790393013100442</v>
      </c>
      <c r="AA444">
        <f>'[1]Forward Ranks'!BB444</f>
        <v>0</v>
      </c>
      <c r="AB444" s="1">
        <f>'[1]Forward Ranks'!BG444</f>
        <v>0.14628820960698691</v>
      </c>
      <c r="AC444" s="1">
        <f>'[1]Forward Ranks'!BH444</f>
        <v>0.96506550218340614</v>
      </c>
      <c r="AD444" s="1">
        <f>'[1]Forward Ranks'!BI444</f>
        <v>0.61353711790393017</v>
      </c>
      <c r="AE444" s="1">
        <f>'[1]Forward Ranks'!BJ444</f>
        <v>0.15938864628820962</v>
      </c>
      <c r="AF444">
        <f>'[1]Forward Ranks'!BL444</f>
        <v>0</v>
      </c>
      <c r="AG444" s="1">
        <f>'[1]Forward Ranks'!BQ444</f>
        <v>0.94323144104803491</v>
      </c>
      <c r="AH444" s="1">
        <f>'[1]Forward Ranks'!BR444</f>
        <v>0.70960698689956336</v>
      </c>
      <c r="AI444" s="1">
        <f>'[1]Forward Ranks'!BS444</f>
        <v>0.48471615720524019</v>
      </c>
      <c r="AJ444" s="1">
        <f>'[1]Forward Ranks'!BT444</f>
        <v>0.80786026200873362</v>
      </c>
      <c r="AL444" s="2">
        <f>'[1]Forward Ranks'!BX444</f>
        <v>0.77729257641921401</v>
      </c>
      <c r="AN444" t="str">
        <f>'[1]Forward Ranks'!B444</f>
        <v>CGY</v>
      </c>
      <c r="AO444">
        <f>'[1]F on ice'!E444</f>
        <v>27</v>
      </c>
      <c r="AP444" s="2">
        <f>'[1]Impact Score Math'!E444</f>
        <v>0.6112224448897795</v>
      </c>
      <c r="AQ444">
        <f>'[1]Impact Score Math'!G444</f>
        <v>195</v>
      </c>
      <c r="AT444" s="1">
        <f>'[1]Forward Ranks'!CJ444</f>
        <v>0.78602620087336239</v>
      </c>
      <c r="AU444" s="1">
        <f>'[1]Forward Ranks'!CK444</f>
        <v>0.12445414847161572</v>
      </c>
    </row>
    <row r="445" spans="1:47" x14ac:dyDescent="0.3">
      <c r="A445" t="str">
        <f>'[1]Forward Ranks'!A445</f>
        <v>Warren Foegele</v>
      </c>
      <c r="B445">
        <f>'[1]Forward Ranks'!D445</f>
        <v>0</v>
      </c>
      <c r="C445" s="1">
        <f>'[1]Forward Ranks'!I445</f>
        <v>0.81222707423580787</v>
      </c>
      <c r="D445" s="1">
        <f>'[1]Forward Ranks'!J445</f>
        <v>0.88427947598253276</v>
      </c>
      <c r="E445" s="1">
        <f>'[1]Forward Ranks'!K445</f>
        <v>0.61353711790393017</v>
      </c>
      <c r="F445" s="1">
        <f>'[1]Forward Ranks'!L445</f>
        <v>0.88646288209606983</v>
      </c>
      <c r="G445">
        <f>'[1]Forward Ranks'!N445</f>
        <v>0</v>
      </c>
      <c r="H445" s="1">
        <f>'[1]Forward Ranks'!S445</f>
        <v>0.78384279475982532</v>
      </c>
      <c r="I445" s="1">
        <f>'[1]Forward Ranks'!T445</f>
        <v>0.69868995633187769</v>
      </c>
      <c r="J445" s="1">
        <f>'[1]Forward Ranks'!U445</f>
        <v>0.76419213973799127</v>
      </c>
      <c r="K445" s="1">
        <f>'[1]Forward Ranks'!V445</f>
        <v>0.80349344978165937</v>
      </c>
      <c r="L445">
        <f>'[1]Forward Ranks'!X445</f>
        <v>0</v>
      </c>
      <c r="M445" s="1">
        <f>'[1]Forward Ranks'!AC445</f>
        <v>0.92576419213973804</v>
      </c>
      <c r="N445" s="1">
        <f>'[1]Forward Ranks'!AD445</f>
        <v>0.92358078602620086</v>
      </c>
      <c r="O445" s="1">
        <f>'[1]Forward Ranks'!AE445</f>
        <v>0.68777292576419213</v>
      </c>
      <c r="P445" s="1">
        <f>'[1]Forward Ranks'!AF445</f>
        <v>0.75109170305676853</v>
      </c>
      <c r="Q445">
        <f>'[1]Forward Ranks'!AH445</f>
        <v>0</v>
      </c>
      <c r="R445" s="1">
        <f>'[1]Forward Ranks'!AM445</f>
        <v>0.70524017467248912</v>
      </c>
      <c r="S445" s="1">
        <f>'[1]Forward Ranks'!AN445</f>
        <v>0.74017467248908297</v>
      </c>
      <c r="T445" s="1">
        <f>'[1]Forward Ranks'!AO445</f>
        <v>0.41048034934497818</v>
      </c>
      <c r="U445" s="1">
        <f>'[1]Forward Ranks'!AP445</f>
        <v>0.77729257641921401</v>
      </c>
      <c r="V445">
        <f>'[1]Forward Ranks'!AR445</f>
        <v>0</v>
      </c>
      <c r="W445" s="1">
        <f>'[1]Forward Ranks'!AW445</f>
        <v>0.92576419213973804</v>
      </c>
      <c r="X445" s="1">
        <f>'[1]Forward Ranks'!AX445</f>
        <v>0.79694323144104806</v>
      </c>
      <c r="Y445" s="1">
        <f>'[1]Forward Ranks'!AY445</f>
        <v>0.78384279475982532</v>
      </c>
      <c r="Z445" s="1">
        <f>'[1]Forward Ranks'!AZ445</f>
        <v>0.72052401746724892</v>
      </c>
      <c r="AA445">
        <f>'[1]Forward Ranks'!BB445</f>
        <v>0</v>
      </c>
      <c r="AB445" s="1">
        <f>'[1]Forward Ranks'!BG445</f>
        <v>0.39082969432314413</v>
      </c>
      <c r="AC445" s="1">
        <f>'[1]Forward Ranks'!BH445</f>
        <v>0.56986899563318782</v>
      </c>
      <c r="AD445" s="1">
        <f>'[1]Forward Ranks'!BI445</f>
        <v>0.53056768558951961</v>
      </c>
      <c r="AE445" s="1">
        <f>'[1]Forward Ranks'!BJ445</f>
        <v>0.54803493449781659</v>
      </c>
      <c r="AF445">
        <f>'[1]Forward Ranks'!BL445</f>
        <v>0</v>
      </c>
      <c r="AG445" s="1">
        <f>'[1]Forward Ranks'!BQ445</f>
        <v>0.91484716157205237</v>
      </c>
      <c r="AH445" s="1">
        <f>'[1]Forward Ranks'!BR445</f>
        <v>0.95414847161572047</v>
      </c>
      <c r="AI445" s="1">
        <f>'[1]Forward Ranks'!BS445</f>
        <v>0.70524017467248912</v>
      </c>
      <c r="AJ445" s="1">
        <f>'[1]Forward Ranks'!BT445</f>
        <v>0.92358078602620086</v>
      </c>
      <c r="AL445" s="2">
        <f>'[1]Forward Ranks'!BX445</f>
        <v>0.96506550218340614</v>
      </c>
      <c r="AN445" t="str">
        <f>'[1]Forward Ranks'!B445</f>
        <v>EDM</v>
      </c>
      <c r="AO445">
        <f>'[1]F on ice'!E445</f>
        <v>67</v>
      </c>
      <c r="AP445" s="2">
        <f>'[1]Impact Score Math'!E445</f>
        <v>0.89178356713426854</v>
      </c>
      <c r="AQ445">
        <f>'[1]Impact Score Math'!G445</f>
        <v>55</v>
      </c>
      <c r="AT445" s="1">
        <f>'[1]Forward Ranks'!CJ445</f>
        <v>0.29912663755458513</v>
      </c>
      <c r="AU445" s="1">
        <f>'[1]Forward Ranks'!CK445</f>
        <v>0.74890829694323147</v>
      </c>
    </row>
    <row r="446" spans="1:47" x14ac:dyDescent="0.3">
      <c r="A446" t="str">
        <f>'[1]Forward Ranks'!A446</f>
        <v>William Carrier</v>
      </c>
      <c r="B446">
        <f>'[1]Forward Ranks'!D446</f>
        <v>0</v>
      </c>
      <c r="C446" s="1">
        <f>'[1]Forward Ranks'!I446</f>
        <v>0.42576419213973798</v>
      </c>
      <c r="D446" s="1">
        <f>'[1]Forward Ranks'!J446</f>
        <v>0.83842794759825323</v>
      </c>
      <c r="E446" s="1">
        <f>'[1]Forward Ranks'!K446</f>
        <v>0.71615720524017468</v>
      </c>
      <c r="F446" s="1">
        <f>'[1]Forward Ranks'!L446</f>
        <v>0.74235807860262004</v>
      </c>
      <c r="G446">
        <f>'[1]Forward Ranks'!N446</f>
        <v>0</v>
      </c>
      <c r="H446" s="1">
        <f>'[1]Forward Ranks'!S446</f>
        <v>0.98034934497816595</v>
      </c>
      <c r="I446" s="1">
        <f>'[1]Forward Ranks'!T446</f>
        <v>0.3930131004366812</v>
      </c>
      <c r="J446" s="1">
        <f>'[1]Forward Ranks'!U446</f>
        <v>0.72052401746724892</v>
      </c>
      <c r="K446" s="1">
        <f>'[1]Forward Ranks'!V446</f>
        <v>0.86899563318777295</v>
      </c>
      <c r="L446">
        <f>'[1]Forward Ranks'!X446</f>
        <v>0</v>
      </c>
      <c r="M446" s="1">
        <f>'[1]Forward Ranks'!AC446</f>
        <v>0.73362445414847166</v>
      </c>
      <c r="N446" s="1">
        <f>'[1]Forward Ranks'!AD446</f>
        <v>0.96506550218340614</v>
      </c>
      <c r="O446" s="1">
        <f>'[1]Forward Ranks'!AE446</f>
        <v>0.92794759825327511</v>
      </c>
      <c r="P446" s="1">
        <f>'[1]Forward Ranks'!AF446</f>
        <v>0.93013100436681218</v>
      </c>
      <c r="Q446">
        <f>'[1]Forward Ranks'!AH446</f>
        <v>0</v>
      </c>
      <c r="R446" s="1">
        <f>'[1]Forward Ranks'!AM446</f>
        <v>0.4366812227074236</v>
      </c>
      <c r="S446" s="1">
        <f>'[1]Forward Ranks'!AN446</f>
        <v>0.888646288209607</v>
      </c>
      <c r="T446" s="1">
        <f>'[1]Forward Ranks'!AO446</f>
        <v>0.69868995633187769</v>
      </c>
      <c r="U446" s="1">
        <f>'[1]Forward Ranks'!AP446</f>
        <v>0.74454148471615722</v>
      </c>
      <c r="V446">
        <f>'[1]Forward Ranks'!AR446</f>
        <v>0</v>
      </c>
      <c r="W446" s="1">
        <f>'[1]Forward Ranks'!AW446</f>
        <v>0.83406113537117899</v>
      </c>
      <c r="X446" s="1">
        <f>'[1]Forward Ranks'!AX446</f>
        <v>0.79694323144104806</v>
      </c>
      <c r="Y446" s="1">
        <f>'[1]Forward Ranks'!AY446</f>
        <v>0.9126637554585153</v>
      </c>
      <c r="Z446" s="1">
        <f>'[1]Forward Ranks'!AZ446</f>
        <v>0.82969432314410485</v>
      </c>
      <c r="AA446">
        <f>'[1]Forward Ranks'!BB446</f>
        <v>0</v>
      </c>
      <c r="AB446" s="1">
        <f>'[1]Forward Ranks'!BG446</f>
        <v>0.4126637554585153</v>
      </c>
      <c r="AC446" s="1">
        <f>'[1]Forward Ranks'!BH446</f>
        <v>0.11790393013100436</v>
      </c>
      <c r="AD446" s="1">
        <f>'[1]Forward Ranks'!BI446</f>
        <v>0.84061135371179041</v>
      </c>
      <c r="AE446" s="1">
        <f>'[1]Forward Ranks'!BJ446</f>
        <v>0.94759825327510916</v>
      </c>
      <c r="AF446">
        <f>'[1]Forward Ranks'!BL446</f>
        <v>0</v>
      </c>
      <c r="AG446" s="1">
        <f>'[1]Forward Ranks'!BQ446</f>
        <v>0.59606986899563319</v>
      </c>
      <c r="AH446" s="1">
        <f>'[1]Forward Ranks'!BR446</f>
        <v>0.95196506550218341</v>
      </c>
      <c r="AI446" s="1">
        <f>'[1]Forward Ranks'!BS446</f>
        <v>0.95196506550218341</v>
      </c>
      <c r="AJ446" s="1">
        <f>'[1]Forward Ranks'!BT446</f>
        <v>0.90393013100436681</v>
      </c>
      <c r="AL446" s="2">
        <f>'[1]Forward Ranks'!BX446</f>
        <v>0.89082969432314407</v>
      </c>
      <c r="AN446" t="str">
        <f>'[1]Forward Ranks'!B446</f>
        <v>VGK</v>
      </c>
      <c r="AO446">
        <f>'[1]F on ice'!E446</f>
        <v>56</v>
      </c>
      <c r="AP446" s="2">
        <f>'[1]Impact Score Math'!E446</f>
        <v>0.79959919839679361</v>
      </c>
      <c r="AQ446">
        <f>'[1]Impact Score Math'!G446</f>
        <v>101</v>
      </c>
      <c r="AT446" s="1">
        <f>'[1]Forward Ranks'!CJ446</f>
        <v>0.16375545851528384</v>
      </c>
      <c r="AU446" s="1">
        <f>'[1]Forward Ranks'!CK446</f>
        <v>0.70305676855895194</v>
      </c>
    </row>
    <row r="447" spans="1:47" x14ac:dyDescent="0.3">
      <c r="A447" t="str">
        <f>'[1]Forward Ranks'!A447</f>
        <v>William Karlsson</v>
      </c>
      <c r="B447">
        <f>'[1]Forward Ranks'!D447</f>
        <v>0</v>
      </c>
      <c r="C447" s="1">
        <f>'[1]Forward Ranks'!I447</f>
        <v>0.76637554585152834</v>
      </c>
      <c r="D447" s="1">
        <f>'[1]Forward Ranks'!J447</f>
        <v>0.58951965065502188</v>
      </c>
      <c r="E447" s="1">
        <f>'[1]Forward Ranks'!K447</f>
        <v>0.55676855895196509</v>
      </c>
      <c r="F447" s="1">
        <f>'[1]Forward Ranks'!L447</f>
        <v>0.78384279475982532</v>
      </c>
      <c r="G447">
        <f>'[1]Forward Ranks'!N447</f>
        <v>0</v>
      </c>
      <c r="H447" s="1">
        <f>'[1]Forward Ranks'!S447</f>
        <v>0.2205240174672489</v>
      </c>
      <c r="I447" s="1">
        <f>'[1]Forward Ranks'!T447</f>
        <v>0.86681222707423577</v>
      </c>
      <c r="J447" s="1">
        <f>'[1]Forward Ranks'!U447</f>
        <v>0.52183406113537123</v>
      </c>
      <c r="K447" s="1">
        <f>'[1]Forward Ranks'!V447</f>
        <v>0.63318777292576423</v>
      </c>
      <c r="L447">
        <f>'[1]Forward Ranks'!X447</f>
        <v>0</v>
      </c>
      <c r="M447" s="1">
        <f>'[1]Forward Ranks'!AC447</f>
        <v>0.62445414847161573</v>
      </c>
      <c r="N447" s="1">
        <f>'[1]Forward Ranks'!AD447</f>
        <v>0.73144104803493448</v>
      </c>
      <c r="O447" s="1">
        <f>'[1]Forward Ranks'!AE447</f>
        <v>0.77292576419213976</v>
      </c>
      <c r="P447" s="1">
        <f>'[1]Forward Ranks'!AF447</f>
        <v>0.60917030567685593</v>
      </c>
      <c r="Q447">
        <f>'[1]Forward Ranks'!AH447</f>
        <v>0</v>
      </c>
      <c r="R447" s="1">
        <f>'[1]Forward Ranks'!AM447</f>
        <v>0.89519650655021832</v>
      </c>
      <c r="S447" s="1">
        <f>'[1]Forward Ranks'!AN447</f>
        <v>0.53275109170305679</v>
      </c>
      <c r="T447" s="1">
        <f>'[1]Forward Ranks'!AO447</f>
        <v>0.49563318777292575</v>
      </c>
      <c r="U447" s="1">
        <f>'[1]Forward Ranks'!AP447</f>
        <v>0.8253275109170306</v>
      </c>
      <c r="V447">
        <f>'[1]Forward Ranks'!AR447</f>
        <v>0</v>
      </c>
      <c r="W447" s="1">
        <f>'[1]Forward Ranks'!AW447</f>
        <v>0.80786026200873362</v>
      </c>
      <c r="X447" s="1">
        <f>'[1]Forward Ranks'!AX447</f>
        <v>0.46506550218340609</v>
      </c>
      <c r="Y447" s="1">
        <f>'[1]Forward Ranks'!AY447</f>
        <v>0.66157205240174677</v>
      </c>
      <c r="Z447" s="1">
        <f>'[1]Forward Ranks'!AZ447</f>
        <v>0.48034934497816595</v>
      </c>
      <c r="AA447">
        <f>'[1]Forward Ranks'!BB447</f>
        <v>0</v>
      </c>
      <c r="AB447" s="1">
        <f>'[1]Forward Ranks'!BG447</f>
        <v>0.70087336244541487</v>
      </c>
      <c r="AC447" s="1">
        <f>'[1]Forward Ranks'!BH447</f>
        <v>0.30786026200873362</v>
      </c>
      <c r="AD447" s="1">
        <f>'[1]Forward Ranks'!BI447</f>
        <v>0.42139737991266374</v>
      </c>
      <c r="AE447" s="1">
        <f>'[1]Forward Ranks'!BJ447</f>
        <v>0.60698689956331875</v>
      </c>
      <c r="AF447">
        <f>'[1]Forward Ranks'!BL447</f>
        <v>0</v>
      </c>
      <c r="AG447" s="1">
        <f>'[1]Forward Ranks'!BQ447</f>
        <v>0.76419213973799127</v>
      </c>
      <c r="AH447" s="1">
        <f>'[1]Forward Ranks'!BR447</f>
        <v>0.6746724890829694</v>
      </c>
      <c r="AI447" s="1">
        <f>'[1]Forward Ranks'!BS447</f>
        <v>0.75109170305676853</v>
      </c>
      <c r="AJ447" s="1">
        <f>'[1]Forward Ranks'!BT447</f>
        <v>0.77510917030567683</v>
      </c>
      <c r="AL447" s="2">
        <f>'[1]Forward Ranks'!BX447</f>
        <v>0.85371179039301315</v>
      </c>
      <c r="AN447" t="str">
        <f>'[1]Forward Ranks'!B447</f>
        <v>VGK</v>
      </c>
      <c r="AO447">
        <f>'[1]F on ice'!E447</f>
        <v>82</v>
      </c>
      <c r="AP447" s="2">
        <f>'[1]Impact Score Math'!E447</f>
        <v>0.86973947895791581</v>
      </c>
      <c r="AQ447">
        <f>'[1]Impact Score Math'!G447</f>
        <v>66</v>
      </c>
      <c r="AT447" s="1">
        <f>'[1]Forward Ranks'!CJ447</f>
        <v>0.89519650655021832</v>
      </c>
      <c r="AU447" s="1">
        <f>'[1]Forward Ranks'!CK447</f>
        <v>0.32096069868995636</v>
      </c>
    </row>
    <row r="448" spans="1:47" x14ac:dyDescent="0.3">
      <c r="A448" t="str">
        <f>'[1]Forward Ranks'!A448</f>
        <v>William Nylander</v>
      </c>
      <c r="B448">
        <f>'[1]Forward Ranks'!D448</f>
        <v>0</v>
      </c>
      <c r="C448" s="1">
        <f>'[1]Forward Ranks'!I448</f>
        <v>0.92139737991266379</v>
      </c>
      <c r="D448" s="1">
        <f>'[1]Forward Ranks'!J448</f>
        <v>0.99344978165938869</v>
      </c>
      <c r="E448" s="1">
        <f>'[1]Forward Ranks'!K448</f>
        <v>0.90393013100436681</v>
      </c>
      <c r="F448" s="1">
        <f>'[1]Forward Ranks'!L448</f>
        <v>0.96943231441048039</v>
      </c>
      <c r="G448">
        <f>'[1]Forward Ranks'!N448</f>
        <v>0</v>
      </c>
      <c r="H448" s="1">
        <f>'[1]Forward Ranks'!S448</f>
        <v>0.90611353711790388</v>
      </c>
      <c r="I448" s="1">
        <f>'[1]Forward Ranks'!T448</f>
        <v>0.88209606986899558</v>
      </c>
      <c r="J448" s="1">
        <f>'[1]Forward Ranks'!U448</f>
        <v>0.68777292576419213</v>
      </c>
      <c r="K448" s="1">
        <f>'[1]Forward Ranks'!V448</f>
        <v>0.95196506550218341</v>
      </c>
      <c r="L448">
        <f>'[1]Forward Ranks'!X448</f>
        <v>0</v>
      </c>
      <c r="M448" s="1">
        <f>'[1]Forward Ranks'!AC448</f>
        <v>0.4366812227074236</v>
      </c>
      <c r="N448" s="1">
        <f>'[1]Forward Ranks'!AD448</f>
        <v>0.41484716157205243</v>
      </c>
      <c r="O448" s="1">
        <f>'[1]Forward Ranks'!AE448</f>
        <v>0.64410480349344978</v>
      </c>
      <c r="P448" s="1">
        <f>'[1]Forward Ranks'!AF448</f>
        <v>0.28384279475982532</v>
      </c>
      <c r="Q448">
        <f>'[1]Forward Ranks'!AH448</f>
        <v>0</v>
      </c>
      <c r="R448" s="1">
        <f>'[1]Forward Ranks'!AM448</f>
        <v>0.96724890829694321</v>
      </c>
      <c r="S448" s="1">
        <f>'[1]Forward Ranks'!AN448</f>
        <v>0.98689956331877726</v>
      </c>
      <c r="T448" s="1">
        <f>'[1]Forward Ranks'!AO448</f>
        <v>0.87117903930131002</v>
      </c>
      <c r="U448" s="1">
        <f>'[1]Forward Ranks'!AP448</f>
        <v>0.97816593886462877</v>
      </c>
      <c r="V448">
        <f>'[1]Forward Ranks'!AR448</f>
        <v>0</v>
      </c>
      <c r="W448" s="1">
        <f>'[1]Forward Ranks'!AW448</f>
        <v>0.1703056768558952</v>
      </c>
      <c r="X448" s="1">
        <f>'[1]Forward Ranks'!AX448</f>
        <v>0.29475982532751094</v>
      </c>
      <c r="Y448" s="1">
        <f>'[1]Forward Ranks'!AY448</f>
        <v>0.36244541484716158</v>
      </c>
      <c r="Z448" s="1">
        <f>'[1]Forward Ranks'!AZ448</f>
        <v>8.9519650655021835E-2</v>
      </c>
      <c r="AA448">
        <f>'[1]Forward Ranks'!BB448</f>
        <v>0</v>
      </c>
      <c r="AB448" s="1">
        <f>'[1]Forward Ranks'!BG448</f>
        <v>0.82969432314410485</v>
      </c>
      <c r="AC448" s="1">
        <f>'[1]Forward Ranks'!BH448</f>
        <v>0.92576419213973804</v>
      </c>
      <c r="AD448" s="1">
        <f>'[1]Forward Ranks'!BI448</f>
        <v>0.78602620087336239</v>
      </c>
      <c r="AE448" s="1">
        <f>'[1]Forward Ranks'!BJ448</f>
        <v>0.81877729257641918</v>
      </c>
      <c r="AF448">
        <f>'[1]Forward Ranks'!BL448</f>
        <v>0</v>
      </c>
      <c r="AG448" s="1">
        <f>'[1]Forward Ranks'!BQ448</f>
        <v>0.83406113537117899</v>
      </c>
      <c r="AH448" s="1">
        <f>'[1]Forward Ranks'!BR448</f>
        <v>0.92358078602620086</v>
      </c>
      <c r="AI448" s="1">
        <f>'[1]Forward Ranks'!BS448</f>
        <v>0.87991266375545851</v>
      </c>
      <c r="AJ448" s="1">
        <f>'[1]Forward Ranks'!BT448</f>
        <v>0.87772925764192145</v>
      </c>
      <c r="AL448" s="2">
        <f>'[1]Forward Ranks'!BX448</f>
        <v>0.9126637554585153</v>
      </c>
      <c r="AN448" t="str">
        <f>'[1]Forward Ranks'!B448</f>
        <v>TOR</v>
      </c>
      <c r="AO448">
        <f>'[1]F on ice'!E448</f>
        <v>82</v>
      </c>
      <c r="AP448" s="2">
        <f>'[1]Impact Score Math'!E448</f>
        <v>0.92585170340681366</v>
      </c>
      <c r="AQ448">
        <f>'[1]Impact Score Math'!G448</f>
        <v>38</v>
      </c>
      <c r="AT448" s="1">
        <f>'[1]Forward Ranks'!CJ448</f>
        <v>0.61572052401746724</v>
      </c>
      <c r="AU448" s="1">
        <f>'[1]Forward Ranks'!CK448</f>
        <v>0.53056768558951961</v>
      </c>
    </row>
    <row r="449" spans="1:47" x14ac:dyDescent="0.3">
      <c r="A449" t="str">
        <f>'[1]Forward Ranks'!A449</f>
        <v>Wyatt Johnston</v>
      </c>
      <c r="B449">
        <f>'[1]Forward Ranks'!D449</f>
        <v>0</v>
      </c>
      <c r="C449" s="1">
        <f>'[1]Forward Ranks'!I449</f>
        <v>0.56113537117903933</v>
      </c>
      <c r="D449" s="1">
        <f>'[1]Forward Ranks'!J449</f>
        <v>0.71179039301310043</v>
      </c>
      <c r="E449" s="1">
        <f>'[1]Forward Ranks'!K449</f>
        <v>0.78384279475982532</v>
      </c>
      <c r="F449" s="1">
        <f>'[1]Forward Ranks'!L449</f>
        <v>0.68777292576419213</v>
      </c>
      <c r="G449">
        <f>'[1]Forward Ranks'!N449</f>
        <v>0</v>
      </c>
      <c r="H449" s="1">
        <f>'[1]Forward Ranks'!S449</f>
        <v>0.91048034934497812</v>
      </c>
      <c r="I449" s="1">
        <f>'[1]Forward Ranks'!T449</f>
        <v>0.24890829694323144</v>
      </c>
      <c r="J449" s="1">
        <f>'[1]Forward Ranks'!U449</f>
        <v>0.36244541484716158</v>
      </c>
      <c r="K449" s="1">
        <f>'[1]Forward Ranks'!V449</f>
        <v>0.64410480349344978</v>
      </c>
      <c r="L449">
        <f>'[1]Forward Ranks'!X449</f>
        <v>0</v>
      </c>
      <c r="M449" s="1">
        <f>'[1]Forward Ranks'!AC449</f>
        <v>0.13755458515283842</v>
      </c>
      <c r="N449" s="1">
        <f>'[1]Forward Ranks'!AD449</f>
        <v>0.48689956331877732</v>
      </c>
      <c r="O449" s="1">
        <f>'[1]Forward Ranks'!AE449</f>
        <v>0.57205240174672489</v>
      </c>
      <c r="P449" s="1">
        <f>'[1]Forward Ranks'!AF449</f>
        <v>0.40174672489082969</v>
      </c>
      <c r="Q449">
        <f>'[1]Forward Ranks'!AH449</f>
        <v>0</v>
      </c>
      <c r="R449" s="1">
        <f>'[1]Forward Ranks'!AM449</f>
        <v>0.49344978165938863</v>
      </c>
      <c r="S449" s="1">
        <f>'[1]Forward Ranks'!AN449</f>
        <v>0.6266375545851528</v>
      </c>
      <c r="T449" s="1">
        <f>'[1]Forward Ranks'!AO449</f>
        <v>0.76419213973799127</v>
      </c>
      <c r="U449" s="1">
        <f>'[1]Forward Ranks'!AP449</f>
        <v>0.65502183406113534</v>
      </c>
      <c r="V449">
        <f>'[1]Forward Ranks'!AR449</f>
        <v>0</v>
      </c>
      <c r="W449" s="1">
        <f>'[1]Forward Ranks'!AW449</f>
        <v>2.1834061135371178E-2</v>
      </c>
      <c r="X449" s="1">
        <f>'[1]Forward Ranks'!AX449</f>
        <v>0.12882096069868995</v>
      </c>
      <c r="Y449" s="1">
        <f>'[1]Forward Ranks'!AY449</f>
        <v>0.27292576419213976</v>
      </c>
      <c r="Z449" s="1">
        <f>'[1]Forward Ranks'!AZ449</f>
        <v>9.8253275109170299E-2</v>
      </c>
      <c r="AA449">
        <f>'[1]Forward Ranks'!BB449</f>
        <v>0</v>
      </c>
      <c r="AB449" s="1">
        <f>'[1]Forward Ranks'!BG449</f>
        <v>0.67030567685589515</v>
      </c>
      <c r="AC449" s="1">
        <f>'[1]Forward Ranks'!BH449</f>
        <v>0.74017467248908297</v>
      </c>
      <c r="AD449" s="1">
        <f>'[1]Forward Ranks'!BI449</f>
        <v>0.84497816593886466</v>
      </c>
      <c r="AE449" s="1">
        <f>'[1]Forward Ranks'!BJ449</f>
        <v>0.87991266375545851</v>
      </c>
      <c r="AF449">
        <f>'[1]Forward Ranks'!BL449</f>
        <v>0</v>
      </c>
      <c r="AG449" s="1">
        <f>'[1]Forward Ranks'!BQ449</f>
        <v>0.31659388646288211</v>
      </c>
      <c r="AH449" s="1">
        <f>'[1]Forward Ranks'!BR449</f>
        <v>0.61353711790393017</v>
      </c>
      <c r="AI449" s="1">
        <f>'[1]Forward Ranks'!BS449</f>
        <v>0.76637554585152834</v>
      </c>
      <c r="AJ449" s="1">
        <f>'[1]Forward Ranks'!BT449</f>
        <v>0.57860262008733621</v>
      </c>
      <c r="AL449" s="2">
        <f>'[1]Forward Ranks'!BX449</f>
        <v>0.35589519650655022</v>
      </c>
      <c r="AN449" t="str">
        <f>'[1]Forward Ranks'!B449</f>
        <v>DAL</v>
      </c>
      <c r="AO449">
        <f>'[1]F on ice'!E449</f>
        <v>82</v>
      </c>
      <c r="AP449" s="2">
        <f>'[1]Impact Score Math'!E449</f>
        <v>0.47895791583166331</v>
      </c>
      <c r="AQ449">
        <f>'[1]Impact Score Math'!G449</f>
        <v>261</v>
      </c>
      <c r="AT449" s="1">
        <f>'[1]Forward Ranks'!CJ449</f>
        <v>0.71834061135371174</v>
      </c>
      <c r="AU449" s="1">
        <f>'[1]Forward Ranks'!CK449</f>
        <v>1.9650655021834062E-2</v>
      </c>
    </row>
    <row r="450" spans="1:47" x14ac:dyDescent="0.3">
      <c r="A450" t="str">
        <f>'[1]Forward Ranks'!A450</f>
        <v>Yakov Trenin</v>
      </c>
      <c r="B450">
        <f>'[1]Forward Ranks'!D450</f>
        <v>0</v>
      </c>
      <c r="C450" s="1">
        <f>'[1]Forward Ranks'!I450</f>
        <v>0.32532751091703055</v>
      </c>
      <c r="D450" s="1">
        <f>'[1]Forward Ranks'!J450</f>
        <v>0.38646288209606988</v>
      </c>
      <c r="E450" s="1">
        <f>'[1]Forward Ranks'!K450</f>
        <v>4.8034934497816595E-2</v>
      </c>
      <c r="F450" s="1">
        <f>'[1]Forward Ranks'!L450</f>
        <v>0.42358078602620086</v>
      </c>
      <c r="G450">
        <f>'[1]Forward Ranks'!N450</f>
        <v>0</v>
      </c>
      <c r="H450" s="1">
        <f>'[1]Forward Ranks'!S450</f>
        <v>0.34934497816593885</v>
      </c>
      <c r="I450" s="1">
        <f>'[1]Forward Ranks'!T450</f>
        <v>0.15502183406113537</v>
      </c>
      <c r="J450" s="1">
        <f>'[1]Forward Ranks'!U450</f>
        <v>0.26637554585152839</v>
      </c>
      <c r="K450" s="1">
        <f>'[1]Forward Ranks'!V450</f>
        <v>0.16375545851528384</v>
      </c>
      <c r="L450">
        <f>'[1]Forward Ranks'!X450</f>
        <v>0</v>
      </c>
      <c r="M450" s="1">
        <f>'[1]Forward Ranks'!AC450</f>
        <v>0.26855895196506552</v>
      </c>
      <c r="N450" s="1">
        <f>'[1]Forward Ranks'!AD450</f>
        <v>0.62008733624454149</v>
      </c>
      <c r="O450" s="1">
        <f>'[1]Forward Ranks'!AE450</f>
        <v>0.53493449781659386</v>
      </c>
      <c r="P450" s="1">
        <f>'[1]Forward Ranks'!AF450</f>
        <v>0.37554585152838427</v>
      </c>
      <c r="Q450">
        <f>'[1]Forward Ranks'!AH450</f>
        <v>0</v>
      </c>
      <c r="R450" s="1">
        <f>'[1]Forward Ranks'!AM450</f>
        <v>0.42139737991266374</v>
      </c>
      <c r="S450" s="1">
        <f>'[1]Forward Ranks'!AN450</f>
        <v>0.41921397379912662</v>
      </c>
      <c r="T450" s="1">
        <f>'[1]Forward Ranks'!AO450</f>
        <v>9.8253275109170299E-2</v>
      </c>
      <c r="U450" s="1">
        <f>'[1]Forward Ranks'!AP450</f>
        <v>0.47379912663755458</v>
      </c>
      <c r="V450">
        <f>'[1]Forward Ranks'!AR450</f>
        <v>0</v>
      </c>
      <c r="W450" s="1">
        <f>'[1]Forward Ranks'!AW450</f>
        <v>0.67685589519650657</v>
      </c>
      <c r="X450" s="1">
        <f>'[1]Forward Ranks'!AX450</f>
        <v>0.91048034934497812</v>
      </c>
      <c r="Y450" s="1">
        <f>'[1]Forward Ranks'!AY450</f>
        <v>0.388646288209607</v>
      </c>
      <c r="Z450" s="1">
        <f>'[1]Forward Ranks'!AZ450</f>
        <v>0.76200873362445409</v>
      </c>
      <c r="AA450">
        <f>'[1]Forward Ranks'!BB450</f>
        <v>0</v>
      </c>
      <c r="AB450" s="1">
        <f>'[1]Forward Ranks'!BG450</f>
        <v>0.51746724890829698</v>
      </c>
      <c r="AC450" s="1">
        <f>'[1]Forward Ranks'!BH450</f>
        <v>0.11135371179039301</v>
      </c>
      <c r="AD450" s="1">
        <f>'[1]Forward Ranks'!BI450</f>
        <v>4.148471615720524E-2</v>
      </c>
      <c r="AE450" s="1">
        <f>'[1]Forward Ranks'!BJ450</f>
        <v>0.15938864628820962</v>
      </c>
      <c r="AF450">
        <f>'[1]Forward Ranks'!BL450</f>
        <v>0</v>
      </c>
      <c r="AG450" s="1">
        <f>'[1]Forward Ranks'!BQ450</f>
        <v>0.26637554585152839</v>
      </c>
      <c r="AH450" s="1">
        <f>'[1]Forward Ranks'!BR450</f>
        <v>0.45414847161572053</v>
      </c>
      <c r="AI450" s="1">
        <f>'[1]Forward Ranks'!BS450</f>
        <v>8.5152838427947602E-2</v>
      </c>
      <c r="AJ450" s="1">
        <f>'[1]Forward Ranks'!BT450</f>
        <v>0.37554585152838427</v>
      </c>
      <c r="AL450" s="2">
        <f>'[1]Forward Ranks'!BX450</f>
        <v>0.28602620087336245</v>
      </c>
      <c r="AN450" t="str">
        <f>'[1]Forward Ranks'!B450</f>
        <v>NSH</v>
      </c>
      <c r="AO450">
        <f>'[1]F on ice'!E450</f>
        <v>77</v>
      </c>
      <c r="AP450" s="2">
        <f>'[1]Impact Score Math'!E450</f>
        <v>0.4028056112224449</v>
      </c>
      <c r="AQ450">
        <f>'[1]Impact Score Math'!G450</f>
        <v>299</v>
      </c>
      <c r="AT450" s="1">
        <f>'[1]Forward Ranks'!CJ450</f>
        <v>0.28820960698689957</v>
      </c>
      <c r="AU450" s="1">
        <f>'[1]Forward Ranks'!CK450</f>
        <v>0.27729257641921395</v>
      </c>
    </row>
    <row r="451" spans="1:47" x14ac:dyDescent="0.3">
      <c r="A451" t="str">
        <f>'[1]Forward Ranks'!A451</f>
        <v>Yanni Gourde</v>
      </c>
      <c r="B451">
        <f>'[1]Forward Ranks'!D451</f>
        <v>0</v>
      </c>
      <c r="C451" s="1">
        <f>'[1]Forward Ranks'!I451</f>
        <v>0.81441048034934493</v>
      </c>
      <c r="D451" s="1">
        <f>'[1]Forward Ranks'!J451</f>
        <v>0.4759825327510917</v>
      </c>
      <c r="E451" s="1">
        <f>'[1]Forward Ranks'!K451</f>
        <v>0.81441048034934493</v>
      </c>
      <c r="F451" s="1">
        <f>'[1]Forward Ranks'!L451</f>
        <v>0.53493449781659386</v>
      </c>
      <c r="G451">
        <f>'[1]Forward Ranks'!N451</f>
        <v>0</v>
      </c>
      <c r="H451" s="1">
        <f>'[1]Forward Ranks'!S451</f>
        <v>0.1222707423580786</v>
      </c>
      <c r="I451" s="1">
        <f>'[1]Forward Ranks'!T451</f>
        <v>0.93886462882096067</v>
      </c>
      <c r="J451" s="1">
        <f>'[1]Forward Ranks'!U451</f>
        <v>0.84497816593886466</v>
      </c>
      <c r="K451" s="1">
        <f>'[1]Forward Ranks'!V451</f>
        <v>0.72707423580786024</v>
      </c>
      <c r="L451">
        <f>'[1]Forward Ranks'!X451</f>
        <v>0</v>
      </c>
      <c r="M451" s="1">
        <f>'[1]Forward Ranks'!AC451</f>
        <v>0.92139737991266379</v>
      </c>
      <c r="N451" s="1">
        <f>'[1]Forward Ranks'!AD451</f>
        <v>0.78384279475982532</v>
      </c>
      <c r="O451" s="1">
        <f>'[1]Forward Ranks'!AE451</f>
        <v>0.69213973799126638</v>
      </c>
      <c r="P451" s="1">
        <f>'[1]Forward Ranks'!AF451</f>
        <v>0.79912663755458513</v>
      </c>
      <c r="Q451">
        <f>'[1]Forward Ranks'!AH451</f>
        <v>0</v>
      </c>
      <c r="R451" s="1">
        <f>'[1]Forward Ranks'!AM451</f>
        <v>0.77074235807860259</v>
      </c>
      <c r="S451" s="1">
        <f>'[1]Forward Ranks'!AN451</f>
        <v>0.73362445414847166</v>
      </c>
      <c r="T451" s="1">
        <f>'[1]Forward Ranks'!AO451</f>
        <v>0.5393013100436681</v>
      </c>
      <c r="U451" s="1">
        <f>'[1]Forward Ranks'!AP451</f>
        <v>0.60917030567685593</v>
      </c>
      <c r="V451">
        <f>'[1]Forward Ranks'!AR451</f>
        <v>0</v>
      </c>
      <c r="W451" s="1">
        <f>'[1]Forward Ranks'!AW451</f>
        <v>0.62008733624454149</v>
      </c>
      <c r="X451" s="1">
        <f>'[1]Forward Ranks'!AX451</f>
        <v>0.56113537117903933</v>
      </c>
      <c r="Y451" s="1">
        <f>'[1]Forward Ranks'!AY451</f>
        <v>0.64628820960698685</v>
      </c>
      <c r="Z451" s="1">
        <f>'[1]Forward Ranks'!AZ451</f>
        <v>0.57205240174672489</v>
      </c>
      <c r="AA451">
        <f>'[1]Forward Ranks'!BB451</f>
        <v>0</v>
      </c>
      <c r="AB451" s="1">
        <f>'[1]Forward Ranks'!BG451</f>
        <v>0.87991266375545851</v>
      </c>
      <c r="AC451" s="1">
        <f>'[1]Forward Ranks'!BH451</f>
        <v>0.67030567685589515</v>
      </c>
      <c r="AD451" s="1">
        <f>'[1]Forward Ranks'!BI451</f>
        <v>0.83406113537117899</v>
      </c>
      <c r="AE451" s="1">
        <f>'[1]Forward Ranks'!BJ451</f>
        <v>0.67685589519650657</v>
      </c>
      <c r="AF451">
        <f>'[1]Forward Ranks'!BL451</f>
        <v>0</v>
      </c>
      <c r="AG451" s="1">
        <f>'[1]Forward Ranks'!BQ451</f>
        <v>0.9126637554585153</v>
      </c>
      <c r="AH451" s="1">
        <f>'[1]Forward Ranks'!BR451</f>
        <v>0.60698689956331875</v>
      </c>
      <c r="AI451" s="1">
        <f>'[1]Forward Ranks'!BS451</f>
        <v>0.86244541484716153</v>
      </c>
      <c r="AJ451" s="1">
        <f>'[1]Forward Ranks'!BT451</f>
        <v>0.74235807860262004</v>
      </c>
      <c r="AL451" s="2">
        <f>'[1]Forward Ranks'!BX451</f>
        <v>0.84279475982532748</v>
      </c>
      <c r="AN451" t="str">
        <f>'[1]Forward Ranks'!B451</f>
        <v>SEA</v>
      </c>
      <c r="AO451">
        <f>'[1]F on ice'!E451</f>
        <v>81</v>
      </c>
      <c r="AP451" s="2">
        <f>'[1]Impact Score Math'!E451</f>
        <v>0.90380761523046094</v>
      </c>
      <c r="AQ451">
        <f>'[1]Impact Score Math'!G451</f>
        <v>49</v>
      </c>
      <c r="AT451" s="1">
        <f>'[1]Forward Ranks'!CJ451</f>
        <v>0.19868995633187772</v>
      </c>
      <c r="AU451" s="1">
        <f>'[1]Forward Ranks'!CK451</f>
        <v>0.83624454148471616</v>
      </c>
    </row>
    <row r="452" spans="1:47" x14ac:dyDescent="0.3">
      <c r="A452" t="str">
        <f>'[1]Forward Ranks'!A452</f>
        <v>Yegor Chinakhov</v>
      </c>
      <c r="B452">
        <f>'[1]Forward Ranks'!D452</f>
        <v>0</v>
      </c>
      <c r="C452" s="1">
        <f>'[1]Forward Ranks'!I452</f>
        <v>0.34716157205240172</v>
      </c>
      <c r="D452" s="1">
        <f>'[1]Forward Ranks'!J452</f>
        <v>8.7336244541484712E-3</v>
      </c>
      <c r="E452" s="1">
        <f>'[1]Forward Ranks'!K452</f>
        <v>0.43886462882096072</v>
      </c>
      <c r="F452" s="1">
        <f>'[1]Forward Ranks'!L452</f>
        <v>7.6419213973799124E-2</v>
      </c>
      <c r="G452">
        <f>'[1]Forward Ranks'!N452</f>
        <v>0</v>
      </c>
      <c r="H452" s="1">
        <f>'[1]Forward Ranks'!S452</f>
        <v>0.30786026200873362</v>
      </c>
      <c r="I452" s="1">
        <f>'[1]Forward Ranks'!T452</f>
        <v>0.59606986899563319</v>
      </c>
      <c r="J452" s="1">
        <f>'[1]Forward Ranks'!U452</f>
        <v>7.2052401746724892E-2</v>
      </c>
      <c r="K452" s="1">
        <f>'[1]Forward Ranks'!V452</f>
        <v>0.46943231441048033</v>
      </c>
      <c r="L452">
        <f>'[1]Forward Ranks'!X452</f>
        <v>0</v>
      </c>
      <c r="M452" s="1">
        <f>'[1]Forward Ranks'!AC452</f>
        <v>0.15502183406113537</v>
      </c>
      <c r="N452" s="1">
        <f>'[1]Forward Ranks'!AD452</f>
        <v>0.58951965065502188</v>
      </c>
      <c r="O452" s="1">
        <f>'[1]Forward Ranks'!AE452</f>
        <v>3.2751091703056769E-2</v>
      </c>
      <c r="P452" s="1">
        <f>'[1]Forward Ranks'!AF452</f>
        <v>0.47816593886462883</v>
      </c>
      <c r="Q452">
        <f>'[1]Forward Ranks'!AH452</f>
        <v>0</v>
      </c>
      <c r="R452" s="1">
        <f>'[1]Forward Ranks'!AM452</f>
        <v>0.5633187772925764</v>
      </c>
      <c r="S452" s="1">
        <f>'[1]Forward Ranks'!AN452</f>
        <v>6.3318777292576414E-2</v>
      </c>
      <c r="T452" s="1">
        <f>'[1]Forward Ranks'!AO452</f>
        <v>0.5633187772925764</v>
      </c>
      <c r="U452" s="1">
        <f>'[1]Forward Ranks'!AP452</f>
        <v>0.23580786026200873</v>
      </c>
      <c r="V452">
        <f>'[1]Forward Ranks'!AR452</f>
        <v>0</v>
      </c>
      <c r="W452" s="1">
        <f>'[1]Forward Ranks'!AW452</f>
        <v>0.73580786026200873</v>
      </c>
      <c r="X452" s="1">
        <f>'[1]Forward Ranks'!AX452</f>
        <v>0.81441048034934493</v>
      </c>
      <c r="Y452" s="1">
        <f>'[1]Forward Ranks'!AY452</f>
        <v>0.42794759825327511</v>
      </c>
      <c r="Z452" s="1">
        <f>'[1]Forward Ranks'!AZ452</f>
        <v>0.86681222707423577</v>
      </c>
      <c r="AA452">
        <f>'[1]Forward Ranks'!BB452</f>
        <v>0</v>
      </c>
      <c r="AB452" s="1">
        <f>'[1]Forward Ranks'!BG452</f>
        <v>0.39737991266375544</v>
      </c>
      <c r="AC452" s="1">
        <f>'[1]Forward Ranks'!BH452</f>
        <v>0.6746724890829694</v>
      </c>
      <c r="AD452" s="1">
        <f>'[1]Forward Ranks'!BI452</f>
        <v>0.6506550218340611</v>
      </c>
      <c r="AE452" s="1">
        <f>'[1]Forward Ranks'!BJ452</f>
        <v>0.18995633187772926</v>
      </c>
      <c r="AF452">
        <f>'[1]Forward Ranks'!BL452</f>
        <v>0</v>
      </c>
      <c r="AG452" s="1">
        <f>'[1]Forward Ranks'!BQ452</f>
        <v>0.21615720524017468</v>
      </c>
      <c r="AH452" s="1">
        <f>'[1]Forward Ranks'!BR452</f>
        <v>3.4934497816593885E-2</v>
      </c>
      <c r="AI452" s="1">
        <f>'[1]Forward Ranks'!BS452</f>
        <v>0.14410480349344978</v>
      </c>
      <c r="AJ452" s="1">
        <f>'[1]Forward Ranks'!BT452</f>
        <v>0.13755458515283842</v>
      </c>
      <c r="AL452" s="2">
        <f>'[1]Forward Ranks'!BX452</f>
        <v>0.29039301310043669</v>
      </c>
      <c r="AN452" t="str">
        <f>'[1]Forward Ranks'!B452</f>
        <v>CBJ</v>
      </c>
      <c r="AO452">
        <f>'[1]F on ice'!E452</f>
        <v>30</v>
      </c>
      <c r="AP452" s="2">
        <f>'[1]Impact Score Math'!E452</f>
        <v>0.36272545090180358</v>
      </c>
      <c r="AQ452">
        <f>'[1]Impact Score Math'!G452</f>
        <v>319</v>
      </c>
      <c r="AT452" s="1">
        <f>'[1]Forward Ranks'!CJ452</f>
        <v>0.70960698689956336</v>
      </c>
      <c r="AU452" s="1">
        <f>'[1]Forward Ranks'!CK452</f>
        <v>5.2401746724890827E-2</v>
      </c>
    </row>
    <row r="453" spans="1:47" x14ac:dyDescent="0.3">
      <c r="A453" t="str">
        <f>'[1]Forward Ranks'!A453</f>
        <v>Yegor Sharangovich</v>
      </c>
      <c r="B453">
        <f>'[1]Forward Ranks'!D453</f>
        <v>0</v>
      </c>
      <c r="C453" s="1">
        <f>'[1]Forward Ranks'!I453</f>
        <v>0.66593886462882101</v>
      </c>
      <c r="D453" s="1">
        <f>'[1]Forward Ranks'!J453</f>
        <v>0.71834061135371174</v>
      </c>
      <c r="E453" s="1">
        <f>'[1]Forward Ranks'!K453</f>
        <v>0.43886462882096072</v>
      </c>
      <c r="F453" s="1">
        <f>'[1]Forward Ranks'!L453</f>
        <v>0.76200873362445409</v>
      </c>
      <c r="G453">
        <f>'[1]Forward Ranks'!N453</f>
        <v>0</v>
      </c>
      <c r="H453" s="1">
        <f>'[1]Forward Ranks'!S453</f>
        <v>0.388646288209607</v>
      </c>
      <c r="I453" s="1">
        <f>'[1]Forward Ranks'!T453</f>
        <v>0.51528384279475981</v>
      </c>
      <c r="J453" s="1">
        <f>'[1]Forward Ranks'!U453</f>
        <v>0.48034934497816595</v>
      </c>
      <c r="K453" s="1">
        <f>'[1]Forward Ranks'!V453</f>
        <v>0.4606986899563319</v>
      </c>
      <c r="L453">
        <f>'[1]Forward Ranks'!X453</f>
        <v>0</v>
      </c>
      <c r="M453" s="1">
        <f>'[1]Forward Ranks'!AC453</f>
        <v>0.72270742358078599</v>
      </c>
      <c r="N453" s="1">
        <f>'[1]Forward Ranks'!AD453</f>
        <v>0.32751091703056767</v>
      </c>
      <c r="O453" s="1">
        <f>'[1]Forward Ranks'!AE453</f>
        <v>0.29039301310043669</v>
      </c>
      <c r="P453" s="1">
        <f>'[1]Forward Ranks'!AF453</f>
        <v>0.52838427947598254</v>
      </c>
      <c r="Q453">
        <f>'[1]Forward Ranks'!AH453</f>
        <v>0</v>
      </c>
      <c r="R453" s="1">
        <f>'[1]Forward Ranks'!AM453</f>
        <v>0.19868995633187772</v>
      </c>
      <c r="S453" s="1">
        <f>'[1]Forward Ranks'!AN453</f>
        <v>0.1703056768558952</v>
      </c>
      <c r="T453" s="1">
        <f>'[1]Forward Ranks'!AO453</f>
        <v>0.1965065502183406</v>
      </c>
      <c r="U453" s="1">
        <f>'[1]Forward Ranks'!AP453</f>
        <v>0.24454148471615719</v>
      </c>
      <c r="V453">
        <f>'[1]Forward Ranks'!AR453</f>
        <v>0</v>
      </c>
      <c r="W453" s="1">
        <f>'[1]Forward Ranks'!AW453</f>
        <v>0.46506550218340609</v>
      </c>
      <c r="X453" s="1">
        <f>'[1]Forward Ranks'!AX453</f>
        <v>2.8384279475982533E-2</v>
      </c>
      <c r="Y453" s="1">
        <f>'[1]Forward Ranks'!AY453</f>
        <v>7.2052401746724892E-2</v>
      </c>
      <c r="Z453" s="1">
        <f>'[1]Forward Ranks'!AZ453</f>
        <v>0.21179039301310043</v>
      </c>
      <c r="AA453">
        <f>'[1]Forward Ranks'!BB453</f>
        <v>0</v>
      </c>
      <c r="AB453" s="1">
        <f>'[1]Forward Ranks'!BG453</f>
        <v>0.45196506550218341</v>
      </c>
      <c r="AC453" s="1">
        <f>'[1]Forward Ranks'!BH453</f>
        <v>0.90829694323144106</v>
      </c>
      <c r="AD453" s="1">
        <f>'[1]Forward Ranks'!BI453</f>
        <v>0.36244541484716158</v>
      </c>
      <c r="AE453" s="1">
        <f>'[1]Forward Ranks'!BJ453</f>
        <v>0.11790393013100436</v>
      </c>
      <c r="AF453">
        <f>'[1]Forward Ranks'!BL453</f>
        <v>0</v>
      </c>
      <c r="AG453" s="1">
        <f>'[1]Forward Ranks'!BQ453</f>
        <v>0.73144104803493448</v>
      </c>
      <c r="AH453" s="1">
        <f>'[1]Forward Ranks'!BR453</f>
        <v>0.54366812227074235</v>
      </c>
      <c r="AI453" s="1">
        <f>'[1]Forward Ranks'!BS453</f>
        <v>0.30786026200873362</v>
      </c>
      <c r="AJ453" s="1">
        <f>'[1]Forward Ranks'!BT453</f>
        <v>0.73144104803493448</v>
      </c>
      <c r="AL453" s="2">
        <f>'[1]Forward Ranks'!BX453</f>
        <v>0.49344978165938863</v>
      </c>
      <c r="AN453" t="str">
        <f>'[1]Forward Ranks'!B453</f>
        <v>N.J</v>
      </c>
      <c r="AO453">
        <f>'[1]F on ice'!E453</f>
        <v>75</v>
      </c>
      <c r="AP453" s="2">
        <f>'[1]Impact Score Math'!E453</f>
        <v>0.5350701402805611</v>
      </c>
      <c r="AQ453">
        <f>'[1]Impact Score Math'!G453</f>
        <v>233</v>
      </c>
      <c r="AT453" s="1">
        <f>'[1]Forward Ranks'!CJ453</f>
        <v>0.68995633187772931</v>
      </c>
      <c r="AU453" s="1">
        <f>'[1]Forward Ranks'!CK453</f>
        <v>8.5152838427947602E-2</v>
      </c>
    </row>
    <row r="454" spans="1:47" x14ac:dyDescent="0.3">
      <c r="A454" t="str">
        <f>'[1]Forward Ranks'!A454</f>
        <v>Zach Aston-Reese</v>
      </c>
      <c r="B454">
        <f>'[1]Forward Ranks'!D454</f>
        <v>0</v>
      </c>
      <c r="C454" s="1">
        <f>'[1]Forward Ranks'!I454</f>
        <v>0.21397379912663755</v>
      </c>
      <c r="D454" s="1">
        <f>'[1]Forward Ranks'!J454</f>
        <v>0.4366812227074236</v>
      </c>
      <c r="E454" s="1">
        <f>'[1]Forward Ranks'!K454</f>
        <v>8.9519650655021835E-2</v>
      </c>
      <c r="F454" s="1">
        <f>'[1]Forward Ranks'!L454</f>
        <v>0.20087336244541484</v>
      </c>
      <c r="G454">
        <f>'[1]Forward Ranks'!N454</f>
        <v>0</v>
      </c>
      <c r="H454" s="1">
        <f>'[1]Forward Ranks'!S454</f>
        <v>0.64847161572052403</v>
      </c>
      <c r="I454" s="1">
        <f>'[1]Forward Ranks'!T454</f>
        <v>4.5851528384279479E-2</v>
      </c>
      <c r="J454" s="1">
        <f>'[1]Forward Ranks'!U454</f>
        <v>6.768558951965066E-2</v>
      </c>
      <c r="K454" s="1">
        <f>'[1]Forward Ranks'!V454</f>
        <v>0.14410480349344978</v>
      </c>
      <c r="L454">
        <f>'[1]Forward Ranks'!X454</f>
        <v>0</v>
      </c>
      <c r="M454" s="1">
        <f>'[1]Forward Ranks'!AC454</f>
        <v>0.79257641921397382</v>
      </c>
      <c r="N454" s="1">
        <f>'[1]Forward Ranks'!AD454</f>
        <v>0.70960698689956336</v>
      </c>
      <c r="O454" s="1">
        <f>'[1]Forward Ranks'!AE454</f>
        <v>0.77292576419213976</v>
      </c>
      <c r="P454" s="1">
        <f>'[1]Forward Ranks'!AF454</f>
        <v>0.79912663755458513</v>
      </c>
      <c r="Q454">
        <f>'[1]Forward Ranks'!AH454</f>
        <v>0</v>
      </c>
      <c r="R454" s="1">
        <f>'[1]Forward Ranks'!AM454</f>
        <v>6.9868995633187769E-2</v>
      </c>
      <c r="S454" s="1">
        <f>'[1]Forward Ranks'!AN454</f>
        <v>6.768558951965066E-2</v>
      </c>
      <c r="T454" s="1">
        <f>'[1]Forward Ranks'!AO454</f>
        <v>2.1834061135371178E-2</v>
      </c>
      <c r="U454" s="1">
        <f>'[1]Forward Ranks'!AP454</f>
        <v>3.9301310043668124E-2</v>
      </c>
      <c r="V454">
        <f>'[1]Forward Ranks'!AR454</f>
        <v>0</v>
      </c>
      <c r="W454" s="1">
        <f>'[1]Forward Ranks'!AW454</f>
        <v>0.66157205240174677</v>
      </c>
      <c r="X454" s="1">
        <f>'[1]Forward Ranks'!AX454</f>
        <v>0.64847161572052403</v>
      </c>
      <c r="Y454" s="1">
        <f>'[1]Forward Ranks'!AY454</f>
        <v>0.55021834061135366</v>
      </c>
      <c r="Z454" s="1">
        <f>'[1]Forward Ranks'!AZ454</f>
        <v>0.67903930131004364</v>
      </c>
      <c r="AA454">
        <f>'[1]Forward Ranks'!BB454</f>
        <v>0</v>
      </c>
      <c r="AB454" s="1">
        <f>'[1]Forward Ranks'!BG454</f>
        <v>0.14410480349344978</v>
      </c>
      <c r="AC454" s="1">
        <f>'[1]Forward Ranks'!BH454</f>
        <v>0.12663755458515283</v>
      </c>
      <c r="AD454" s="1">
        <f>'[1]Forward Ranks'!BI454</f>
        <v>0.1091703056768559</v>
      </c>
      <c r="AE454" s="1">
        <f>'[1]Forward Ranks'!BJ454</f>
        <v>0.25982532751091703</v>
      </c>
      <c r="AF454">
        <f>'[1]Forward Ranks'!BL454</f>
        <v>0</v>
      </c>
      <c r="AG454" s="1">
        <f>'[1]Forward Ranks'!BQ454</f>
        <v>0.44541484716157204</v>
      </c>
      <c r="AH454" s="1">
        <f>'[1]Forward Ranks'!BR454</f>
        <v>0.53056768558951961</v>
      </c>
      <c r="AI454" s="1">
        <f>'[1]Forward Ranks'!BS454</f>
        <v>0.24454148471615719</v>
      </c>
      <c r="AJ454" s="1">
        <f>'[1]Forward Ranks'!BT454</f>
        <v>0.39082969432314413</v>
      </c>
      <c r="AL454" s="2">
        <f>'[1]Forward Ranks'!BX454</f>
        <v>0.26200873362445415</v>
      </c>
      <c r="AN454" t="str">
        <f>'[1]Forward Ranks'!B454</f>
        <v>TOR</v>
      </c>
      <c r="AO454">
        <f>'[1]F on ice'!E454</f>
        <v>77</v>
      </c>
      <c r="AP454" s="2">
        <f>'[1]Impact Score Math'!E454</f>
        <v>0.27054108216432865</v>
      </c>
      <c r="AQ454">
        <f>'[1]Impact Score Math'!G454</f>
        <v>365</v>
      </c>
      <c r="AT454" s="1">
        <f>'[1]Forward Ranks'!CJ454</f>
        <v>0.4606986899563319</v>
      </c>
      <c r="AU454" s="1">
        <f>'[1]Forward Ranks'!CK454</f>
        <v>0.26637554585152839</v>
      </c>
    </row>
    <row r="455" spans="1:47" x14ac:dyDescent="0.3">
      <c r="A455" t="str">
        <f>'[1]Forward Ranks'!A455</f>
        <v>Zach Hyman</v>
      </c>
      <c r="B455">
        <f>'[1]Forward Ranks'!D455</f>
        <v>0</v>
      </c>
      <c r="C455" s="1">
        <f>'[1]Forward Ranks'!I455</f>
        <v>0.87991266375545851</v>
      </c>
      <c r="D455" s="1">
        <f>'[1]Forward Ranks'!J455</f>
        <v>0.97161572052401746</v>
      </c>
      <c r="E455" s="1">
        <f>'[1]Forward Ranks'!K455</f>
        <v>0.98689956331877726</v>
      </c>
      <c r="F455" s="1">
        <f>'[1]Forward Ranks'!L455</f>
        <v>0.98908296943231444</v>
      </c>
      <c r="G455">
        <f>'[1]Forward Ranks'!N455</f>
        <v>0</v>
      </c>
      <c r="H455" s="1">
        <f>'[1]Forward Ranks'!S455</f>
        <v>0.61572052401746724</v>
      </c>
      <c r="I455" s="1">
        <f>'[1]Forward Ranks'!T455</f>
        <v>0.95196506550218341</v>
      </c>
      <c r="J455" s="1">
        <f>'[1]Forward Ranks'!U455</f>
        <v>0.92576419213973804</v>
      </c>
      <c r="K455" s="1">
        <f>'[1]Forward Ranks'!V455</f>
        <v>0.89082969432314407</v>
      </c>
      <c r="L455">
        <f>'[1]Forward Ranks'!X455</f>
        <v>0</v>
      </c>
      <c r="M455" s="1">
        <f>'[1]Forward Ranks'!AC455</f>
        <v>0.26200873362445415</v>
      </c>
      <c r="N455" s="1">
        <f>'[1]Forward Ranks'!AD455</f>
        <v>0.44978165938864628</v>
      </c>
      <c r="O455" s="1">
        <f>'[1]Forward Ranks'!AE455</f>
        <v>0.13973799126637554</v>
      </c>
      <c r="P455" s="1">
        <f>'[1]Forward Ranks'!AF455</f>
        <v>0.31441048034934499</v>
      </c>
      <c r="Q455">
        <f>'[1]Forward Ranks'!AH455</f>
        <v>0</v>
      </c>
      <c r="R455" s="1">
        <f>'[1]Forward Ranks'!AM455</f>
        <v>0.93013100436681218</v>
      </c>
      <c r="S455" s="1">
        <f>'[1]Forward Ranks'!AN455</f>
        <v>0.97379912663755464</v>
      </c>
      <c r="T455" s="1">
        <f>'[1]Forward Ranks'!AO455</f>
        <v>0.97161572052401746</v>
      </c>
      <c r="U455" s="1">
        <f>'[1]Forward Ranks'!AP455</f>
        <v>0.98908296943231444</v>
      </c>
      <c r="V455">
        <f>'[1]Forward Ranks'!AR455</f>
        <v>0</v>
      </c>
      <c r="W455" s="1">
        <f>'[1]Forward Ranks'!AW455</f>
        <v>5.458515283842795E-2</v>
      </c>
      <c r="X455" s="1">
        <f>'[1]Forward Ranks'!AX455</f>
        <v>9.3886462882096067E-2</v>
      </c>
      <c r="Y455" s="1">
        <f>'[1]Forward Ranks'!AY455</f>
        <v>3.4934497816593885E-2</v>
      </c>
      <c r="Z455" s="1">
        <f>'[1]Forward Ranks'!AZ455</f>
        <v>0.11572052401746726</v>
      </c>
      <c r="AA455">
        <f>'[1]Forward Ranks'!BB455</f>
        <v>0</v>
      </c>
      <c r="AB455" s="1">
        <f>'[1]Forward Ranks'!BG455</f>
        <v>0.9759825327510917</v>
      </c>
      <c r="AC455" s="1">
        <f>'[1]Forward Ranks'!BH455</f>
        <v>0.81659388646288211</v>
      </c>
      <c r="AD455" s="1">
        <f>'[1]Forward Ranks'!BI455</f>
        <v>0.90611353711790388</v>
      </c>
      <c r="AE455" s="1">
        <f>'[1]Forward Ranks'!BJ455</f>
        <v>0.61790393013100442</v>
      </c>
      <c r="AF455">
        <f>'[1]Forward Ranks'!BL455</f>
        <v>0</v>
      </c>
      <c r="AG455" s="1">
        <f>'[1]Forward Ranks'!BQ455</f>
        <v>0.68558951965065507</v>
      </c>
      <c r="AH455" s="1">
        <f>'[1]Forward Ranks'!BR455</f>
        <v>0.90611353711790388</v>
      </c>
      <c r="AI455" s="1">
        <f>'[1]Forward Ranks'!BS455</f>
        <v>0.72925764192139741</v>
      </c>
      <c r="AJ455" s="1">
        <f>'[1]Forward Ranks'!BT455</f>
        <v>0.8973799126637555</v>
      </c>
      <c r="AL455" s="2">
        <f>'[1]Forward Ranks'!BX455</f>
        <v>0.81004366812227069</v>
      </c>
      <c r="AN455" t="str">
        <f>'[1]Forward Ranks'!B455</f>
        <v>EDM</v>
      </c>
      <c r="AO455">
        <f>'[1]F on ice'!E455</f>
        <v>79</v>
      </c>
      <c r="AP455" s="2">
        <f>'[1]Impact Score Math'!E455</f>
        <v>0.93987975951903813</v>
      </c>
      <c r="AQ455">
        <f>'[1]Impact Score Math'!G455</f>
        <v>31</v>
      </c>
      <c r="AT455" s="1">
        <f>'[1]Forward Ranks'!CJ455</f>
        <v>0.48689956331877732</v>
      </c>
      <c r="AU455" s="1">
        <f>'[1]Forward Ranks'!CK455</f>
        <v>0.64192139737991272</v>
      </c>
    </row>
    <row r="456" spans="1:47" x14ac:dyDescent="0.3">
      <c r="A456" t="str">
        <f>'[1]Forward Ranks'!A456</f>
        <v>Zach Parise</v>
      </c>
      <c r="B456">
        <f>'[1]Forward Ranks'!D456</f>
        <v>0</v>
      </c>
      <c r="C456" s="1">
        <f>'[1]Forward Ranks'!I456</f>
        <v>0.46724890829694321</v>
      </c>
      <c r="D456" s="1">
        <f>'[1]Forward Ranks'!J456</f>
        <v>0.78384279475982532</v>
      </c>
      <c r="E456" s="1">
        <f>'[1]Forward Ranks'!K456</f>
        <v>0.26637554585152839</v>
      </c>
      <c r="F456" s="1">
        <f>'[1]Forward Ranks'!L456</f>
        <v>0.73362445414847166</v>
      </c>
      <c r="G456">
        <f>'[1]Forward Ranks'!N456</f>
        <v>0</v>
      </c>
      <c r="H456" s="1">
        <f>'[1]Forward Ranks'!S456</f>
        <v>0.56986899563318782</v>
      </c>
      <c r="I456" s="1">
        <f>'[1]Forward Ranks'!T456</f>
        <v>0.14410480349344978</v>
      </c>
      <c r="J456" s="1">
        <f>'[1]Forward Ranks'!U456</f>
        <v>0.23580786026200873</v>
      </c>
      <c r="K456" s="1">
        <f>'[1]Forward Ranks'!V456</f>
        <v>0.23144104803493451</v>
      </c>
      <c r="L456">
        <f>'[1]Forward Ranks'!X456</f>
        <v>0</v>
      </c>
      <c r="M456" s="1">
        <f>'[1]Forward Ranks'!AC456</f>
        <v>0.15938864628820962</v>
      </c>
      <c r="N456" s="1">
        <f>'[1]Forward Ranks'!AD456</f>
        <v>0.32751091703056767</v>
      </c>
      <c r="O456" s="1">
        <f>'[1]Forward Ranks'!AE456</f>
        <v>0.92794759825327511</v>
      </c>
      <c r="P456" s="1">
        <f>'[1]Forward Ranks'!AF456</f>
        <v>0.32532751091703055</v>
      </c>
      <c r="Q456">
        <f>'[1]Forward Ranks'!AH456</f>
        <v>0</v>
      </c>
      <c r="R456" s="1">
        <f>'[1]Forward Ranks'!AM456</f>
        <v>0.37991266375545851</v>
      </c>
      <c r="S456" s="1">
        <f>'[1]Forward Ranks'!AN456</f>
        <v>0.77074235807860259</v>
      </c>
      <c r="T456" s="1">
        <f>'[1]Forward Ranks'!AO456</f>
        <v>0.20524017467248909</v>
      </c>
      <c r="U456" s="1">
        <f>'[1]Forward Ranks'!AP456</f>
        <v>0.72707423580786024</v>
      </c>
      <c r="V456">
        <f>'[1]Forward Ranks'!AR456</f>
        <v>0</v>
      </c>
      <c r="W456" s="1">
        <f>'[1]Forward Ranks'!AW456</f>
        <v>0.13755458515283842</v>
      </c>
      <c r="X456" s="1">
        <f>'[1]Forward Ranks'!AX456</f>
        <v>0.50218340611353707</v>
      </c>
      <c r="Y456" s="1">
        <f>'[1]Forward Ranks'!AY456</f>
        <v>0.82751091703056767</v>
      </c>
      <c r="Z456" s="1">
        <f>'[1]Forward Ranks'!AZ456</f>
        <v>0.39956331877729256</v>
      </c>
      <c r="AA456">
        <f>'[1]Forward Ranks'!BB456</f>
        <v>0</v>
      </c>
      <c r="AB456" s="1">
        <f>'[1]Forward Ranks'!BG456</f>
        <v>0.52620087336244536</v>
      </c>
      <c r="AC456" s="1">
        <f>'[1]Forward Ranks'!BH456</f>
        <v>0.25545851528384278</v>
      </c>
      <c r="AD456" s="1">
        <f>'[1]Forward Ranks'!BI456</f>
        <v>0.24017467248908297</v>
      </c>
      <c r="AE456" s="1">
        <f>'[1]Forward Ranks'!BJ456</f>
        <v>0.77947598253275108</v>
      </c>
      <c r="AF456">
        <f>'[1]Forward Ranks'!BL456</f>
        <v>0</v>
      </c>
      <c r="AG456" s="1">
        <f>'[1]Forward Ranks'!BQ456</f>
        <v>0.29039301310043669</v>
      </c>
      <c r="AH456" s="1">
        <f>'[1]Forward Ranks'!BR456</f>
        <v>0.64410480349344978</v>
      </c>
      <c r="AI456" s="1">
        <f>'[1]Forward Ranks'!BS456</f>
        <v>0.70524017467248912</v>
      </c>
      <c r="AJ456" s="1">
        <f>'[1]Forward Ranks'!BT456</f>
        <v>0.58515283842794763</v>
      </c>
      <c r="AL456" s="2">
        <f>'[1]Forward Ranks'!BX456</f>
        <v>0.31877729257641924</v>
      </c>
      <c r="AN456" t="str">
        <f>'[1]Forward Ranks'!B456</f>
        <v>NYI</v>
      </c>
      <c r="AO456">
        <f>'[1]F on ice'!E456</f>
        <v>82</v>
      </c>
      <c r="AP456" s="2">
        <f>'[1]Impact Score Math'!E456</f>
        <v>0.43086172344689377</v>
      </c>
      <c r="AQ456">
        <f>'[1]Impact Score Math'!G456</f>
        <v>285</v>
      </c>
      <c r="AT456" s="1">
        <f>'[1]Forward Ranks'!CJ456</f>
        <v>0.55458515283842791</v>
      </c>
      <c r="AU456" s="1">
        <f>'[1]Forward Ranks'!CK456</f>
        <v>0.24890829694323144</v>
      </c>
    </row>
    <row r="457" spans="1:47" x14ac:dyDescent="0.3">
      <c r="A457" t="str">
        <f>'[1]Forward Ranks'!A457</f>
        <v>Zack Kassian</v>
      </c>
      <c r="B457">
        <f>'[1]Forward Ranks'!D457</f>
        <v>0</v>
      </c>
      <c r="C457" s="1">
        <f>'[1]Forward Ranks'!I457</f>
        <v>6.5502183406113534E-3</v>
      </c>
      <c r="D457" s="1">
        <f>'[1]Forward Ranks'!J457</f>
        <v>1.3100436681222707E-2</v>
      </c>
      <c r="E457" s="1">
        <f>'[1]Forward Ranks'!K457</f>
        <v>4.3668122270742356E-3</v>
      </c>
      <c r="F457" s="1">
        <f>'[1]Forward Ranks'!L457</f>
        <v>1.0917030567685589E-2</v>
      </c>
      <c r="G457">
        <f>'[1]Forward Ranks'!N457</f>
        <v>0</v>
      </c>
      <c r="H457" s="1">
        <f>'[1]Forward Ranks'!S457</f>
        <v>5.8951965065502182E-2</v>
      </c>
      <c r="I457" s="1">
        <f>'[1]Forward Ranks'!T457</f>
        <v>2.1834061135371178E-3</v>
      </c>
      <c r="J457" s="1">
        <f>'[1]Forward Ranks'!U457</f>
        <v>2.1834061135371178E-3</v>
      </c>
      <c r="K457" s="1">
        <f>'[1]Forward Ranks'!V457</f>
        <v>4.3668122270742356E-3</v>
      </c>
      <c r="L457">
        <f>'[1]Forward Ranks'!X457</f>
        <v>0</v>
      </c>
      <c r="M457" s="1">
        <f>'[1]Forward Ranks'!AC457</f>
        <v>5.0218340611353711E-2</v>
      </c>
      <c r="N457" s="1">
        <f>'[1]Forward Ranks'!AD457</f>
        <v>4.8034934497816595E-2</v>
      </c>
      <c r="O457" s="1">
        <f>'[1]Forward Ranks'!AE457</f>
        <v>0.23362445414847161</v>
      </c>
      <c r="P457" s="1">
        <f>'[1]Forward Ranks'!AF457</f>
        <v>9.606986899563319E-2</v>
      </c>
      <c r="Q457">
        <f>'[1]Forward Ranks'!AH457</f>
        <v>0</v>
      </c>
      <c r="R457" s="1">
        <f>'[1]Forward Ranks'!AM457</f>
        <v>2.8384279475982533E-2</v>
      </c>
      <c r="S457" s="1">
        <f>'[1]Forward Ranks'!AN457</f>
        <v>4.148471615720524E-2</v>
      </c>
      <c r="T457" s="1">
        <f>'[1]Forward Ranks'!AO457</f>
        <v>6.5502183406113534E-3</v>
      </c>
      <c r="U457" s="1">
        <f>'[1]Forward Ranks'!AP457</f>
        <v>5.458515283842795E-2</v>
      </c>
      <c r="V457">
        <f>'[1]Forward Ranks'!AR457</f>
        <v>0</v>
      </c>
      <c r="W457" s="1">
        <f>'[1]Forward Ranks'!AW457</f>
        <v>7.6419213973799124E-2</v>
      </c>
      <c r="X457" s="1">
        <f>'[1]Forward Ranks'!AX457</f>
        <v>6.3318777292576414E-2</v>
      </c>
      <c r="Y457" s="1">
        <f>'[1]Forward Ranks'!AY457</f>
        <v>0.29475982532751094</v>
      </c>
      <c r="Z457" s="1">
        <f>'[1]Forward Ranks'!AZ457</f>
        <v>0.13973799126637554</v>
      </c>
      <c r="AA457">
        <f>'[1]Forward Ranks'!BB457</f>
        <v>0</v>
      </c>
      <c r="AB457" s="1">
        <f>'[1]Forward Ranks'!BG457</f>
        <v>4.8034934497816595E-2</v>
      </c>
      <c r="AC457" s="1">
        <f>'[1]Forward Ranks'!BH457</f>
        <v>0.14192139737991266</v>
      </c>
      <c r="AD457" s="1">
        <f>'[1]Forward Ranks'!BI457</f>
        <v>4.3668122270742356E-3</v>
      </c>
      <c r="AE457" s="1">
        <f>'[1]Forward Ranks'!BJ457</f>
        <v>1.9650655021834062E-2</v>
      </c>
      <c r="AF457">
        <f>'[1]Forward Ranks'!BL457</f>
        <v>0</v>
      </c>
      <c r="AG457" s="1">
        <f>'[1]Forward Ranks'!BQ457</f>
        <v>2.1834061135371178E-3</v>
      </c>
      <c r="AH457" s="1">
        <f>'[1]Forward Ranks'!BR457</f>
        <v>6.5502183406113534E-3</v>
      </c>
      <c r="AI457" s="1">
        <f>'[1]Forward Ranks'!BS457</f>
        <v>4.3668122270742356E-3</v>
      </c>
      <c r="AJ457" s="1">
        <f>'[1]Forward Ranks'!BT457</f>
        <v>4.3668122270742356E-3</v>
      </c>
      <c r="AL457" s="2">
        <f>'[1]Forward Ranks'!BX457</f>
        <v>2.1834061135371178E-3</v>
      </c>
      <c r="AN457" t="str">
        <f>'[1]Forward Ranks'!B457</f>
        <v>ARI</v>
      </c>
      <c r="AO457">
        <f>'[1]F on ice'!E457</f>
        <v>51</v>
      </c>
      <c r="AP457" s="2">
        <f>'[1]Impact Score Math'!E457</f>
        <v>8.4168336673346694E-2</v>
      </c>
      <c r="AQ457">
        <f>'[1]Impact Score Math'!G457</f>
        <v>458</v>
      </c>
      <c r="AT457" s="1">
        <f>'[1]Forward Ranks'!CJ457</f>
        <v>6.768558951965066E-2</v>
      </c>
      <c r="AU457" s="1">
        <f>'[1]Forward Ranks'!CK457</f>
        <v>0.29039301310043669</v>
      </c>
    </row>
    <row r="458" spans="1:47" x14ac:dyDescent="0.3">
      <c r="A458" t="str">
        <f>'[1]Forward Ranks'!A458</f>
        <v>Zack MacEwen</v>
      </c>
      <c r="B458">
        <f>'[1]Forward Ranks'!D458</f>
        <v>0</v>
      </c>
      <c r="C458" s="1">
        <f>'[1]Forward Ranks'!I458</f>
        <v>0.22270742358078602</v>
      </c>
      <c r="D458" s="1">
        <f>'[1]Forward Ranks'!J458</f>
        <v>0.37117903930131002</v>
      </c>
      <c r="E458" s="1">
        <f>'[1]Forward Ranks'!K458</f>
        <v>6.768558951965066E-2</v>
      </c>
      <c r="F458" s="1">
        <f>'[1]Forward Ranks'!L458</f>
        <v>0.17685589519650655</v>
      </c>
      <c r="G458">
        <f>'[1]Forward Ranks'!N458</f>
        <v>0</v>
      </c>
      <c r="H458" s="1">
        <f>'[1]Forward Ranks'!S458</f>
        <v>0.15502183406113537</v>
      </c>
      <c r="I458" s="1">
        <f>'[1]Forward Ranks'!T458</f>
        <v>0.16375545851528384</v>
      </c>
      <c r="J458" s="1">
        <f>'[1]Forward Ranks'!U458</f>
        <v>3.4934497816593885E-2</v>
      </c>
      <c r="K458" s="1">
        <f>'[1]Forward Ranks'!V458</f>
        <v>9.1703056768558958E-2</v>
      </c>
      <c r="L458">
        <f>'[1]Forward Ranks'!X458</f>
        <v>0</v>
      </c>
      <c r="M458" s="1">
        <f>'[1]Forward Ranks'!AC458</f>
        <v>0.5240174672489083</v>
      </c>
      <c r="N458" s="1">
        <f>'[1]Forward Ranks'!AD458</f>
        <v>0.32751091703056767</v>
      </c>
      <c r="O458" s="1">
        <f>'[1]Forward Ranks'!AE458</f>
        <v>0.65938864628820959</v>
      </c>
      <c r="P458" s="1">
        <f>'[1]Forward Ranks'!AF458</f>
        <v>0.51310043668122274</v>
      </c>
      <c r="Q458">
        <f>'[1]Forward Ranks'!AH458</f>
        <v>0</v>
      </c>
      <c r="R458" s="1">
        <f>'[1]Forward Ranks'!AM458</f>
        <v>0.16375545851528384</v>
      </c>
      <c r="S458" s="1">
        <f>'[1]Forward Ranks'!AN458</f>
        <v>0.51091703056768556</v>
      </c>
      <c r="T458" s="1">
        <f>'[1]Forward Ranks'!AO458</f>
        <v>0.12008733624454149</v>
      </c>
      <c r="U458" s="1">
        <f>'[1]Forward Ranks'!AP458</f>
        <v>0.29257641921397382</v>
      </c>
      <c r="V458">
        <f>'[1]Forward Ranks'!AR458</f>
        <v>0</v>
      </c>
      <c r="W458" s="1">
        <f>'[1]Forward Ranks'!AW458</f>
        <v>0.55021834061135366</v>
      </c>
      <c r="X458" s="1">
        <f>'[1]Forward Ranks'!AX458</f>
        <v>0.38646288209606988</v>
      </c>
      <c r="Y458" s="1">
        <f>'[1]Forward Ranks'!AY458</f>
        <v>0.53711790393013104</v>
      </c>
      <c r="Z458" s="1">
        <f>'[1]Forward Ranks'!AZ458</f>
        <v>0.5873362445414847</v>
      </c>
      <c r="AA458">
        <f>'[1]Forward Ranks'!BB458</f>
        <v>0</v>
      </c>
      <c r="AB458" s="1">
        <f>'[1]Forward Ranks'!BG458</f>
        <v>0.26637554585152839</v>
      </c>
      <c r="AC458" s="1">
        <f>'[1]Forward Ranks'!BH458</f>
        <v>0.43231441048034935</v>
      </c>
      <c r="AD458" s="1">
        <f>'[1]Forward Ranks'!BI458</f>
        <v>7.2052401746724892E-2</v>
      </c>
      <c r="AE458" s="1">
        <f>'[1]Forward Ranks'!BJ458</f>
        <v>0.2183406113537118</v>
      </c>
      <c r="AF458">
        <f>'[1]Forward Ranks'!BL458</f>
        <v>0</v>
      </c>
      <c r="AG458" s="1">
        <f>'[1]Forward Ranks'!BQ458</f>
        <v>0.32096069868995636</v>
      </c>
      <c r="AH458" s="1">
        <f>'[1]Forward Ranks'!BR458</f>
        <v>0.31004366812227074</v>
      </c>
      <c r="AI458" s="1">
        <f>'[1]Forward Ranks'!BS458</f>
        <v>0.17467248908296942</v>
      </c>
      <c r="AJ458" s="1">
        <f>'[1]Forward Ranks'!BT458</f>
        <v>0.25327510917030566</v>
      </c>
      <c r="AL458" s="2">
        <f>'[1]Forward Ranks'!BX458</f>
        <v>0.15938864628820962</v>
      </c>
      <c r="AN458" t="str">
        <f>'[1]Forward Ranks'!B458</f>
        <v>L.A, PHI</v>
      </c>
      <c r="AO458">
        <f>'[1]F on ice'!E458</f>
        <v>56</v>
      </c>
      <c r="AP458" s="2">
        <f>'[1]Impact Score Math'!E458</f>
        <v>0.22244488977955912</v>
      </c>
      <c r="AQ458">
        <f>'[1]Impact Score Math'!G458</f>
        <v>389</v>
      </c>
      <c r="AT458" s="1">
        <f>'[1]Forward Ranks'!CJ458</f>
        <v>7.2052401746724892E-2</v>
      </c>
      <c r="AU458" s="1">
        <f>'[1]Forward Ranks'!CK458</f>
        <v>0.85152838427947597</v>
      </c>
    </row>
    <row r="459" spans="1:47" x14ac:dyDescent="0.3">
      <c r="A459" t="str">
        <f>'[1]Forward Ranks'!A459</f>
        <v>Zemgus Girgensons</v>
      </c>
      <c r="B459">
        <f>'[1]Forward Ranks'!D459</f>
        <v>0</v>
      </c>
      <c r="C459" s="1">
        <f>'[1]Forward Ranks'!I459</f>
        <v>0.31659388646288211</v>
      </c>
      <c r="D459" s="1">
        <f>'[1]Forward Ranks'!J459</f>
        <v>0.16157205240174671</v>
      </c>
      <c r="E459" s="1">
        <f>'[1]Forward Ranks'!K459</f>
        <v>4.148471615720524E-2</v>
      </c>
      <c r="F459" s="1">
        <f>'[1]Forward Ranks'!L459</f>
        <v>0.23362445414847161</v>
      </c>
      <c r="G459">
        <f>'[1]Forward Ranks'!N459</f>
        <v>0</v>
      </c>
      <c r="H459" s="1">
        <f>'[1]Forward Ranks'!S459</f>
        <v>0.388646288209607</v>
      </c>
      <c r="I459" s="1">
        <f>'[1]Forward Ranks'!T459</f>
        <v>5.0218340611353711E-2</v>
      </c>
      <c r="J459" s="1">
        <f>'[1]Forward Ranks'!U459</f>
        <v>2.4017467248908297E-2</v>
      </c>
      <c r="K459" s="1">
        <f>'[1]Forward Ranks'!V459</f>
        <v>7.6419213973799124E-2</v>
      </c>
      <c r="L459">
        <f>'[1]Forward Ranks'!X459</f>
        <v>0</v>
      </c>
      <c r="M459" s="1">
        <f>'[1]Forward Ranks'!AC459</f>
        <v>0.95851528384279472</v>
      </c>
      <c r="N459" s="1">
        <f>'[1]Forward Ranks'!AD459</f>
        <v>0.70960698689956336</v>
      </c>
      <c r="O459" s="1">
        <f>'[1]Forward Ranks'!AE459</f>
        <v>0.85152838427947597</v>
      </c>
      <c r="P459" s="1">
        <f>'[1]Forward Ranks'!AF459</f>
        <v>0.9126637554585153</v>
      </c>
      <c r="Q459">
        <f>'[1]Forward Ranks'!AH459</f>
        <v>0</v>
      </c>
      <c r="R459" s="1">
        <f>'[1]Forward Ranks'!AM459</f>
        <v>0.12882096069868995</v>
      </c>
      <c r="S459" s="1">
        <f>'[1]Forward Ranks'!AN459</f>
        <v>8.9519650655021835E-2</v>
      </c>
      <c r="T459" s="1">
        <f>'[1]Forward Ranks'!AO459</f>
        <v>1.0917030567685589E-2</v>
      </c>
      <c r="U459" s="1">
        <f>'[1]Forward Ranks'!AP459</f>
        <v>8.9519650655021835E-2</v>
      </c>
      <c r="V459">
        <f>'[1]Forward Ranks'!AR459</f>
        <v>0</v>
      </c>
      <c r="W459" s="1">
        <f>'[1]Forward Ranks'!AW459</f>
        <v>0.99126637554585151</v>
      </c>
      <c r="X459" s="1">
        <f>'[1]Forward Ranks'!AX459</f>
        <v>0.97379912663755464</v>
      </c>
      <c r="Y459" s="1">
        <f>'[1]Forward Ranks'!AY459</f>
        <v>0.99126637554585151</v>
      </c>
      <c r="Z459" s="1">
        <f>'[1]Forward Ranks'!AZ459</f>
        <v>0.99344978165938869</v>
      </c>
      <c r="AA459">
        <f>'[1]Forward Ranks'!BB459</f>
        <v>0</v>
      </c>
      <c r="AB459" s="1">
        <f>'[1]Forward Ranks'!BG459</f>
        <v>0.31004366812227074</v>
      </c>
      <c r="AC459" s="1">
        <f>'[1]Forward Ranks'!BH459</f>
        <v>0.22270742358078602</v>
      </c>
      <c r="AD459" s="1">
        <f>'[1]Forward Ranks'!BI459</f>
        <v>3.2751091703056769E-2</v>
      </c>
      <c r="AE459" s="1">
        <f>'[1]Forward Ranks'!BJ459</f>
        <v>0.12663755458515283</v>
      </c>
      <c r="AF459">
        <f>'[1]Forward Ranks'!BL459</f>
        <v>0</v>
      </c>
      <c r="AG459" s="1">
        <f>'[1]Forward Ranks'!BQ459</f>
        <v>0.68777292576419213</v>
      </c>
      <c r="AH459" s="1">
        <f>'[1]Forward Ranks'!BR459</f>
        <v>0.30131004366812225</v>
      </c>
      <c r="AI459" s="1">
        <f>'[1]Forward Ranks'!BS459</f>
        <v>0.19868995633187772</v>
      </c>
      <c r="AJ459" s="1">
        <f>'[1]Forward Ranks'!BT459</f>
        <v>0.54148471615720528</v>
      </c>
      <c r="AL459" s="2">
        <f>'[1]Forward Ranks'!BX459</f>
        <v>0.54148471615720528</v>
      </c>
      <c r="AN459" t="str">
        <f>'[1]Forward Ranks'!B459</f>
        <v>BUF</v>
      </c>
      <c r="AO459">
        <f>'[1]F on ice'!E459</f>
        <v>80</v>
      </c>
      <c r="AP459" s="2">
        <f>'[1]Impact Score Math'!E459</f>
        <v>0.52705410821643284</v>
      </c>
      <c r="AQ459">
        <f>'[1]Impact Score Math'!G459</f>
        <v>237</v>
      </c>
      <c r="AT459" s="1">
        <f>'[1]Forward Ranks'!CJ459</f>
        <v>0.76855895196506552</v>
      </c>
      <c r="AU459" s="1">
        <f>'[1]Forward Ranks'!CK459</f>
        <v>0.54803493449781659</v>
      </c>
    </row>
    <row r="460" spans="1:47" x14ac:dyDescent="0.3">
      <c r="AL460" s="2"/>
      <c r="AN460"/>
      <c r="AP460" s="2"/>
    </row>
    <row r="461" spans="1:47" x14ac:dyDescent="0.3">
      <c r="AL461" s="2"/>
      <c r="AN461"/>
      <c r="AP461" s="2"/>
    </row>
    <row r="462" spans="1:47" x14ac:dyDescent="0.3">
      <c r="AL462" s="2"/>
      <c r="AN462"/>
      <c r="AP462" s="2"/>
    </row>
    <row r="463" spans="1:47" x14ac:dyDescent="0.3">
      <c r="AL463" s="2"/>
      <c r="AN463"/>
      <c r="AP463" s="2"/>
    </row>
    <row r="464" spans="1:47" x14ac:dyDescent="0.3">
      <c r="AL464" s="2"/>
      <c r="AN464"/>
      <c r="AP464" s="2"/>
    </row>
    <row r="465" spans="1:47" x14ac:dyDescent="0.3">
      <c r="A465" t="s">
        <v>92</v>
      </c>
      <c r="B465">
        <v>0</v>
      </c>
      <c r="C465" s="1">
        <v>0.94377510040160639</v>
      </c>
      <c r="D465">
        <v>0.96385542168674698</v>
      </c>
      <c r="E465">
        <v>0.64658634538152615</v>
      </c>
      <c r="F465">
        <v>0.94779116465863456</v>
      </c>
      <c r="G465">
        <v>0</v>
      </c>
      <c r="H465">
        <v>0.57028112449799195</v>
      </c>
      <c r="I465">
        <v>0.40160642570281124</v>
      </c>
      <c r="J465">
        <v>0.74698795180722888</v>
      </c>
      <c r="K465">
        <v>0.41767068273092367</v>
      </c>
      <c r="L465">
        <v>0</v>
      </c>
      <c r="M465">
        <v>0.34538152610441769</v>
      </c>
      <c r="N465">
        <v>0.10843373493975904</v>
      </c>
      <c r="O465">
        <v>0.20481927710843373</v>
      </c>
      <c r="P465">
        <v>0.17670682730923695</v>
      </c>
      <c r="Q465">
        <v>0</v>
      </c>
      <c r="R465">
        <v>0.65863453815261042</v>
      </c>
      <c r="S465">
        <v>0.6987951807228916</v>
      </c>
      <c r="T465">
        <v>0.2289156626506024</v>
      </c>
      <c r="U465">
        <v>0.67068273092369479</v>
      </c>
      <c r="V465">
        <v>0</v>
      </c>
      <c r="W465">
        <v>0.51405622489959835</v>
      </c>
      <c r="X465">
        <v>0.1606425702811245</v>
      </c>
      <c r="Y465">
        <v>7.2289156626506021E-2</v>
      </c>
      <c r="Z465">
        <v>0.13253012048192772</v>
      </c>
      <c r="AA465">
        <v>0</v>
      </c>
      <c r="AB465">
        <v>0.57429718875502012</v>
      </c>
      <c r="AC465">
        <v>0.53413654618473894</v>
      </c>
      <c r="AD465">
        <v>0.24497991967871485</v>
      </c>
      <c r="AE465">
        <v>0.12449799196787148</v>
      </c>
      <c r="AF465">
        <v>0</v>
      </c>
      <c r="AG465">
        <v>0.79919678714859432</v>
      </c>
      <c r="AH465">
        <v>0.63052208835341361</v>
      </c>
      <c r="AI465">
        <v>0.37349397590361444</v>
      </c>
      <c r="AJ465">
        <v>0.6506024096385542</v>
      </c>
      <c r="AL465" s="1">
        <v>0.57831325301204817</v>
      </c>
      <c r="AN465" t="s">
        <v>57</v>
      </c>
      <c r="AO465">
        <v>71</v>
      </c>
      <c r="AP465" s="2">
        <v>0.68</v>
      </c>
      <c r="AQ465">
        <v>97</v>
      </c>
      <c r="AT465" s="1">
        <v>0.12048192771084337</v>
      </c>
      <c r="AU465" s="1">
        <v>0.8393574297188755</v>
      </c>
    </row>
    <row r="466" spans="1:47" x14ac:dyDescent="0.3">
      <c r="A466" t="s">
        <v>93</v>
      </c>
      <c r="B466">
        <v>0</v>
      </c>
      <c r="C466" s="1">
        <v>0.64658634538152615</v>
      </c>
      <c r="D466">
        <v>0.31726907630522089</v>
      </c>
      <c r="E466">
        <v>0.78714859437751006</v>
      </c>
      <c r="F466">
        <v>0.57429718875502012</v>
      </c>
      <c r="G466">
        <v>0</v>
      </c>
      <c r="H466">
        <v>0.93172690763052213</v>
      </c>
      <c r="I466">
        <v>0.6224899598393574</v>
      </c>
      <c r="J466">
        <v>0.63052208835341361</v>
      </c>
      <c r="K466">
        <v>0.84337349397590367</v>
      </c>
      <c r="L466">
        <v>0</v>
      </c>
      <c r="M466">
        <v>9.2369477911646583E-2</v>
      </c>
      <c r="N466">
        <v>2.4096385542168676E-2</v>
      </c>
      <c r="O466">
        <v>6.8273092369477914E-2</v>
      </c>
      <c r="P466">
        <v>6.0240963855421686E-2</v>
      </c>
      <c r="Q466">
        <v>0</v>
      </c>
      <c r="R466">
        <v>0.91164658634538154</v>
      </c>
      <c r="S466">
        <v>0.55823293172690758</v>
      </c>
      <c r="T466">
        <v>0.98393574297188757</v>
      </c>
      <c r="U466">
        <v>0.7831325301204819</v>
      </c>
      <c r="V466">
        <v>0</v>
      </c>
      <c r="W466">
        <v>0.67871485943775101</v>
      </c>
      <c r="X466">
        <v>3.2128514056224897E-2</v>
      </c>
      <c r="Y466">
        <v>0.57028112449799195</v>
      </c>
      <c r="Z466">
        <v>0.27710843373493976</v>
      </c>
      <c r="AA466">
        <v>0</v>
      </c>
      <c r="AB466">
        <v>0.33333333333333331</v>
      </c>
      <c r="AC466">
        <v>0.93172690763052213</v>
      </c>
      <c r="AD466">
        <v>0.84738955823293172</v>
      </c>
      <c r="AE466">
        <v>0.54216867469879515</v>
      </c>
      <c r="AF466">
        <v>0</v>
      </c>
      <c r="AG466">
        <v>0.33333333333333331</v>
      </c>
      <c r="AH466">
        <v>5.2208835341365459E-2</v>
      </c>
      <c r="AI466">
        <v>0.30120481927710846</v>
      </c>
      <c r="AJ466">
        <v>0.23694779116465864</v>
      </c>
      <c r="AL466" s="1">
        <v>0.61044176706827313</v>
      </c>
      <c r="AN466" t="s">
        <v>74</v>
      </c>
      <c r="AO466">
        <v>46</v>
      </c>
      <c r="AP466" s="2">
        <v>0.62333333333333329</v>
      </c>
      <c r="AQ466">
        <v>114</v>
      </c>
      <c r="AT466" s="1">
        <v>0.93172690763052213</v>
      </c>
      <c r="AU466" s="1">
        <v>0.80722891566265065</v>
      </c>
    </row>
    <row r="467" spans="1:47" x14ac:dyDescent="0.3">
      <c r="A467" t="s">
        <v>94</v>
      </c>
      <c r="B467">
        <v>0</v>
      </c>
      <c r="C467" s="1">
        <v>0.74698795180722888</v>
      </c>
      <c r="D467">
        <v>0.79518072289156627</v>
      </c>
      <c r="E467">
        <v>0.74698795180722888</v>
      </c>
      <c r="F467">
        <v>0.79919678714859432</v>
      </c>
      <c r="G467">
        <v>0</v>
      </c>
      <c r="H467">
        <v>0.85140562248995988</v>
      </c>
      <c r="I467">
        <v>0.94779116465863456</v>
      </c>
      <c r="J467">
        <v>0.86746987951807231</v>
      </c>
      <c r="K467">
        <v>0.93975903614457834</v>
      </c>
      <c r="L467">
        <v>0</v>
      </c>
      <c r="M467">
        <v>0.89959839357429716</v>
      </c>
      <c r="N467">
        <v>0.61445783132530118</v>
      </c>
      <c r="O467">
        <v>0.90763052208835338</v>
      </c>
      <c r="P467">
        <v>0.68273092369477917</v>
      </c>
      <c r="Q467">
        <v>0</v>
      </c>
      <c r="R467">
        <v>0.95582329317269077</v>
      </c>
      <c r="S467">
        <v>0.9718875502008032</v>
      </c>
      <c r="T467">
        <v>0.75903614457831325</v>
      </c>
      <c r="U467">
        <v>0.97590361445783136</v>
      </c>
      <c r="V467">
        <v>0</v>
      </c>
      <c r="W467">
        <v>0.87550200803212852</v>
      </c>
      <c r="X467">
        <v>0.88353413654618473</v>
      </c>
      <c r="Y467">
        <v>0.81927710843373491</v>
      </c>
      <c r="Z467">
        <v>0.77108433734939763</v>
      </c>
      <c r="AA467">
        <v>0</v>
      </c>
      <c r="AB467">
        <v>0.77108433734939763</v>
      </c>
      <c r="AC467">
        <v>0.59437751004016059</v>
      </c>
      <c r="AD467">
        <v>0.66666666666666663</v>
      </c>
      <c r="AE467">
        <v>0.84738955823293172</v>
      </c>
      <c r="AF467">
        <v>0</v>
      </c>
      <c r="AG467">
        <v>0.89959839357429716</v>
      </c>
      <c r="AH467">
        <v>0.79116465863453811</v>
      </c>
      <c r="AI467">
        <v>0.92771084337349397</v>
      </c>
      <c r="AJ467">
        <v>0.85140562248995988</v>
      </c>
      <c r="AL467" s="1">
        <v>0.98393574297188757</v>
      </c>
      <c r="AN467" t="s">
        <v>68</v>
      </c>
      <c r="AO467">
        <v>82</v>
      </c>
      <c r="AP467" s="2">
        <v>0.97666666666666668</v>
      </c>
      <c r="AQ467">
        <v>8</v>
      </c>
      <c r="AT467" s="1">
        <v>0.82730923694779113</v>
      </c>
      <c r="AU467" s="1">
        <v>0.61847389558232935</v>
      </c>
    </row>
    <row r="468" spans="1:47" x14ac:dyDescent="0.3">
      <c r="A468" t="s">
        <v>95</v>
      </c>
      <c r="B468">
        <v>0</v>
      </c>
      <c r="C468" s="1">
        <v>0.83132530120481929</v>
      </c>
      <c r="D468">
        <v>0.41365461847389556</v>
      </c>
      <c r="E468">
        <v>0.93574297188755018</v>
      </c>
      <c r="F468">
        <v>0.61847389558232935</v>
      </c>
      <c r="G468">
        <v>0</v>
      </c>
      <c r="H468">
        <v>0.59036144578313254</v>
      </c>
      <c r="I468">
        <v>0.76305220883534142</v>
      </c>
      <c r="J468">
        <v>0.78714859437751006</v>
      </c>
      <c r="K468">
        <v>0.75903614457831325</v>
      </c>
      <c r="L468">
        <v>0</v>
      </c>
      <c r="M468">
        <v>0.92369477911646591</v>
      </c>
      <c r="N468">
        <v>0.73493975903614461</v>
      </c>
      <c r="O468">
        <v>0.58634538152610438</v>
      </c>
      <c r="P468">
        <v>0.81526104417670686</v>
      </c>
      <c r="Q468">
        <v>0</v>
      </c>
      <c r="R468">
        <v>0.87951807228915657</v>
      </c>
      <c r="S468">
        <v>0.78714859437751006</v>
      </c>
      <c r="T468">
        <v>0.67871485943775101</v>
      </c>
      <c r="U468">
        <v>0.79919678714859432</v>
      </c>
      <c r="V468">
        <v>0</v>
      </c>
      <c r="W468">
        <v>0.65863453815261042</v>
      </c>
      <c r="X468">
        <v>0.50602409638554213</v>
      </c>
      <c r="Y468">
        <v>0.40160642570281124</v>
      </c>
      <c r="Z468">
        <v>0.61044176706827313</v>
      </c>
      <c r="AA468">
        <v>0</v>
      </c>
      <c r="AB468">
        <v>0.97991967871485941</v>
      </c>
      <c r="AC468">
        <v>0.89959839357429716</v>
      </c>
      <c r="AD468">
        <v>0.93975903614457834</v>
      </c>
      <c r="AE468">
        <v>0.67871485943775101</v>
      </c>
      <c r="AF468">
        <v>0</v>
      </c>
      <c r="AG468">
        <v>0.93574297188755018</v>
      </c>
      <c r="AH468">
        <v>0.52610441767068272</v>
      </c>
      <c r="AI468">
        <v>0.8393574297188755</v>
      </c>
      <c r="AJ468">
        <v>0.79919678714859432</v>
      </c>
      <c r="AL468" s="1">
        <v>0.91164658634538154</v>
      </c>
      <c r="AN468" t="s">
        <v>64</v>
      </c>
      <c r="AO468">
        <v>82</v>
      </c>
      <c r="AP468" s="2">
        <v>0.98</v>
      </c>
      <c r="AQ468">
        <v>7</v>
      </c>
      <c r="AT468" s="1">
        <v>0.54216867469879515</v>
      </c>
      <c r="AU468" s="1">
        <v>0.14056224899598393</v>
      </c>
    </row>
    <row r="469" spans="1:47" x14ac:dyDescent="0.3">
      <c r="A469" t="s">
        <v>96</v>
      </c>
      <c r="B469">
        <v>0</v>
      </c>
      <c r="C469" s="1">
        <v>0.55823293172690758</v>
      </c>
      <c r="D469">
        <v>0.68674698795180722</v>
      </c>
      <c r="E469">
        <v>0.45783132530120479</v>
      </c>
      <c r="F469">
        <v>0.69076305220883538</v>
      </c>
      <c r="G469">
        <v>0</v>
      </c>
      <c r="H469">
        <v>0.75903614457831325</v>
      </c>
      <c r="I469">
        <v>0.43373493975903615</v>
      </c>
      <c r="J469">
        <v>0.57028112449799195</v>
      </c>
      <c r="K469">
        <v>0.55823293172690758</v>
      </c>
      <c r="L469">
        <v>0</v>
      </c>
      <c r="M469">
        <v>0.70281124497991965</v>
      </c>
      <c r="N469">
        <v>0.52610441767068272</v>
      </c>
      <c r="O469">
        <v>0.77108433734939763</v>
      </c>
      <c r="P469">
        <v>0.59437751004016059</v>
      </c>
      <c r="Q469">
        <v>0</v>
      </c>
      <c r="R469">
        <v>0.42971887550200805</v>
      </c>
      <c r="S469">
        <v>0.50200803212851408</v>
      </c>
      <c r="T469">
        <v>0.44176706827309237</v>
      </c>
      <c r="U469">
        <v>0.64658634538152615</v>
      </c>
      <c r="V469">
        <v>0</v>
      </c>
      <c r="W469">
        <v>0.90763052208835338</v>
      </c>
      <c r="X469">
        <v>0.84738955823293172</v>
      </c>
      <c r="Y469">
        <v>0.46184738955823296</v>
      </c>
      <c r="Z469">
        <v>0.89959839357429716</v>
      </c>
      <c r="AA469">
        <v>0</v>
      </c>
      <c r="AB469">
        <v>0.87550200803212852</v>
      </c>
      <c r="AC469">
        <v>0.12449799196787148</v>
      </c>
      <c r="AD469">
        <v>0.45381526104417669</v>
      </c>
      <c r="AE469">
        <v>0.6224899598393574</v>
      </c>
      <c r="AF469">
        <v>0</v>
      </c>
      <c r="AG469">
        <v>0.59839357429718876</v>
      </c>
      <c r="AH469">
        <v>0.63855421686746983</v>
      </c>
      <c r="AI469">
        <v>0.68273092369477917</v>
      </c>
      <c r="AJ469">
        <v>0.67871485943775101</v>
      </c>
      <c r="AL469" s="1">
        <v>0.79116465863453811</v>
      </c>
      <c r="AN469" t="s">
        <v>69</v>
      </c>
      <c r="AO469">
        <v>61</v>
      </c>
      <c r="AP469" s="2">
        <v>0.89666666666666661</v>
      </c>
      <c r="AQ469">
        <v>32</v>
      </c>
      <c r="AT469" s="1">
        <v>0.38152610441767071</v>
      </c>
      <c r="AU469" s="1">
        <v>0.38955823293172692</v>
      </c>
    </row>
    <row r="470" spans="1:47" x14ac:dyDescent="0.3">
      <c r="A470" t="s">
        <v>97</v>
      </c>
      <c r="B470">
        <v>0</v>
      </c>
      <c r="C470" s="1">
        <v>0.39759036144578314</v>
      </c>
      <c r="D470">
        <v>0.60642570281124497</v>
      </c>
      <c r="E470">
        <v>0.81526104417670686</v>
      </c>
      <c r="F470">
        <v>0.63855421686746983</v>
      </c>
      <c r="G470">
        <v>0</v>
      </c>
      <c r="H470">
        <v>0.11244979919678715</v>
      </c>
      <c r="I470">
        <v>0.19277108433734941</v>
      </c>
      <c r="J470">
        <v>0.14859437751004015</v>
      </c>
      <c r="K470">
        <v>0.12851405622489959</v>
      </c>
      <c r="L470">
        <v>0</v>
      </c>
      <c r="M470">
        <v>0.31325301204819278</v>
      </c>
      <c r="N470">
        <v>0.68273092369477917</v>
      </c>
      <c r="O470">
        <v>0.68273092369477917</v>
      </c>
      <c r="P470">
        <v>0.6224899598393574</v>
      </c>
      <c r="Q470">
        <v>0</v>
      </c>
      <c r="R470">
        <v>0.52208835341365467</v>
      </c>
      <c r="S470">
        <v>0.73092369477911645</v>
      </c>
      <c r="T470">
        <v>0.82329317269076308</v>
      </c>
      <c r="U470">
        <v>0.77510040160642568</v>
      </c>
      <c r="V470">
        <v>0</v>
      </c>
      <c r="W470">
        <v>0.34136546184738958</v>
      </c>
      <c r="X470">
        <v>0.44979919678714858</v>
      </c>
      <c r="Y470">
        <v>0.49799196787148592</v>
      </c>
      <c r="Z470">
        <v>0.49397590361445781</v>
      </c>
      <c r="AA470">
        <v>0</v>
      </c>
      <c r="AB470">
        <v>0.65461847389558236</v>
      </c>
      <c r="AC470">
        <v>0.41767068273092367</v>
      </c>
      <c r="AD470">
        <v>0.87550200803212852</v>
      </c>
      <c r="AE470">
        <v>0.88353413654618473</v>
      </c>
      <c r="AF470">
        <v>0</v>
      </c>
      <c r="AG470">
        <v>0.35742971887550201</v>
      </c>
      <c r="AH470">
        <v>0.68674698795180722</v>
      </c>
      <c r="AI470">
        <v>0.8112449799196787</v>
      </c>
      <c r="AJ470">
        <v>0.65863453815261042</v>
      </c>
      <c r="AL470" s="1">
        <v>0.37349397590361444</v>
      </c>
      <c r="AN470" t="s">
        <v>76</v>
      </c>
      <c r="AO470">
        <v>77</v>
      </c>
      <c r="AP470" s="2">
        <v>0.53</v>
      </c>
      <c r="AQ470">
        <v>142</v>
      </c>
      <c r="AT470" s="1">
        <v>0.63855421686746983</v>
      </c>
      <c r="AU470" s="1">
        <v>0.22489959839357429</v>
      </c>
    </row>
    <row r="471" spans="1:47" x14ac:dyDescent="0.3">
      <c r="A471" t="s">
        <v>98</v>
      </c>
      <c r="B471">
        <v>0</v>
      </c>
      <c r="C471" s="1">
        <v>0.8112449799196787</v>
      </c>
      <c r="D471">
        <v>0.47389558232931728</v>
      </c>
      <c r="E471">
        <v>6.4257028112449793E-2</v>
      </c>
      <c r="F471">
        <v>0.57429718875502012</v>
      </c>
      <c r="G471">
        <v>0</v>
      </c>
      <c r="H471">
        <v>4.0160642570281121E-3</v>
      </c>
      <c r="I471">
        <v>2.8112449799196786E-2</v>
      </c>
      <c r="J471">
        <v>0.18072289156626506</v>
      </c>
      <c r="K471">
        <v>8.0321285140562242E-3</v>
      </c>
      <c r="L471">
        <v>0</v>
      </c>
      <c r="M471">
        <v>0.67068273092369479</v>
      </c>
      <c r="N471">
        <v>0.32931726907630521</v>
      </c>
      <c r="O471">
        <v>0.3253012048192771</v>
      </c>
      <c r="P471">
        <v>0.39759036144578314</v>
      </c>
      <c r="Q471">
        <v>0</v>
      </c>
      <c r="R471">
        <v>0.95180722891566261</v>
      </c>
      <c r="S471">
        <v>0.85140562248995988</v>
      </c>
      <c r="T471">
        <v>0.11244979919678715</v>
      </c>
      <c r="U471">
        <v>0.83132530120481929</v>
      </c>
      <c r="V471">
        <v>0</v>
      </c>
      <c r="W471">
        <v>0.68273092369477917</v>
      </c>
      <c r="X471">
        <v>4.8192771084337352E-2</v>
      </c>
      <c r="Y471">
        <v>0.11646586345381527</v>
      </c>
      <c r="Z471">
        <v>0.10040160642570281</v>
      </c>
      <c r="AA471">
        <v>0</v>
      </c>
      <c r="AB471">
        <v>0.44578313253012047</v>
      </c>
      <c r="AC471">
        <v>0.28915662650602408</v>
      </c>
      <c r="AD471">
        <v>2.8112449799196786E-2</v>
      </c>
      <c r="AE471">
        <v>6.0240963855421686E-2</v>
      </c>
      <c r="AF471">
        <v>0</v>
      </c>
      <c r="AG471">
        <v>0.79919678714859432</v>
      </c>
      <c r="AH471">
        <v>0.36947791164658633</v>
      </c>
      <c r="AI471">
        <v>0.10441767068273092</v>
      </c>
      <c r="AJ471">
        <v>0.50602409638554213</v>
      </c>
      <c r="AL471" s="1">
        <v>0.49799196787148592</v>
      </c>
      <c r="AN471" t="s">
        <v>75</v>
      </c>
      <c r="AO471">
        <v>46</v>
      </c>
      <c r="AP471" s="2">
        <v>0.58333333333333337</v>
      </c>
      <c r="AQ471">
        <v>126</v>
      </c>
      <c r="AT471" s="1">
        <v>0.5662650602409639</v>
      </c>
      <c r="AU471" s="1">
        <v>3.614457831325301E-2</v>
      </c>
    </row>
    <row r="472" spans="1:47" x14ac:dyDescent="0.3">
      <c r="A472" t="s">
        <v>99</v>
      </c>
      <c r="B472">
        <v>0</v>
      </c>
      <c r="C472" s="1">
        <v>0.69076305220883538</v>
      </c>
      <c r="D472">
        <v>0.83132530120481929</v>
      </c>
      <c r="E472">
        <v>0.77911646586345384</v>
      </c>
      <c r="F472">
        <v>0.78714859437751006</v>
      </c>
      <c r="G472">
        <v>0</v>
      </c>
      <c r="H472">
        <v>0.8393574297188755</v>
      </c>
      <c r="I472">
        <v>0.96385542168674698</v>
      </c>
      <c r="J472">
        <v>0.80722891566265065</v>
      </c>
      <c r="K472">
        <v>0.94377510040160639</v>
      </c>
      <c r="L472">
        <v>0</v>
      </c>
      <c r="M472">
        <v>0.38152610441767071</v>
      </c>
      <c r="N472">
        <v>0.67469879518072284</v>
      </c>
      <c r="O472">
        <v>0.62650602409638556</v>
      </c>
      <c r="P472">
        <v>0.42971887550200805</v>
      </c>
      <c r="Q472">
        <v>0</v>
      </c>
      <c r="R472">
        <v>0.85140562248995988</v>
      </c>
      <c r="S472">
        <v>0.95180722891566261</v>
      </c>
      <c r="T472">
        <v>0.64257028112449799</v>
      </c>
      <c r="U472">
        <v>0.91164658634538154</v>
      </c>
      <c r="V472">
        <v>0</v>
      </c>
      <c r="W472">
        <v>0.42168674698795183</v>
      </c>
      <c r="X472">
        <v>0.44176706827309237</v>
      </c>
      <c r="Y472">
        <v>0.37349397590361444</v>
      </c>
      <c r="Z472">
        <v>0.25702811244979917</v>
      </c>
      <c r="AA472">
        <v>0</v>
      </c>
      <c r="AB472">
        <v>0.82329317269076308</v>
      </c>
      <c r="AC472">
        <v>0.65863453815261042</v>
      </c>
      <c r="AD472">
        <v>0.69076305220883538</v>
      </c>
      <c r="AE472">
        <v>0.73493975903614461</v>
      </c>
      <c r="AF472">
        <v>0</v>
      </c>
      <c r="AG472">
        <v>0.53012048192771088</v>
      </c>
      <c r="AH472">
        <v>0.85943775100401609</v>
      </c>
      <c r="AI472">
        <v>0.76305220883534142</v>
      </c>
      <c r="AJ472">
        <v>0.69076305220883538</v>
      </c>
      <c r="AL472" s="1">
        <v>0.83132530120481929</v>
      </c>
      <c r="AN472" t="s">
        <v>76</v>
      </c>
      <c r="AO472">
        <v>73</v>
      </c>
      <c r="AP472" s="2">
        <v>0.90666666666666662</v>
      </c>
      <c r="AQ472">
        <v>29</v>
      </c>
      <c r="AT472" s="1">
        <v>0.96787148594377514</v>
      </c>
      <c r="AU472" s="1">
        <v>9.6385542168674704E-2</v>
      </c>
    </row>
    <row r="473" spans="1:47" x14ac:dyDescent="0.3">
      <c r="A473" t="s">
        <v>100</v>
      </c>
      <c r="B473">
        <v>0</v>
      </c>
      <c r="C473" s="1">
        <v>0.22489959839357429</v>
      </c>
      <c r="D473">
        <v>8.0321285140562242E-3</v>
      </c>
      <c r="E473">
        <v>0.45783132530120479</v>
      </c>
      <c r="F473">
        <v>9.6385542168674704E-2</v>
      </c>
      <c r="G473">
        <v>0</v>
      </c>
      <c r="H473">
        <v>4.0160642570281121E-3</v>
      </c>
      <c r="I473">
        <v>0.27309236947791166</v>
      </c>
      <c r="J473">
        <v>0.37349397590361444</v>
      </c>
      <c r="K473">
        <v>0.14056224899598393</v>
      </c>
      <c r="L473">
        <v>0</v>
      </c>
      <c r="M473">
        <v>0.26104417670682734</v>
      </c>
      <c r="N473">
        <v>0.47389558232931728</v>
      </c>
      <c r="O473">
        <v>0.27309236947791166</v>
      </c>
      <c r="P473">
        <v>0.6224899598393574</v>
      </c>
      <c r="Q473">
        <v>0</v>
      </c>
      <c r="R473">
        <v>0.33734939759036142</v>
      </c>
      <c r="S473">
        <v>2.4096385542168676E-2</v>
      </c>
      <c r="T473">
        <v>0.27309236947791166</v>
      </c>
      <c r="U473">
        <v>8.0321285140562249E-2</v>
      </c>
      <c r="V473">
        <v>0</v>
      </c>
      <c r="W473">
        <v>0.77510040160642568</v>
      </c>
      <c r="X473">
        <v>0.85542168674698793</v>
      </c>
      <c r="Y473">
        <v>0.38955823293172692</v>
      </c>
      <c r="Z473">
        <v>0.92369477911646591</v>
      </c>
      <c r="AA473">
        <v>0</v>
      </c>
      <c r="AB473">
        <v>0.36546184738955823</v>
      </c>
      <c r="AC473">
        <v>4.0160642570281124E-2</v>
      </c>
      <c r="AD473">
        <v>0.77510040160642568</v>
      </c>
      <c r="AE473">
        <v>0.65461847389558236</v>
      </c>
      <c r="AF473">
        <v>0</v>
      </c>
      <c r="AG473">
        <v>0.23293172690763053</v>
      </c>
      <c r="AH473">
        <v>7.2289156626506021E-2</v>
      </c>
      <c r="AI473">
        <v>0.3534136546184739</v>
      </c>
      <c r="AJ473">
        <v>0.25702811244979917</v>
      </c>
      <c r="AL473" s="1">
        <v>0.1646586345381526</v>
      </c>
      <c r="AN473" t="s">
        <v>62</v>
      </c>
      <c r="AO473">
        <v>32</v>
      </c>
      <c r="AP473" s="2">
        <v>0.32333333333333331</v>
      </c>
      <c r="AQ473">
        <v>204</v>
      </c>
      <c r="AT473" s="1">
        <v>0.98795180722891562</v>
      </c>
      <c r="AU473" s="1">
        <v>0.18875502008032127</v>
      </c>
    </row>
    <row r="474" spans="1:47" x14ac:dyDescent="0.3">
      <c r="A474" t="s">
        <v>101</v>
      </c>
      <c r="B474">
        <v>0</v>
      </c>
      <c r="C474" s="1">
        <v>0.80321285140562249</v>
      </c>
      <c r="D474">
        <v>0.78714859437751006</v>
      </c>
      <c r="E474">
        <v>0.68273092369477917</v>
      </c>
      <c r="F474">
        <v>0.50602409638554213</v>
      </c>
      <c r="G474">
        <v>0</v>
      </c>
      <c r="H474">
        <v>0.33333333333333331</v>
      </c>
      <c r="I474">
        <v>0.49799196787148592</v>
      </c>
      <c r="J474">
        <v>0.65461847389558236</v>
      </c>
      <c r="K474">
        <v>0.41767068273092367</v>
      </c>
      <c r="L474">
        <v>0</v>
      </c>
      <c r="M474">
        <v>0.67871485943775101</v>
      </c>
      <c r="N474">
        <v>0.57028112449799195</v>
      </c>
      <c r="O474">
        <v>0.23694779116465864</v>
      </c>
      <c r="P474">
        <v>0.59437751004016059</v>
      </c>
      <c r="Q474">
        <v>0</v>
      </c>
      <c r="R474">
        <v>0.6987951807228916</v>
      </c>
      <c r="S474">
        <v>0.6987951807228916</v>
      </c>
      <c r="T474">
        <v>0.62650602409638556</v>
      </c>
      <c r="U474">
        <v>0.40963855421686746</v>
      </c>
      <c r="V474">
        <v>0</v>
      </c>
      <c r="W474">
        <v>0.13253012048192772</v>
      </c>
      <c r="X474">
        <v>0.26104417670682734</v>
      </c>
      <c r="Y474">
        <v>6.4257028112449793E-2</v>
      </c>
      <c r="Z474">
        <v>0.10040160642570281</v>
      </c>
      <c r="AA474">
        <v>0</v>
      </c>
      <c r="AB474">
        <v>0.13654618473895583</v>
      </c>
      <c r="AC474">
        <v>0.75502008032128509</v>
      </c>
      <c r="AD474">
        <v>0.57028112449799195</v>
      </c>
      <c r="AE474">
        <v>0.13654618473895583</v>
      </c>
      <c r="AF474">
        <v>0</v>
      </c>
      <c r="AG474">
        <v>0.79518072289156627</v>
      </c>
      <c r="AH474">
        <v>0.76305220883534142</v>
      </c>
      <c r="AI474">
        <v>0.42570281124497994</v>
      </c>
      <c r="AJ474">
        <v>0.54618473895582331</v>
      </c>
      <c r="AL474" s="1">
        <v>0.48995983935742971</v>
      </c>
      <c r="AN474" t="s">
        <v>56</v>
      </c>
      <c r="AO474">
        <v>64</v>
      </c>
      <c r="AP474" s="2">
        <v>0.47</v>
      </c>
      <c r="AQ474">
        <v>160</v>
      </c>
      <c r="AT474" s="1">
        <v>0.17269076305220885</v>
      </c>
      <c r="AU474" s="1">
        <v>0.22489959839357429</v>
      </c>
    </row>
    <row r="475" spans="1:47" x14ac:dyDescent="0.3">
      <c r="A475" t="s">
        <v>102</v>
      </c>
      <c r="B475">
        <v>0</v>
      </c>
      <c r="C475" s="1">
        <v>0.50200803212851408</v>
      </c>
      <c r="D475">
        <v>0.55020080321285136</v>
      </c>
      <c r="E475">
        <v>0.44176706827309237</v>
      </c>
      <c r="F475">
        <v>0.43373493975903615</v>
      </c>
      <c r="G475">
        <v>0</v>
      </c>
      <c r="H475">
        <v>0.18875502008032127</v>
      </c>
      <c r="I475">
        <v>0.77911646586345384</v>
      </c>
      <c r="J475">
        <v>0.74698795180722888</v>
      </c>
      <c r="K475">
        <v>0.64257028112449799</v>
      </c>
      <c r="L475">
        <v>0</v>
      </c>
      <c r="M475">
        <v>0.17269076305220885</v>
      </c>
      <c r="N475">
        <v>0.16867469879518071</v>
      </c>
      <c r="O475">
        <v>0.80722891566265065</v>
      </c>
      <c r="P475">
        <v>0.22088353413654618</v>
      </c>
      <c r="Q475">
        <v>0</v>
      </c>
      <c r="R475">
        <v>0.46184738955823296</v>
      </c>
      <c r="S475">
        <v>0.28112449799196787</v>
      </c>
      <c r="T475">
        <v>0.44979919678714858</v>
      </c>
      <c r="U475">
        <v>0.27309236947791166</v>
      </c>
      <c r="V475">
        <v>0</v>
      </c>
      <c r="W475">
        <v>0.14457831325301204</v>
      </c>
      <c r="X475">
        <v>0.23293172690763053</v>
      </c>
      <c r="Y475">
        <v>0.63453815261044177</v>
      </c>
      <c r="Z475">
        <v>0.25702811244979917</v>
      </c>
      <c r="AA475">
        <v>0</v>
      </c>
      <c r="AB475">
        <v>0.71084337349397586</v>
      </c>
      <c r="AC475">
        <v>0.30120481927710846</v>
      </c>
      <c r="AD475">
        <v>0.43775100401606426</v>
      </c>
      <c r="AE475">
        <v>0.79116465863453811</v>
      </c>
      <c r="AF475">
        <v>0</v>
      </c>
      <c r="AG475">
        <v>0.31325301204819278</v>
      </c>
      <c r="AH475">
        <v>0.33734939759036142</v>
      </c>
      <c r="AI475">
        <v>0.68674698795180722</v>
      </c>
      <c r="AJ475">
        <v>0.28915662650602408</v>
      </c>
      <c r="AL475" s="1">
        <v>0.24899598393574296</v>
      </c>
      <c r="AN475" t="s">
        <v>69</v>
      </c>
      <c r="AO475">
        <v>76</v>
      </c>
      <c r="AP475" s="2">
        <v>0.42666666666666669</v>
      </c>
      <c r="AQ475">
        <v>173</v>
      </c>
      <c r="AT475" s="1">
        <v>0.36144578313253012</v>
      </c>
      <c r="AU475" s="1">
        <v>0.73493975903614461</v>
      </c>
    </row>
    <row r="476" spans="1:47" x14ac:dyDescent="0.3">
      <c r="A476" t="s">
        <v>103</v>
      </c>
      <c r="B476">
        <v>0</v>
      </c>
      <c r="C476" s="1">
        <v>0.43373493975903615</v>
      </c>
      <c r="D476">
        <v>0.71485943775100402</v>
      </c>
      <c r="E476">
        <v>9.6385542168674704E-2</v>
      </c>
      <c r="F476">
        <v>0.73895582329317266</v>
      </c>
      <c r="G476">
        <v>0</v>
      </c>
      <c r="H476">
        <v>0.22489959839357429</v>
      </c>
      <c r="I476">
        <v>0.25702811244979917</v>
      </c>
      <c r="J476">
        <v>0.2289156626506024</v>
      </c>
      <c r="K476">
        <v>0.21285140562248997</v>
      </c>
      <c r="L476">
        <v>0</v>
      </c>
      <c r="M476">
        <v>0.37751004016064255</v>
      </c>
      <c r="N476">
        <v>0.33734939759036142</v>
      </c>
      <c r="O476">
        <v>0.63855421686746983</v>
      </c>
      <c r="P476">
        <v>0.36144578313253012</v>
      </c>
      <c r="Q476">
        <v>0</v>
      </c>
      <c r="R476">
        <v>0.26907630522088355</v>
      </c>
      <c r="S476">
        <v>0.56224899598393574</v>
      </c>
      <c r="T476">
        <v>8.8353413654618476E-2</v>
      </c>
      <c r="U476">
        <v>0.58232931726907633</v>
      </c>
      <c r="V476">
        <v>0</v>
      </c>
      <c r="W476">
        <v>0.8875502008032129</v>
      </c>
      <c r="X476">
        <v>0.64658634538152615</v>
      </c>
      <c r="Y476">
        <v>0.26104417670682734</v>
      </c>
      <c r="Z476">
        <v>0.86746987951807231</v>
      </c>
      <c r="AA476">
        <v>0</v>
      </c>
      <c r="AB476">
        <v>0.32128514056224899</v>
      </c>
      <c r="AC476">
        <v>0.20080321285140562</v>
      </c>
      <c r="AD476">
        <v>6.8273092369477914E-2</v>
      </c>
      <c r="AE476">
        <v>0.32128514056224899</v>
      </c>
      <c r="AF476">
        <v>0</v>
      </c>
      <c r="AG476">
        <v>0.39759036144578314</v>
      </c>
      <c r="AH476">
        <v>0.52208835341365467</v>
      </c>
      <c r="AI476">
        <v>0.25301204819277107</v>
      </c>
      <c r="AJ476">
        <v>0.59036144578313254</v>
      </c>
      <c r="AL476" s="1">
        <v>0.45381526104417669</v>
      </c>
      <c r="AN476" t="s">
        <v>80</v>
      </c>
      <c r="AO476">
        <v>43</v>
      </c>
      <c r="AP476" s="2">
        <v>0.51333333333333331</v>
      </c>
      <c r="AQ476">
        <v>147</v>
      </c>
      <c r="AT476" s="1">
        <v>0.23694779116465864</v>
      </c>
      <c r="AU476" s="1">
        <v>0.77510040160642568</v>
      </c>
    </row>
    <row r="477" spans="1:47" x14ac:dyDescent="0.3">
      <c r="A477" t="s">
        <v>104</v>
      </c>
      <c r="B477">
        <v>0</v>
      </c>
      <c r="C477" s="1">
        <v>0.15662650602409639</v>
      </c>
      <c r="D477">
        <v>4.0160642570281124E-2</v>
      </c>
      <c r="E477">
        <v>3.2128514056224897E-2</v>
      </c>
      <c r="F477">
        <v>9.2369477911646583E-2</v>
      </c>
      <c r="G477">
        <v>0</v>
      </c>
      <c r="H477">
        <v>4.0160642570281121E-3</v>
      </c>
      <c r="I477">
        <v>0.12851405622489959</v>
      </c>
      <c r="J477">
        <v>0.31726907630522089</v>
      </c>
      <c r="K477">
        <v>6.4257028112449793E-2</v>
      </c>
      <c r="L477">
        <v>0</v>
      </c>
      <c r="M477">
        <v>0.8112449799196787</v>
      </c>
      <c r="N477">
        <v>0.87550200803212852</v>
      </c>
      <c r="O477">
        <v>0.92369477911646591</v>
      </c>
      <c r="P477">
        <v>0.91566265060240959</v>
      </c>
      <c r="Q477">
        <v>0</v>
      </c>
      <c r="R477">
        <v>5.2208835341365459E-2</v>
      </c>
      <c r="S477">
        <v>4.8192771084337352E-2</v>
      </c>
      <c r="T477">
        <v>7.6305220883534142E-2</v>
      </c>
      <c r="U477">
        <v>5.6224899598393573E-2</v>
      </c>
      <c r="V477">
        <v>0</v>
      </c>
      <c r="W477">
        <v>0.89156626506024095</v>
      </c>
      <c r="X477">
        <v>0.89558232931726911</v>
      </c>
      <c r="Y477">
        <v>0.79116465863453811</v>
      </c>
      <c r="Z477">
        <v>0.85542168674698793</v>
      </c>
      <c r="AA477">
        <v>0</v>
      </c>
      <c r="AB477">
        <v>3.2128514056224897E-2</v>
      </c>
      <c r="AC477">
        <v>1.2048192771084338E-2</v>
      </c>
      <c r="AD477">
        <v>3.2128514056224897E-2</v>
      </c>
      <c r="AE477">
        <v>0.32128514056224899</v>
      </c>
      <c r="AF477">
        <v>0</v>
      </c>
      <c r="AG477">
        <v>0.37349397590361444</v>
      </c>
      <c r="AH477">
        <v>0.29317269076305219</v>
      </c>
      <c r="AI477">
        <v>0.29317269076305219</v>
      </c>
      <c r="AJ477">
        <v>0.40160642570281124</v>
      </c>
      <c r="AL477" s="1">
        <v>0.26907630522088355</v>
      </c>
      <c r="AN477" t="s">
        <v>105</v>
      </c>
      <c r="AO477">
        <v>47</v>
      </c>
      <c r="AP477" s="2">
        <v>0.27333333333333332</v>
      </c>
      <c r="AQ477">
        <v>219</v>
      </c>
      <c r="AT477" s="1">
        <v>0.26104417670682734</v>
      </c>
      <c r="AU477" s="1">
        <v>0.95582329317269077</v>
      </c>
    </row>
    <row r="478" spans="1:47" x14ac:dyDescent="0.3">
      <c r="A478" t="s">
        <v>106</v>
      </c>
      <c r="B478">
        <v>0</v>
      </c>
      <c r="C478" s="1">
        <v>0.18072289156626506</v>
      </c>
      <c r="D478">
        <v>0.17670682730923695</v>
      </c>
      <c r="E478">
        <v>8.4337349397590355E-2</v>
      </c>
      <c r="F478">
        <v>0.15261044176706828</v>
      </c>
      <c r="G478">
        <v>0</v>
      </c>
      <c r="H478">
        <v>0.57028112449799195</v>
      </c>
      <c r="I478">
        <v>5.2208835341365459E-2</v>
      </c>
      <c r="J478">
        <v>0.10843373493975904</v>
      </c>
      <c r="K478">
        <v>9.6385542168674704E-2</v>
      </c>
      <c r="L478">
        <v>0</v>
      </c>
      <c r="M478">
        <v>0.10040160642570281</v>
      </c>
      <c r="N478">
        <v>0.41767068273092367</v>
      </c>
      <c r="O478">
        <v>3.614457831325301E-2</v>
      </c>
      <c r="P478">
        <v>0.24899598393574296</v>
      </c>
      <c r="Q478">
        <v>0</v>
      </c>
      <c r="R478">
        <v>0.31325301204819278</v>
      </c>
      <c r="S478">
        <v>0.49397590361445781</v>
      </c>
      <c r="T478">
        <v>0.2289156626506024</v>
      </c>
      <c r="U478">
        <v>0.28514056224899598</v>
      </c>
      <c r="V478">
        <v>0</v>
      </c>
      <c r="W478">
        <v>0.68674698795180722</v>
      </c>
      <c r="X478">
        <v>0.89558232931726911</v>
      </c>
      <c r="Y478">
        <v>0.13253012048192772</v>
      </c>
      <c r="Z478">
        <v>0.8112449799196787</v>
      </c>
      <c r="AA478">
        <v>0</v>
      </c>
      <c r="AB478">
        <v>0.79518072289156627</v>
      </c>
      <c r="AC478">
        <v>0.11646586345381527</v>
      </c>
      <c r="AD478">
        <v>0.19277108433734941</v>
      </c>
      <c r="AE478">
        <v>2.4096385542168676E-2</v>
      </c>
      <c r="AF478">
        <v>0</v>
      </c>
      <c r="AG478">
        <v>0.11646586345381527</v>
      </c>
      <c r="AH478">
        <v>0.23694779116465864</v>
      </c>
      <c r="AI478">
        <v>2.8112449799196786E-2</v>
      </c>
      <c r="AJ478">
        <v>0.14859437751004015</v>
      </c>
      <c r="AL478" s="1">
        <v>0.14056224899598393</v>
      </c>
      <c r="AN478" t="s">
        <v>74</v>
      </c>
      <c r="AO478">
        <v>80</v>
      </c>
      <c r="AP478" s="2">
        <v>0.36</v>
      </c>
      <c r="AQ478">
        <v>193</v>
      </c>
      <c r="AT478" s="1">
        <v>0.77108433734939763</v>
      </c>
      <c r="AU478" s="1">
        <v>0.63855421686746983</v>
      </c>
    </row>
    <row r="479" spans="1:47" x14ac:dyDescent="0.3">
      <c r="A479" t="s">
        <v>107</v>
      </c>
      <c r="B479">
        <v>0</v>
      </c>
      <c r="C479" s="1">
        <v>0.32128514056224899</v>
      </c>
      <c r="D479">
        <v>0.12449799196787148</v>
      </c>
      <c r="E479">
        <v>0.16867469879518071</v>
      </c>
      <c r="F479">
        <v>0.18473895582329317</v>
      </c>
      <c r="G479">
        <v>0</v>
      </c>
      <c r="H479">
        <v>0.6987951807228916</v>
      </c>
      <c r="I479">
        <v>0.41365461847389556</v>
      </c>
      <c r="J479">
        <v>0.74698795180722888</v>
      </c>
      <c r="K479">
        <v>0.51405622489959835</v>
      </c>
      <c r="L479">
        <v>0</v>
      </c>
      <c r="M479">
        <v>0.22489959839357429</v>
      </c>
      <c r="N479">
        <v>7.2289156626506021E-2</v>
      </c>
      <c r="O479">
        <v>0.52208835341365467</v>
      </c>
      <c r="P479">
        <v>7.2289156626506021E-2</v>
      </c>
      <c r="Q479">
        <v>0</v>
      </c>
      <c r="R479">
        <v>0.73493975903614461</v>
      </c>
      <c r="S479">
        <v>0.29317269076305219</v>
      </c>
      <c r="T479">
        <v>0.19678714859437751</v>
      </c>
      <c r="U479">
        <v>0.45381526104417669</v>
      </c>
      <c r="V479">
        <v>0</v>
      </c>
      <c r="W479">
        <v>0.31726907630522089</v>
      </c>
      <c r="X479">
        <v>7.2289156626506021E-2</v>
      </c>
      <c r="Y479">
        <v>0.70682730923694781</v>
      </c>
      <c r="Z479">
        <v>0.13654618473895583</v>
      </c>
      <c r="AA479">
        <v>0</v>
      </c>
      <c r="AB479">
        <v>0.21686746987951808</v>
      </c>
      <c r="AC479">
        <v>0.91566265060240959</v>
      </c>
      <c r="AD479">
        <v>0.12048192771084337</v>
      </c>
      <c r="AE479">
        <v>0.40160642570281124</v>
      </c>
      <c r="AF479">
        <v>0</v>
      </c>
      <c r="AG479">
        <v>0.27309236947791166</v>
      </c>
      <c r="AH479">
        <v>4.0160642570281124E-2</v>
      </c>
      <c r="AI479">
        <v>0.25301204819277107</v>
      </c>
      <c r="AJ479">
        <v>8.8353413654618476E-2</v>
      </c>
      <c r="AL479" s="1">
        <v>0.26104417670682734</v>
      </c>
      <c r="AN479" t="s">
        <v>58</v>
      </c>
      <c r="AO479">
        <v>51</v>
      </c>
      <c r="AP479" s="2">
        <v>0.34666666666666668</v>
      </c>
      <c r="AQ479">
        <v>197</v>
      </c>
      <c r="AT479" s="1">
        <v>2.0080321285140562E-2</v>
      </c>
      <c r="AU479" s="1">
        <v>0.97590361445783136</v>
      </c>
    </row>
    <row r="480" spans="1:47" x14ac:dyDescent="0.3">
      <c r="A480" t="s">
        <v>108</v>
      </c>
      <c r="B480">
        <v>0</v>
      </c>
      <c r="C480" s="1">
        <v>0.42971887550200805</v>
      </c>
      <c r="D480">
        <v>0.52610441767068272</v>
      </c>
      <c r="E480">
        <v>0.27309236947791166</v>
      </c>
      <c r="F480">
        <v>0.46586345381526106</v>
      </c>
      <c r="G480">
        <v>0</v>
      </c>
      <c r="H480">
        <v>0.14859437751004015</v>
      </c>
      <c r="I480">
        <v>0.14859437751004015</v>
      </c>
      <c r="J480">
        <v>6.4257028112449793E-2</v>
      </c>
      <c r="K480">
        <v>0.10441767068273092</v>
      </c>
      <c r="L480">
        <v>0</v>
      </c>
      <c r="M480">
        <v>0.84337349397590367</v>
      </c>
      <c r="N480">
        <v>0.59437751004016059</v>
      </c>
      <c r="O480">
        <v>0.77911646586345384</v>
      </c>
      <c r="P480">
        <v>0.82730923694779113</v>
      </c>
      <c r="Q480">
        <v>0</v>
      </c>
      <c r="R480">
        <v>2.0080321285140562E-2</v>
      </c>
      <c r="S480">
        <v>0.23694779116465864</v>
      </c>
      <c r="T480">
        <v>0.15662650602409639</v>
      </c>
      <c r="U480">
        <v>0.13654618473895583</v>
      </c>
      <c r="V480">
        <v>0</v>
      </c>
      <c r="W480">
        <v>0.90361445783132532</v>
      </c>
      <c r="X480">
        <v>0.70682730923694781</v>
      </c>
      <c r="Y480">
        <v>0.98393574297188757</v>
      </c>
      <c r="Z480">
        <v>0.82730923694779113</v>
      </c>
      <c r="AA480">
        <v>0</v>
      </c>
      <c r="AB480">
        <v>0.83132530120481929</v>
      </c>
      <c r="AC480">
        <v>0.24497991967871485</v>
      </c>
      <c r="AD480">
        <v>0.31325301204819278</v>
      </c>
      <c r="AE480">
        <v>0.47389558232931728</v>
      </c>
      <c r="AF480">
        <v>0</v>
      </c>
      <c r="AG480">
        <v>0.61445783132530118</v>
      </c>
      <c r="AH480">
        <v>0.5381526104417671</v>
      </c>
      <c r="AI480">
        <v>0.55421686746987953</v>
      </c>
      <c r="AJ480">
        <v>0.67469879518072284</v>
      </c>
      <c r="AL480" s="1">
        <v>0.44578313253012047</v>
      </c>
      <c r="AN480" t="s">
        <v>59</v>
      </c>
      <c r="AO480">
        <v>53</v>
      </c>
      <c r="AP480" s="2">
        <v>0.64</v>
      </c>
      <c r="AQ480">
        <v>109</v>
      </c>
      <c r="AT480" s="1">
        <v>0.20481927710843373</v>
      </c>
      <c r="AU480" s="1">
        <v>0.47389558232931728</v>
      </c>
    </row>
    <row r="481" spans="1:47" x14ac:dyDescent="0.3">
      <c r="A481" t="s">
        <v>109</v>
      </c>
      <c r="B481">
        <v>0</v>
      </c>
      <c r="C481" s="1">
        <v>0.12048192771084337</v>
      </c>
      <c r="D481">
        <v>7.2289156626506021E-2</v>
      </c>
      <c r="E481">
        <v>0.2289156626506024</v>
      </c>
      <c r="F481">
        <v>7.2289156626506021E-2</v>
      </c>
      <c r="G481">
        <v>0</v>
      </c>
      <c r="H481">
        <v>0.33333333333333331</v>
      </c>
      <c r="I481">
        <v>0.50602409638554213</v>
      </c>
      <c r="J481">
        <v>0.57028112449799195</v>
      </c>
      <c r="K481">
        <v>0.44176706827309237</v>
      </c>
      <c r="L481">
        <v>0</v>
      </c>
      <c r="M481">
        <v>0.12851405622489959</v>
      </c>
      <c r="N481">
        <v>0.24899598393574296</v>
      </c>
      <c r="O481">
        <v>9.2369477911646583E-2</v>
      </c>
      <c r="P481">
        <v>0.30923694779116467</v>
      </c>
      <c r="Q481">
        <v>0</v>
      </c>
      <c r="R481">
        <v>0.42168674698795183</v>
      </c>
      <c r="S481">
        <v>0.39759036144578314</v>
      </c>
      <c r="T481">
        <v>0.43373493975903615</v>
      </c>
      <c r="U481">
        <v>0.33333333333333331</v>
      </c>
      <c r="V481">
        <v>0</v>
      </c>
      <c r="W481">
        <v>3.2128514056224897E-2</v>
      </c>
      <c r="X481">
        <v>0.17670682730923695</v>
      </c>
      <c r="Y481">
        <v>4.0160642570281124E-2</v>
      </c>
      <c r="Z481">
        <v>0.13654618473895583</v>
      </c>
      <c r="AA481">
        <v>0</v>
      </c>
      <c r="AB481">
        <v>0.70281124497991965</v>
      </c>
      <c r="AC481">
        <v>0.36144578313253012</v>
      </c>
      <c r="AD481">
        <v>0.41767068273092367</v>
      </c>
      <c r="AE481">
        <v>0.12449799196787148</v>
      </c>
      <c r="AF481">
        <v>0</v>
      </c>
      <c r="AG481">
        <v>8.4337349397590355E-2</v>
      </c>
      <c r="AH481">
        <v>0.10843373493975904</v>
      </c>
      <c r="AI481">
        <v>0.10040160642570281</v>
      </c>
      <c r="AJ481">
        <v>0.12449799196787148</v>
      </c>
      <c r="AL481" s="1">
        <v>6.4257028112449793E-2</v>
      </c>
      <c r="AN481" t="s">
        <v>52</v>
      </c>
      <c r="AO481">
        <v>76</v>
      </c>
      <c r="AP481" s="2">
        <v>0.26</v>
      </c>
      <c r="AQ481">
        <v>223</v>
      </c>
      <c r="AT481" s="1">
        <v>0.34538152610441769</v>
      </c>
      <c r="AU481" s="1">
        <v>0.15662650602409639</v>
      </c>
    </row>
    <row r="482" spans="1:47" x14ac:dyDescent="0.3">
      <c r="A482" t="s">
        <v>110</v>
      </c>
      <c r="B482">
        <v>0</v>
      </c>
      <c r="C482" s="1">
        <v>0.10441767068273092</v>
      </c>
      <c r="D482">
        <v>8.4337349397590355E-2</v>
      </c>
      <c r="E482">
        <v>0.30522088353413657</v>
      </c>
      <c r="F482">
        <v>4.8192771084337352E-2</v>
      </c>
      <c r="G482">
        <v>0</v>
      </c>
      <c r="H482">
        <v>0.22489959839357429</v>
      </c>
      <c r="I482">
        <v>0.30522088353413657</v>
      </c>
      <c r="J482">
        <v>4.0160642570281121E-3</v>
      </c>
      <c r="K482">
        <v>0.24497991967871485</v>
      </c>
      <c r="L482">
        <v>0</v>
      </c>
      <c r="M482">
        <v>0.22088353413654618</v>
      </c>
      <c r="N482">
        <v>3.614457831325301E-2</v>
      </c>
      <c r="O482">
        <v>0.76706827309236947</v>
      </c>
      <c r="P482">
        <v>0.12449799196787148</v>
      </c>
      <c r="Q482">
        <v>0</v>
      </c>
      <c r="R482">
        <v>7.2289156626506021E-2</v>
      </c>
      <c r="S482">
        <v>2.8112449799196786E-2</v>
      </c>
      <c r="T482">
        <v>0.12048192771084337</v>
      </c>
      <c r="U482">
        <v>4.8192771084337352E-2</v>
      </c>
      <c r="V482">
        <v>0</v>
      </c>
      <c r="W482">
        <v>9.6385542168674704E-2</v>
      </c>
      <c r="X482">
        <v>1.6064257028112448E-2</v>
      </c>
      <c r="Y482">
        <v>0.4859437751004016</v>
      </c>
      <c r="Z482">
        <v>5.6224899598393573E-2</v>
      </c>
      <c r="AA482">
        <v>0</v>
      </c>
      <c r="AB482">
        <v>0.18875502008032127</v>
      </c>
      <c r="AC482">
        <v>0.5662650602409639</v>
      </c>
      <c r="AD482">
        <v>0.66265060240963858</v>
      </c>
      <c r="AE482">
        <v>0.85943775100401609</v>
      </c>
      <c r="AF482">
        <v>0</v>
      </c>
      <c r="AG482">
        <v>0.12449799196787148</v>
      </c>
      <c r="AH482">
        <v>2.0080321285140562E-2</v>
      </c>
      <c r="AI482">
        <v>0.58232931726907633</v>
      </c>
      <c r="AJ482">
        <v>6.0240963855421686E-2</v>
      </c>
      <c r="AL482" s="1">
        <v>3.2128514056224897E-2</v>
      </c>
      <c r="AN482" t="s">
        <v>68</v>
      </c>
      <c r="AO482">
        <v>42</v>
      </c>
      <c r="AP482" s="2">
        <v>0.19333333333333333</v>
      </c>
      <c r="AQ482">
        <v>243</v>
      </c>
      <c r="AT482" s="1">
        <v>0.51004016064257029</v>
      </c>
      <c r="AU482" s="1">
        <v>0.58634538152610438</v>
      </c>
    </row>
    <row r="483" spans="1:47" x14ac:dyDescent="0.3">
      <c r="A483" t="s">
        <v>111</v>
      </c>
      <c r="B483">
        <v>0</v>
      </c>
      <c r="C483" s="1">
        <v>0.64257028112449799</v>
      </c>
      <c r="D483">
        <v>0.39759036144578314</v>
      </c>
      <c r="E483">
        <v>0.20883534136546184</v>
      </c>
      <c r="F483">
        <v>0.30923694779116467</v>
      </c>
      <c r="G483">
        <v>0</v>
      </c>
      <c r="H483">
        <v>0.75903614457831325</v>
      </c>
      <c r="I483">
        <v>0.33333333333333331</v>
      </c>
      <c r="J483">
        <v>0.42971887550200805</v>
      </c>
      <c r="K483">
        <v>0.44979919678714858</v>
      </c>
      <c r="L483">
        <v>0</v>
      </c>
      <c r="M483">
        <v>0.5662650602409639</v>
      </c>
      <c r="N483">
        <v>0.60642570281124497</v>
      </c>
      <c r="O483">
        <v>0.8875502008032129</v>
      </c>
      <c r="P483">
        <v>0.8875502008032129</v>
      </c>
      <c r="Q483">
        <v>0</v>
      </c>
      <c r="R483">
        <v>0.43775100401606426</v>
      </c>
      <c r="S483">
        <v>0.21285140562248997</v>
      </c>
      <c r="T483">
        <v>0.30120481927710846</v>
      </c>
      <c r="U483">
        <v>0.12449799196787148</v>
      </c>
      <c r="V483">
        <v>0</v>
      </c>
      <c r="W483">
        <v>0.64658634538152615</v>
      </c>
      <c r="X483">
        <v>0.3493975903614458</v>
      </c>
      <c r="Y483">
        <v>0.89959839357429716</v>
      </c>
      <c r="Z483">
        <v>0.71485943775100402</v>
      </c>
      <c r="AA483">
        <v>0</v>
      </c>
      <c r="AB483">
        <v>0.31325301204819278</v>
      </c>
      <c r="AC483">
        <v>0.92369477911646591</v>
      </c>
      <c r="AD483">
        <v>8.0321285140562249E-2</v>
      </c>
      <c r="AE483">
        <v>0.47389558232931728</v>
      </c>
      <c r="AF483">
        <v>0</v>
      </c>
      <c r="AG483">
        <v>0.56224899598393574</v>
      </c>
      <c r="AH483">
        <v>0.47389558232931728</v>
      </c>
      <c r="AI483">
        <v>0.59839357429718876</v>
      </c>
      <c r="AJ483">
        <v>0.57831325301204817</v>
      </c>
      <c r="AL483" s="1">
        <v>0.59036144578313254</v>
      </c>
      <c r="AN483" t="s">
        <v>76</v>
      </c>
      <c r="AO483">
        <v>31</v>
      </c>
      <c r="AP483" s="2">
        <v>0.61</v>
      </c>
      <c r="AQ483">
        <v>118</v>
      </c>
      <c r="AT483" s="1">
        <v>0.93172690763052213</v>
      </c>
      <c r="AU483" s="1">
        <v>0.75903614457831325</v>
      </c>
    </row>
    <row r="484" spans="1:47" x14ac:dyDescent="0.3">
      <c r="A484" t="s">
        <v>112</v>
      </c>
      <c r="B484">
        <v>0</v>
      </c>
      <c r="C484" s="1">
        <v>0.37349397590361444</v>
      </c>
      <c r="D484">
        <v>0.13253012048192772</v>
      </c>
      <c r="E484">
        <v>0.45783132530120479</v>
      </c>
      <c r="F484">
        <v>0.28915662650602408</v>
      </c>
      <c r="G484">
        <v>0</v>
      </c>
      <c r="H484">
        <v>0.91566265060240959</v>
      </c>
      <c r="I484">
        <v>0.45783132530120479</v>
      </c>
      <c r="J484">
        <v>0.80722891566265065</v>
      </c>
      <c r="K484">
        <v>0.69477911646586343</v>
      </c>
      <c r="L484">
        <v>0</v>
      </c>
      <c r="M484">
        <v>0.77510040160642568</v>
      </c>
      <c r="N484">
        <v>0.13654618473895583</v>
      </c>
      <c r="O484">
        <v>0.60642570281124497</v>
      </c>
      <c r="P484">
        <v>0.42971887550200805</v>
      </c>
      <c r="Q484">
        <v>0</v>
      </c>
      <c r="R484">
        <v>0.11244979919678715</v>
      </c>
      <c r="S484">
        <v>7.6305220883534142E-2</v>
      </c>
      <c r="T484">
        <v>0.13253012048192772</v>
      </c>
      <c r="U484">
        <v>0.10040160642570281</v>
      </c>
      <c r="V484">
        <v>0</v>
      </c>
      <c r="W484">
        <v>0.73493975903614461</v>
      </c>
      <c r="X484">
        <v>6.4257028112449793E-2</v>
      </c>
      <c r="Y484">
        <v>0.19277108433734941</v>
      </c>
      <c r="Z484">
        <v>0.37349397590361444</v>
      </c>
      <c r="AA484">
        <v>0</v>
      </c>
      <c r="AB484">
        <v>0.94779116465863456</v>
      </c>
      <c r="AC484">
        <v>0.45783132530120479</v>
      </c>
      <c r="AD484">
        <v>0.53413654618473894</v>
      </c>
      <c r="AE484">
        <v>0.54216867469879515</v>
      </c>
      <c r="AF484">
        <v>0</v>
      </c>
      <c r="AG484">
        <v>0.51405622489959835</v>
      </c>
      <c r="AH484">
        <v>0.10040160642570281</v>
      </c>
      <c r="AI484">
        <v>0.55823293172690758</v>
      </c>
      <c r="AJ484">
        <v>0.32128514056224899</v>
      </c>
      <c r="AL484" s="1">
        <v>0.41767068273092367</v>
      </c>
      <c r="AN484" t="s">
        <v>61</v>
      </c>
      <c r="AO484">
        <v>42</v>
      </c>
      <c r="AP484" s="2">
        <v>0.66</v>
      </c>
      <c r="AQ484">
        <v>103</v>
      </c>
      <c r="AT484" s="1">
        <v>0.28112449799196787</v>
      </c>
      <c r="AU484" s="1">
        <v>0.68273092369477917</v>
      </c>
    </row>
    <row r="485" spans="1:47" x14ac:dyDescent="0.3">
      <c r="A485" t="s">
        <v>113</v>
      </c>
      <c r="B485">
        <v>0</v>
      </c>
      <c r="C485" s="1">
        <v>0.5381526104417671</v>
      </c>
      <c r="D485">
        <v>0.16867469879518071</v>
      </c>
      <c r="E485">
        <v>0.33734939759036142</v>
      </c>
      <c r="F485">
        <v>0.27710843373493976</v>
      </c>
      <c r="G485">
        <v>0</v>
      </c>
      <c r="H485">
        <v>0.86746987951807231</v>
      </c>
      <c r="I485">
        <v>0.61847389558232935</v>
      </c>
      <c r="J485">
        <v>0.63052208835341361</v>
      </c>
      <c r="K485">
        <v>0.75903614457831325</v>
      </c>
      <c r="L485">
        <v>0</v>
      </c>
      <c r="M485">
        <v>0.81927710843373491</v>
      </c>
      <c r="N485">
        <v>0.89959839357429716</v>
      </c>
      <c r="O485">
        <v>0.90361445783132532</v>
      </c>
      <c r="P485">
        <v>0.90763052208835338</v>
      </c>
      <c r="Q485">
        <v>0</v>
      </c>
      <c r="R485">
        <v>0.38955823293172692</v>
      </c>
      <c r="S485">
        <v>0.14056224899598393</v>
      </c>
      <c r="T485">
        <v>0.24497991967871485</v>
      </c>
      <c r="U485">
        <v>0.17269076305220885</v>
      </c>
      <c r="V485">
        <v>0</v>
      </c>
      <c r="W485">
        <v>0.79518072289156627</v>
      </c>
      <c r="X485">
        <v>0.87148594377510036</v>
      </c>
      <c r="Y485">
        <v>0.75903614457831325</v>
      </c>
      <c r="Z485">
        <v>0.72289156626506024</v>
      </c>
      <c r="AA485">
        <v>0</v>
      </c>
      <c r="AB485">
        <v>2.0080321285140562E-2</v>
      </c>
      <c r="AC485">
        <v>0.59839357429718876</v>
      </c>
      <c r="AD485">
        <v>0.26506024096385544</v>
      </c>
      <c r="AE485">
        <v>0.65461847389558236</v>
      </c>
      <c r="AF485">
        <v>0</v>
      </c>
      <c r="AG485">
        <v>0.67469879518072284</v>
      </c>
      <c r="AH485">
        <v>0.47791164658634538</v>
      </c>
      <c r="AI485">
        <v>0.71084337349397586</v>
      </c>
      <c r="AJ485">
        <v>0.58634538152610438</v>
      </c>
      <c r="AL485" s="1">
        <v>0.72289156626506024</v>
      </c>
      <c r="AN485" t="s">
        <v>61</v>
      </c>
      <c r="AO485">
        <v>47</v>
      </c>
      <c r="AP485" s="2">
        <v>0.51666666666666672</v>
      </c>
      <c r="AQ485">
        <v>146</v>
      </c>
      <c r="AT485" s="1">
        <v>0.55020080321285136</v>
      </c>
      <c r="AU485" s="1">
        <v>5.2208835341365459E-2</v>
      </c>
    </row>
    <row r="486" spans="1:47" x14ac:dyDescent="0.3">
      <c r="A486" t="s">
        <v>114</v>
      </c>
      <c r="B486">
        <v>0</v>
      </c>
      <c r="C486" s="1">
        <v>6.0240963855421686E-2</v>
      </c>
      <c r="D486">
        <v>0.18875502008032127</v>
      </c>
      <c r="E486">
        <v>0.44176706827309237</v>
      </c>
      <c r="F486">
        <v>0.11244979919678715</v>
      </c>
      <c r="G486">
        <v>0</v>
      </c>
      <c r="H486">
        <v>0.6987951807228916</v>
      </c>
      <c r="I486">
        <v>0.38152610441767071</v>
      </c>
      <c r="J486">
        <v>0.37349397590361444</v>
      </c>
      <c r="K486">
        <v>0.46184738955823296</v>
      </c>
      <c r="L486">
        <v>0</v>
      </c>
      <c r="M486">
        <v>0.28112449799196787</v>
      </c>
      <c r="N486">
        <v>0.25702811244979917</v>
      </c>
      <c r="O486">
        <v>0.85542168674698793</v>
      </c>
      <c r="P486">
        <v>0.29317269076305219</v>
      </c>
      <c r="Q486">
        <v>0</v>
      </c>
      <c r="R486">
        <v>1.6064257028112448E-2</v>
      </c>
      <c r="S486">
        <v>8.8353413654618476E-2</v>
      </c>
      <c r="T486">
        <v>0.36144578313253012</v>
      </c>
      <c r="U486">
        <v>6.4257028112449793E-2</v>
      </c>
      <c r="V486">
        <v>0</v>
      </c>
      <c r="W486">
        <v>6.4257028112449793E-2</v>
      </c>
      <c r="X486">
        <v>0.24497991967871485</v>
      </c>
      <c r="Y486">
        <v>0.77911646586345384</v>
      </c>
      <c r="Z486">
        <v>0.18875502008032127</v>
      </c>
      <c r="AA486">
        <v>0</v>
      </c>
      <c r="AB486">
        <v>0.32931726907630521</v>
      </c>
      <c r="AC486">
        <v>0.64658634538152615</v>
      </c>
      <c r="AD486">
        <v>0.79919678714859432</v>
      </c>
      <c r="AE486">
        <v>0.93975903614457834</v>
      </c>
      <c r="AF486">
        <v>0</v>
      </c>
      <c r="AG486">
        <v>0.12048192771084337</v>
      </c>
      <c r="AH486">
        <v>0.18072289156626506</v>
      </c>
      <c r="AI486">
        <v>0.77911646586345384</v>
      </c>
      <c r="AJ486">
        <v>0.14056224899598393</v>
      </c>
      <c r="AL486" s="1">
        <v>8.4337349397590355E-2</v>
      </c>
      <c r="AN486" t="s">
        <v>68</v>
      </c>
      <c r="AO486">
        <v>81</v>
      </c>
      <c r="AP486" s="2">
        <v>0.25333333333333335</v>
      </c>
      <c r="AQ486">
        <v>225</v>
      </c>
      <c r="AT486" s="1">
        <v>0.95180722891566261</v>
      </c>
      <c r="AU486" s="1">
        <v>0.55421686746987953</v>
      </c>
    </row>
    <row r="487" spans="1:47" x14ac:dyDescent="0.3">
      <c r="A487" t="s">
        <v>115</v>
      </c>
      <c r="B487">
        <v>0</v>
      </c>
      <c r="C487" s="1">
        <v>0.95983935742971882</v>
      </c>
      <c r="D487">
        <v>0.89959839357429716</v>
      </c>
      <c r="E487">
        <v>0.47791164658634538</v>
      </c>
      <c r="F487">
        <v>0.8875502008032129</v>
      </c>
      <c r="G487">
        <v>0</v>
      </c>
      <c r="H487">
        <v>0.93574297188755018</v>
      </c>
      <c r="I487">
        <v>0.55020080321285136</v>
      </c>
      <c r="J487">
        <v>0.37349397590361444</v>
      </c>
      <c r="K487">
        <v>0.83534136546184734</v>
      </c>
      <c r="L487">
        <v>0</v>
      </c>
      <c r="M487">
        <v>0.95582329317269077</v>
      </c>
      <c r="N487">
        <v>0.71084337349397586</v>
      </c>
      <c r="O487">
        <v>0.60642570281124497</v>
      </c>
      <c r="P487">
        <v>0.94779116465863456</v>
      </c>
      <c r="Q487">
        <v>0</v>
      </c>
      <c r="R487">
        <v>0.40160642570281124</v>
      </c>
      <c r="S487">
        <v>0.44578313253012047</v>
      </c>
      <c r="T487">
        <v>0.40963855421686746</v>
      </c>
      <c r="U487">
        <v>0.3534136546184739</v>
      </c>
      <c r="V487">
        <v>0</v>
      </c>
      <c r="W487">
        <v>0.26506024096385544</v>
      </c>
      <c r="X487">
        <v>0.26907630522088355</v>
      </c>
      <c r="Y487">
        <v>0.17670682730923695</v>
      </c>
      <c r="Z487">
        <v>0.25702811244979917</v>
      </c>
      <c r="AA487">
        <v>0</v>
      </c>
      <c r="AB487">
        <v>0.81526104417670686</v>
      </c>
      <c r="AC487">
        <v>0.8393574297188755</v>
      </c>
      <c r="AD487">
        <v>0.24497991967871485</v>
      </c>
      <c r="AE487">
        <v>0.19277108433734941</v>
      </c>
      <c r="AF487">
        <v>0</v>
      </c>
      <c r="AG487">
        <v>0.9718875502008032</v>
      </c>
      <c r="AH487">
        <v>0.91967871485943775</v>
      </c>
      <c r="AI487">
        <v>0.56224899598393574</v>
      </c>
      <c r="AJ487">
        <v>0.95983935742971882</v>
      </c>
      <c r="AL487" s="1">
        <v>0.86746987951807231</v>
      </c>
      <c r="AN487" t="s">
        <v>72</v>
      </c>
      <c r="AO487">
        <v>81</v>
      </c>
      <c r="AP487" s="2">
        <v>0.92666666666666664</v>
      </c>
      <c r="AQ487">
        <v>23</v>
      </c>
      <c r="AT487" s="1">
        <v>0.45381526104417669</v>
      </c>
      <c r="AU487" s="1">
        <v>8.4337349397590355E-2</v>
      </c>
    </row>
    <row r="488" spans="1:47" x14ac:dyDescent="0.3">
      <c r="A488" t="s">
        <v>116</v>
      </c>
      <c r="B488">
        <v>0</v>
      </c>
      <c r="C488" s="1">
        <v>0.49799196787148592</v>
      </c>
      <c r="D488">
        <v>0.51807228915662651</v>
      </c>
      <c r="E488">
        <v>0.89959839357429716</v>
      </c>
      <c r="F488">
        <v>0.51807228915662651</v>
      </c>
      <c r="G488">
        <v>0</v>
      </c>
      <c r="H488">
        <v>0.26506024096385544</v>
      </c>
      <c r="I488">
        <v>0.40963855421686746</v>
      </c>
      <c r="J488">
        <v>0.56224899598393574</v>
      </c>
      <c r="K488">
        <v>0.30923694779116467</v>
      </c>
      <c r="L488">
        <v>0</v>
      </c>
      <c r="M488">
        <v>0.86345381526104414</v>
      </c>
      <c r="N488">
        <v>0.87951807228915657</v>
      </c>
      <c r="O488">
        <v>0.98393574297188757</v>
      </c>
      <c r="P488">
        <v>0.93172690763052213</v>
      </c>
      <c r="Q488">
        <v>0</v>
      </c>
      <c r="R488">
        <v>0.25301204819277107</v>
      </c>
      <c r="S488">
        <v>0.18875502008032127</v>
      </c>
      <c r="T488">
        <v>0.63453815261044177</v>
      </c>
      <c r="U488">
        <v>0.26104417670682734</v>
      </c>
      <c r="V488">
        <v>0</v>
      </c>
      <c r="W488">
        <v>0.7831325301204819</v>
      </c>
      <c r="X488">
        <v>0.70682730923694781</v>
      </c>
      <c r="Y488">
        <v>0.73092369477911645</v>
      </c>
      <c r="Z488">
        <v>0.74698795180722888</v>
      </c>
      <c r="AA488">
        <v>0</v>
      </c>
      <c r="AB488">
        <v>0.38554216867469882</v>
      </c>
      <c r="AC488">
        <v>5.6224899598393573E-2</v>
      </c>
      <c r="AD488">
        <v>0.89959839357429716</v>
      </c>
      <c r="AE488">
        <v>0.97590361445783136</v>
      </c>
      <c r="AF488">
        <v>0</v>
      </c>
      <c r="AG488">
        <v>0.6987951807228916</v>
      </c>
      <c r="AH488">
        <v>0.70682730923694781</v>
      </c>
      <c r="AI488">
        <v>0.99196787148594379</v>
      </c>
      <c r="AJ488">
        <v>0.81526104417670686</v>
      </c>
      <c r="AL488" s="1">
        <v>0.6224899598393574</v>
      </c>
      <c r="AN488" t="s">
        <v>51</v>
      </c>
      <c r="AO488">
        <v>75</v>
      </c>
      <c r="AP488" s="2">
        <v>0.66333333333333333</v>
      </c>
      <c r="AQ488">
        <v>102</v>
      </c>
      <c r="AT488" s="1">
        <v>0.50200803212851408</v>
      </c>
      <c r="AU488" s="1">
        <v>0.28915662650602408</v>
      </c>
    </row>
    <row r="489" spans="1:47" x14ac:dyDescent="0.3">
      <c r="A489" t="s">
        <v>117</v>
      </c>
      <c r="B489">
        <v>0</v>
      </c>
      <c r="C489" s="1">
        <v>0.95582329317269077</v>
      </c>
      <c r="D489">
        <v>0.95983935742971882</v>
      </c>
      <c r="E489">
        <v>0.98393574297188757</v>
      </c>
      <c r="F489">
        <v>0.97590361445783136</v>
      </c>
      <c r="G489">
        <v>0</v>
      </c>
      <c r="H489">
        <v>0.93975903614457834</v>
      </c>
      <c r="I489">
        <v>0.84738955823293172</v>
      </c>
      <c r="J489">
        <v>0.83534136546184734</v>
      </c>
      <c r="K489">
        <v>0.93574297188755018</v>
      </c>
      <c r="L489">
        <v>0</v>
      </c>
      <c r="M489">
        <v>0.20481927710843373</v>
      </c>
      <c r="N489">
        <v>0.14056224899598393</v>
      </c>
      <c r="O489">
        <v>0.47791164658634538</v>
      </c>
      <c r="P489">
        <v>0.26104417670682734</v>
      </c>
      <c r="Q489">
        <v>0</v>
      </c>
      <c r="R489">
        <v>0.63453815261044177</v>
      </c>
      <c r="S489">
        <v>0.62650602409638556</v>
      </c>
      <c r="T489">
        <v>0.92771084337349397</v>
      </c>
      <c r="U489">
        <v>0.7269076305220884</v>
      </c>
      <c r="V489">
        <v>0</v>
      </c>
      <c r="W489">
        <v>0.1606425702811245</v>
      </c>
      <c r="X489">
        <v>0.1646586345381526</v>
      </c>
      <c r="Y489">
        <v>0.36947791164658633</v>
      </c>
      <c r="Z489">
        <v>0.19277108433734941</v>
      </c>
      <c r="AA489">
        <v>0</v>
      </c>
      <c r="AB489">
        <v>0.81927710843373491</v>
      </c>
      <c r="AC489">
        <v>0.82329317269076308</v>
      </c>
      <c r="AD489">
        <v>0.79116465863453811</v>
      </c>
      <c r="AE489">
        <v>0.79116465863453811</v>
      </c>
      <c r="AF489">
        <v>0</v>
      </c>
      <c r="AG489">
        <v>0.75903614457831325</v>
      </c>
      <c r="AH489">
        <v>0.65863453815261042</v>
      </c>
      <c r="AI489">
        <v>0.86746987951807231</v>
      </c>
      <c r="AJ489">
        <v>0.77911646586345384</v>
      </c>
      <c r="AL489" s="1">
        <v>0.71887550200803207</v>
      </c>
      <c r="AN489" t="s">
        <v>57</v>
      </c>
      <c r="AO489">
        <v>80</v>
      </c>
      <c r="AP489" s="2">
        <v>0.85666666666666669</v>
      </c>
      <c r="AQ489">
        <v>44</v>
      </c>
      <c r="AT489" s="1">
        <v>0.31325301204819278</v>
      </c>
      <c r="AU489" s="1">
        <v>0.84738955823293172</v>
      </c>
    </row>
    <row r="490" spans="1:47" x14ac:dyDescent="0.3">
      <c r="A490" t="s">
        <v>118</v>
      </c>
      <c r="B490">
        <v>0</v>
      </c>
      <c r="C490" s="1">
        <v>0.48192771084337349</v>
      </c>
      <c r="D490">
        <v>0.5381526104417671</v>
      </c>
      <c r="E490">
        <v>0.53413654618473894</v>
      </c>
      <c r="F490">
        <v>0.48995983935742971</v>
      </c>
      <c r="G490">
        <v>0</v>
      </c>
      <c r="H490">
        <v>0.10040160642570281</v>
      </c>
      <c r="I490">
        <v>0.24096385542168675</v>
      </c>
      <c r="J490">
        <v>0.39759036144578314</v>
      </c>
      <c r="K490">
        <v>0.15662650602409639</v>
      </c>
      <c r="L490">
        <v>0</v>
      </c>
      <c r="M490">
        <v>0.6987951807228916</v>
      </c>
      <c r="N490">
        <v>0.85542168674698793</v>
      </c>
      <c r="O490">
        <v>0.67871485943775101</v>
      </c>
      <c r="P490">
        <v>0.7831325301204819</v>
      </c>
      <c r="Q490">
        <v>0</v>
      </c>
      <c r="R490">
        <v>0.5381526104417671</v>
      </c>
      <c r="S490">
        <v>0.43775100401606426</v>
      </c>
      <c r="T490">
        <v>0.40562248995983935</v>
      </c>
      <c r="U490">
        <v>0.53413654618473894</v>
      </c>
      <c r="V490">
        <v>0</v>
      </c>
      <c r="W490">
        <v>0.82730923694779113</v>
      </c>
      <c r="X490">
        <v>0.65863453815261042</v>
      </c>
      <c r="Y490">
        <v>0.51004016064257029</v>
      </c>
      <c r="Z490">
        <v>0.76706827309236947</v>
      </c>
      <c r="AA490">
        <v>0</v>
      </c>
      <c r="AB490">
        <v>0.73092369477911645</v>
      </c>
      <c r="AC490">
        <v>0.19277108433734941</v>
      </c>
      <c r="AD490">
        <v>0.55020080321285136</v>
      </c>
      <c r="AE490">
        <v>0.64658634538152615</v>
      </c>
      <c r="AF490">
        <v>0</v>
      </c>
      <c r="AG490">
        <v>0.52610441767068272</v>
      </c>
      <c r="AH490">
        <v>0.71084337349397586</v>
      </c>
      <c r="AI490">
        <v>0.62650602409638556</v>
      </c>
      <c r="AJ490">
        <v>0.67068273092369479</v>
      </c>
      <c r="AL490" s="1">
        <v>0.55020080321285136</v>
      </c>
      <c r="AN490" t="s">
        <v>76</v>
      </c>
      <c r="AO490">
        <v>82</v>
      </c>
      <c r="AP490" s="2">
        <v>0.69333333333333336</v>
      </c>
      <c r="AQ490">
        <v>93</v>
      </c>
      <c r="AT490" s="1">
        <v>0.66265060240963858</v>
      </c>
      <c r="AU490" s="1">
        <v>0.57028112449799195</v>
      </c>
    </row>
    <row r="491" spans="1:47" x14ac:dyDescent="0.3">
      <c r="A491" t="s">
        <v>119</v>
      </c>
      <c r="B491">
        <v>0</v>
      </c>
      <c r="C491" s="1">
        <v>0.81927710843373491</v>
      </c>
      <c r="D491">
        <v>0.87951807228915657</v>
      </c>
      <c r="E491">
        <v>0.20883534136546184</v>
      </c>
      <c r="F491">
        <v>0.92771084337349397</v>
      </c>
      <c r="G491">
        <v>0</v>
      </c>
      <c r="H491">
        <v>4.0160642570281121E-3</v>
      </c>
      <c r="I491">
        <v>0.10040160642570281</v>
      </c>
      <c r="J491">
        <v>8.8353413654618476E-2</v>
      </c>
      <c r="K491">
        <v>4.0160642570281124E-2</v>
      </c>
      <c r="L491">
        <v>0</v>
      </c>
      <c r="M491">
        <v>0.91566265060240959</v>
      </c>
      <c r="N491">
        <v>0.77911646586345384</v>
      </c>
      <c r="O491">
        <v>0.75502008032128509</v>
      </c>
      <c r="P491">
        <v>0.86345381526104414</v>
      </c>
      <c r="Q491">
        <v>0</v>
      </c>
      <c r="R491">
        <v>0.47389558232931728</v>
      </c>
      <c r="S491">
        <v>0.49799196787148592</v>
      </c>
      <c r="T491">
        <v>4.4176706827309238E-2</v>
      </c>
      <c r="U491">
        <v>0.64658634538152615</v>
      </c>
      <c r="V491">
        <v>0</v>
      </c>
      <c r="W491">
        <v>0.75100401606425704</v>
      </c>
      <c r="X491">
        <v>0.42168674698795183</v>
      </c>
      <c r="Y491">
        <v>0.52610441767068272</v>
      </c>
      <c r="Z491">
        <v>0.69076305220883538</v>
      </c>
      <c r="AA491">
        <v>0</v>
      </c>
      <c r="AB491">
        <v>0.18473895582329317</v>
      </c>
      <c r="AC491">
        <v>0.47791164658634538</v>
      </c>
      <c r="AD491">
        <v>5.6224899598393573E-2</v>
      </c>
      <c r="AE491">
        <v>0.17269076305220885</v>
      </c>
      <c r="AF491">
        <v>0</v>
      </c>
      <c r="AG491">
        <v>0.92771084337349397</v>
      </c>
      <c r="AH491">
        <v>0.89959839357429716</v>
      </c>
      <c r="AI491">
        <v>0.47791164658634538</v>
      </c>
      <c r="AJ491">
        <v>0.95582329317269077</v>
      </c>
      <c r="AL491" s="1">
        <v>0.71485943775100402</v>
      </c>
      <c r="AN491" t="s">
        <v>83</v>
      </c>
      <c r="AO491">
        <v>60</v>
      </c>
      <c r="AP491" s="2">
        <v>0.65666666666666662</v>
      </c>
      <c r="AQ491">
        <v>104</v>
      </c>
      <c r="AT491" s="1">
        <v>3.2128514056224897E-2</v>
      </c>
      <c r="AU491" s="1">
        <v>0.94377510040160639</v>
      </c>
    </row>
    <row r="492" spans="1:47" x14ac:dyDescent="0.3">
      <c r="A492" t="s">
        <v>120</v>
      </c>
      <c r="B492">
        <v>0</v>
      </c>
      <c r="C492" s="1">
        <v>0.68273092369477917</v>
      </c>
      <c r="D492">
        <v>0.55823293172690758</v>
      </c>
      <c r="E492">
        <v>0.18072289156626506</v>
      </c>
      <c r="F492">
        <v>0.55823293172690758</v>
      </c>
      <c r="G492">
        <v>0</v>
      </c>
      <c r="H492">
        <v>0.18875502008032127</v>
      </c>
      <c r="I492">
        <v>0.6224899598393574</v>
      </c>
      <c r="J492">
        <v>0.71084337349397586</v>
      </c>
      <c r="K492">
        <v>0.44979919678714858</v>
      </c>
      <c r="L492">
        <v>0</v>
      </c>
      <c r="M492">
        <v>0.8393574297188755</v>
      </c>
      <c r="N492">
        <v>0.8393574297188755</v>
      </c>
      <c r="O492">
        <v>0.66265060240963858</v>
      </c>
      <c r="P492">
        <v>0.84738955823293172</v>
      </c>
      <c r="Q492">
        <v>0</v>
      </c>
      <c r="R492">
        <v>0.62650602409638556</v>
      </c>
      <c r="S492">
        <v>0.30120481927710846</v>
      </c>
      <c r="T492">
        <v>0.15662650602409639</v>
      </c>
      <c r="U492">
        <v>0.36546184738955823</v>
      </c>
      <c r="V492">
        <v>0</v>
      </c>
      <c r="W492">
        <v>0.83534136546184734</v>
      </c>
      <c r="X492">
        <v>0.81927710843373491</v>
      </c>
      <c r="Y492">
        <v>0.40963855421686746</v>
      </c>
      <c r="Z492">
        <v>0.90763052208835338</v>
      </c>
      <c r="AA492">
        <v>0</v>
      </c>
      <c r="AB492">
        <v>0.61044176706827313</v>
      </c>
      <c r="AC492">
        <v>0.36947791164658633</v>
      </c>
      <c r="AD492">
        <v>0.11244979919678715</v>
      </c>
      <c r="AE492">
        <v>0.24497991967871485</v>
      </c>
      <c r="AF492">
        <v>0</v>
      </c>
      <c r="AG492">
        <v>0.81927710843373491</v>
      </c>
      <c r="AH492">
        <v>0.71887550200803207</v>
      </c>
      <c r="AI492">
        <v>0.37751004016064255</v>
      </c>
      <c r="AJ492">
        <v>0.76706827309236947</v>
      </c>
      <c r="AL492" s="1">
        <v>0.7831325301204819</v>
      </c>
      <c r="AN492" t="s">
        <v>54</v>
      </c>
      <c r="AO492">
        <v>82</v>
      </c>
      <c r="AP492" s="2">
        <v>0.83666666666666667</v>
      </c>
      <c r="AQ492">
        <v>50</v>
      </c>
      <c r="AT492" s="1">
        <v>0.20883534136546184</v>
      </c>
      <c r="AU492" s="1">
        <v>0.80722891566265065</v>
      </c>
    </row>
    <row r="493" spans="1:47" x14ac:dyDescent="0.3">
      <c r="A493" t="s">
        <v>121</v>
      </c>
      <c r="B493">
        <v>0</v>
      </c>
      <c r="C493" s="1">
        <v>1</v>
      </c>
      <c r="D493">
        <v>0.98393574297188757</v>
      </c>
      <c r="E493">
        <v>0.67469879518072284</v>
      </c>
      <c r="F493">
        <v>0.99196787148594379</v>
      </c>
      <c r="G493">
        <v>0</v>
      </c>
      <c r="H493">
        <v>0.97590361445783136</v>
      </c>
      <c r="I493">
        <v>0.71084337349397586</v>
      </c>
      <c r="J493">
        <v>0.92369477911646591</v>
      </c>
      <c r="K493">
        <v>0.89558232931726911</v>
      </c>
      <c r="L493">
        <v>0</v>
      </c>
      <c r="M493">
        <v>0.94377510040160639</v>
      </c>
      <c r="N493">
        <v>0.92771084337349397</v>
      </c>
      <c r="O493">
        <v>0.91566265060240959</v>
      </c>
      <c r="P493">
        <v>0.9718875502008032</v>
      </c>
      <c r="Q493">
        <v>0</v>
      </c>
      <c r="R493">
        <v>0.90763052208835338</v>
      </c>
      <c r="S493">
        <v>0.84738955823293172</v>
      </c>
      <c r="T493">
        <v>0.65461847389558236</v>
      </c>
      <c r="U493">
        <v>0.83534136546184734</v>
      </c>
      <c r="V493">
        <v>0</v>
      </c>
      <c r="W493">
        <v>0.2289156626506024</v>
      </c>
      <c r="X493">
        <v>0.63052208835341361</v>
      </c>
      <c r="Y493">
        <v>0.70682730923694781</v>
      </c>
      <c r="Z493">
        <v>0.48192771084337349</v>
      </c>
      <c r="AA493">
        <v>0</v>
      </c>
      <c r="AB493">
        <v>0.71485943775100402</v>
      </c>
      <c r="AC493">
        <v>0.93574297188755018</v>
      </c>
      <c r="AD493">
        <v>0.23293172690763053</v>
      </c>
      <c r="AE493">
        <v>0.50602409638554213</v>
      </c>
      <c r="AF493">
        <v>0</v>
      </c>
      <c r="AG493">
        <v>0.98393574297188757</v>
      </c>
      <c r="AH493">
        <v>0.99196787148594379</v>
      </c>
      <c r="AI493">
        <v>0.91164658634538154</v>
      </c>
      <c r="AJ493">
        <v>0.99598393574297184</v>
      </c>
      <c r="AL493" s="1">
        <v>0.99196787148594379</v>
      </c>
      <c r="AN493" t="s">
        <v>72</v>
      </c>
      <c r="AO493">
        <v>82</v>
      </c>
      <c r="AP493" s="2">
        <v>0.96666666666666667</v>
      </c>
      <c r="AQ493">
        <v>11</v>
      </c>
      <c r="AT493" s="1">
        <v>0.43775100401606426</v>
      </c>
      <c r="AU493" s="1">
        <v>0.33734939759036142</v>
      </c>
    </row>
    <row r="494" spans="1:47" x14ac:dyDescent="0.3">
      <c r="A494" t="s">
        <v>122</v>
      </c>
      <c r="B494">
        <v>0</v>
      </c>
      <c r="C494" s="1">
        <v>0.42168674698795183</v>
      </c>
      <c r="D494">
        <v>0.65863453815261042</v>
      </c>
      <c r="E494">
        <v>0.6224899598393574</v>
      </c>
      <c r="F494">
        <v>0.61847389558232935</v>
      </c>
      <c r="G494">
        <v>0</v>
      </c>
      <c r="H494">
        <v>0.33333333333333331</v>
      </c>
      <c r="I494">
        <v>0.48192771084337349</v>
      </c>
      <c r="J494">
        <v>0.11646586345381527</v>
      </c>
      <c r="K494">
        <v>0.39357429718875503</v>
      </c>
      <c r="L494">
        <v>0</v>
      </c>
      <c r="M494">
        <v>0.5662650602409639</v>
      </c>
      <c r="N494">
        <v>0.73493975903614461</v>
      </c>
      <c r="O494">
        <v>0.55020080321285136</v>
      </c>
      <c r="P494">
        <v>0.50200803212851408</v>
      </c>
      <c r="Q494">
        <v>0</v>
      </c>
      <c r="R494">
        <v>0.17670682730923695</v>
      </c>
      <c r="S494">
        <v>0.23293172690763053</v>
      </c>
      <c r="T494">
        <v>0.30120481927710846</v>
      </c>
      <c r="U494">
        <v>0.19277108433734941</v>
      </c>
      <c r="V494">
        <v>0</v>
      </c>
      <c r="W494">
        <v>0.31325301204819278</v>
      </c>
      <c r="X494">
        <v>0.47389558232931728</v>
      </c>
      <c r="Y494">
        <v>0.57028112449799195</v>
      </c>
      <c r="Z494">
        <v>0.36144578313253012</v>
      </c>
      <c r="AA494">
        <v>0</v>
      </c>
      <c r="AB494">
        <v>0.41767068273092367</v>
      </c>
      <c r="AC494">
        <v>0.6987951807228916</v>
      </c>
      <c r="AD494">
        <v>0.60240963855421692</v>
      </c>
      <c r="AE494">
        <v>0.71887550200803207</v>
      </c>
      <c r="AF494">
        <v>0</v>
      </c>
      <c r="AG494">
        <v>0.46184738955823296</v>
      </c>
      <c r="AH494">
        <v>0.77510040160642568</v>
      </c>
      <c r="AI494">
        <v>0.61445783132530118</v>
      </c>
      <c r="AJ494">
        <v>0.59036144578313254</v>
      </c>
      <c r="AL494" s="1">
        <v>0.3493975903614458</v>
      </c>
      <c r="AN494" t="s">
        <v>81</v>
      </c>
      <c r="AO494">
        <v>82</v>
      </c>
      <c r="AP494" s="2">
        <v>0.46666666666666667</v>
      </c>
      <c r="AQ494">
        <v>161</v>
      </c>
      <c r="AT494" s="1">
        <v>0.38955823293172692</v>
      </c>
      <c r="AU494" s="1">
        <v>0.52610441767068272</v>
      </c>
    </row>
    <row r="495" spans="1:47" x14ac:dyDescent="0.3">
      <c r="A495" t="s">
        <v>123</v>
      </c>
      <c r="B495">
        <v>0</v>
      </c>
      <c r="C495" s="1">
        <v>0.94779116465863456</v>
      </c>
      <c r="D495">
        <v>0.91566265060240959</v>
      </c>
      <c r="E495">
        <v>0.63453815261044177</v>
      </c>
      <c r="F495">
        <v>0.89558232931726911</v>
      </c>
      <c r="G495">
        <v>0</v>
      </c>
      <c r="H495">
        <v>0.17670682730923695</v>
      </c>
      <c r="I495">
        <v>0.66265060240963858</v>
      </c>
      <c r="J495">
        <v>0.80722891566265065</v>
      </c>
      <c r="K495">
        <v>0.48995983935742971</v>
      </c>
      <c r="L495">
        <v>0</v>
      </c>
      <c r="M495">
        <v>0.93172690763052213</v>
      </c>
      <c r="N495">
        <v>0.67469879518072284</v>
      </c>
      <c r="O495">
        <v>0.70281124497991965</v>
      </c>
      <c r="P495">
        <v>0.90763052208835338</v>
      </c>
      <c r="Q495">
        <v>0</v>
      </c>
      <c r="R495">
        <v>0.38554216867469882</v>
      </c>
      <c r="S495">
        <v>0.46586345381526106</v>
      </c>
      <c r="T495">
        <v>0.60240963855421692</v>
      </c>
      <c r="U495">
        <v>0.37751004016064255</v>
      </c>
      <c r="V495">
        <v>0</v>
      </c>
      <c r="W495">
        <v>0.17269076305220885</v>
      </c>
      <c r="X495">
        <v>0.20080321285140562</v>
      </c>
      <c r="Y495">
        <v>0.30923694779116467</v>
      </c>
      <c r="Z495">
        <v>0.17269076305220885</v>
      </c>
      <c r="AA495">
        <v>0</v>
      </c>
      <c r="AB495">
        <v>0.8112449799196787</v>
      </c>
      <c r="AC495">
        <v>0.88353413654618473</v>
      </c>
      <c r="AD495">
        <v>0.37349397590361444</v>
      </c>
      <c r="AE495">
        <v>0.40160642570281124</v>
      </c>
      <c r="AF495">
        <v>0</v>
      </c>
      <c r="AG495">
        <v>0.96787148594377514</v>
      </c>
      <c r="AH495">
        <v>0.90361445783132532</v>
      </c>
      <c r="AI495">
        <v>0.71485943775100402</v>
      </c>
      <c r="AJ495">
        <v>0.94779116465863456</v>
      </c>
      <c r="AL495" s="1">
        <v>0.70281124497991965</v>
      </c>
      <c r="AN495" t="s">
        <v>72</v>
      </c>
      <c r="AO495">
        <v>82</v>
      </c>
      <c r="AP495" s="2">
        <v>0.84</v>
      </c>
      <c r="AQ495">
        <v>49</v>
      </c>
      <c r="AT495" s="1">
        <v>0.62650602409638556</v>
      </c>
      <c r="AU495" s="1">
        <v>0.45381526104417669</v>
      </c>
    </row>
    <row r="496" spans="1:47" x14ac:dyDescent="0.3">
      <c r="A496" t="s">
        <v>124</v>
      </c>
      <c r="B496">
        <v>0</v>
      </c>
      <c r="C496" s="1">
        <v>0.73493975903614461</v>
      </c>
      <c r="D496">
        <v>0.74297188755020083</v>
      </c>
      <c r="E496">
        <v>0.27710843373493976</v>
      </c>
      <c r="F496">
        <v>0.70682730923694781</v>
      </c>
      <c r="G496">
        <v>0</v>
      </c>
      <c r="H496">
        <v>0.10040160642570281</v>
      </c>
      <c r="I496">
        <v>0.70281124497991965</v>
      </c>
      <c r="J496">
        <v>0.87550200803212852</v>
      </c>
      <c r="K496">
        <v>0.46184738955823296</v>
      </c>
      <c r="L496">
        <v>0</v>
      </c>
      <c r="M496">
        <v>0.52208835341365467</v>
      </c>
      <c r="N496">
        <v>0.43775100401606426</v>
      </c>
      <c r="O496">
        <v>0.23293172690763053</v>
      </c>
      <c r="P496">
        <v>0.46586345381526106</v>
      </c>
      <c r="Q496">
        <v>0</v>
      </c>
      <c r="R496">
        <v>0.26104417670682734</v>
      </c>
      <c r="S496">
        <v>0.1606425702811245</v>
      </c>
      <c r="T496">
        <v>0.17269076305220885</v>
      </c>
      <c r="U496">
        <v>8.8353413654618476E-2</v>
      </c>
      <c r="V496">
        <v>0</v>
      </c>
      <c r="W496">
        <v>0.60642570281124497</v>
      </c>
      <c r="X496">
        <v>0.56224899598393574</v>
      </c>
      <c r="Y496">
        <v>0.14457831325301204</v>
      </c>
      <c r="Z496">
        <v>0.54216867469879515</v>
      </c>
      <c r="AA496">
        <v>0</v>
      </c>
      <c r="AB496">
        <v>0.7269076305220884</v>
      </c>
      <c r="AC496">
        <v>0.54618473895582331</v>
      </c>
      <c r="AD496">
        <v>0.11646586345381527</v>
      </c>
      <c r="AE496">
        <v>9.2369477911646583E-2</v>
      </c>
      <c r="AF496">
        <v>0</v>
      </c>
      <c r="AG496">
        <v>0.62650602409638556</v>
      </c>
      <c r="AH496">
        <v>0.61044176706827313</v>
      </c>
      <c r="AI496">
        <v>0.21285140562248997</v>
      </c>
      <c r="AJ496">
        <v>0.63453815261044177</v>
      </c>
      <c r="AL496" s="1">
        <v>0.48192771084337349</v>
      </c>
      <c r="AN496" t="s">
        <v>79</v>
      </c>
      <c r="AO496">
        <v>82</v>
      </c>
      <c r="AP496" s="2">
        <v>0.6333333333333333</v>
      </c>
      <c r="AQ496">
        <v>111</v>
      </c>
      <c r="AT496" s="1">
        <v>0.91566265060240959</v>
      </c>
      <c r="AU496" s="1">
        <v>0.40160642570281124</v>
      </c>
    </row>
    <row r="497" spans="1:47" x14ac:dyDescent="0.3">
      <c r="A497" t="s">
        <v>125</v>
      </c>
      <c r="B497">
        <v>0</v>
      </c>
      <c r="C497" s="1">
        <v>0.20481927710843373</v>
      </c>
      <c r="D497">
        <v>0.34136546184738958</v>
      </c>
      <c r="E497">
        <v>0.58634538152610438</v>
      </c>
      <c r="F497">
        <v>8.8353413654618476E-2</v>
      </c>
      <c r="G497">
        <v>0</v>
      </c>
      <c r="H497">
        <v>0.49397590361445781</v>
      </c>
      <c r="I497">
        <v>0.20481927710843373</v>
      </c>
      <c r="J497">
        <v>0.18875502008032127</v>
      </c>
      <c r="K497">
        <v>0.24096385542168675</v>
      </c>
      <c r="L497">
        <v>0</v>
      </c>
      <c r="M497">
        <v>0.32931726907630521</v>
      </c>
      <c r="N497">
        <v>0.46184738955823296</v>
      </c>
      <c r="O497">
        <v>0.85542168674698793</v>
      </c>
      <c r="P497">
        <v>0.24899598393574296</v>
      </c>
      <c r="Q497">
        <v>0</v>
      </c>
      <c r="R497">
        <v>0.48995983935742971</v>
      </c>
      <c r="S497">
        <v>0.40562248995983935</v>
      </c>
      <c r="T497">
        <v>0.6987951807228916</v>
      </c>
      <c r="U497">
        <v>0.18072289156626506</v>
      </c>
      <c r="V497">
        <v>0</v>
      </c>
      <c r="W497">
        <v>0.79116465863453811</v>
      </c>
      <c r="X497">
        <v>0.70281124497991965</v>
      </c>
      <c r="Y497">
        <v>0.94779116465863456</v>
      </c>
      <c r="Z497">
        <v>0.67871485943775101</v>
      </c>
      <c r="AA497">
        <v>0</v>
      </c>
      <c r="AB497">
        <v>0.18072289156626506</v>
      </c>
      <c r="AC497">
        <v>0.1606425702811245</v>
      </c>
      <c r="AD497">
        <v>0.88353413654618473</v>
      </c>
      <c r="AE497">
        <v>0.96787148594377514</v>
      </c>
      <c r="AF497">
        <v>0</v>
      </c>
      <c r="AG497">
        <v>0.25702811244979917</v>
      </c>
      <c r="AH497">
        <v>0.36546184738955823</v>
      </c>
      <c r="AI497">
        <v>0.82730923694779113</v>
      </c>
      <c r="AJ497">
        <v>0.12048192771084337</v>
      </c>
      <c r="AL497" s="1">
        <v>0.18473895582329317</v>
      </c>
      <c r="AN497" t="s">
        <v>91</v>
      </c>
      <c r="AO497">
        <v>50</v>
      </c>
      <c r="AP497" s="2">
        <v>0.31333333333333335</v>
      </c>
      <c r="AQ497">
        <v>207</v>
      </c>
      <c r="AT497" s="1">
        <v>5.2208835341365459E-2</v>
      </c>
      <c r="AU497" s="1">
        <v>0.68273092369477917</v>
      </c>
    </row>
    <row r="498" spans="1:47" x14ac:dyDescent="0.3">
      <c r="A498" t="s">
        <v>126</v>
      </c>
      <c r="B498">
        <v>0</v>
      </c>
      <c r="C498" s="1">
        <v>0.92369477911646591</v>
      </c>
      <c r="D498">
        <v>0.67871485943775101</v>
      </c>
      <c r="E498">
        <v>0.86345381526104414</v>
      </c>
      <c r="F498">
        <v>0.81526104417670686</v>
      </c>
      <c r="G498">
        <v>0</v>
      </c>
      <c r="H498">
        <v>0.95983935742971882</v>
      </c>
      <c r="I498">
        <v>0.92771084337349397</v>
      </c>
      <c r="J498">
        <v>0.86746987951807231</v>
      </c>
      <c r="K498">
        <v>0.97991967871485941</v>
      </c>
      <c r="L498">
        <v>0</v>
      </c>
      <c r="M498">
        <v>0.7831325301204819</v>
      </c>
      <c r="N498">
        <v>0.91967871485943775</v>
      </c>
      <c r="O498">
        <v>0.83132530120481929</v>
      </c>
      <c r="P498">
        <v>0.93172690763052213</v>
      </c>
      <c r="Q498">
        <v>0</v>
      </c>
      <c r="R498">
        <v>0.96385542168674698</v>
      </c>
      <c r="S498">
        <v>0.92369477911646591</v>
      </c>
      <c r="T498">
        <v>0.96787148594377514</v>
      </c>
      <c r="U498">
        <v>0.95180722891566261</v>
      </c>
      <c r="V498">
        <v>0</v>
      </c>
      <c r="W498">
        <v>0.49799196787148592</v>
      </c>
      <c r="X498">
        <v>0.75502008032128509</v>
      </c>
      <c r="Y498">
        <v>0.6506024096385542</v>
      </c>
      <c r="Z498">
        <v>0.65461847389558236</v>
      </c>
      <c r="AA498">
        <v>0</v>
      </c>
      <c r="AB498">
        <v>0.87951807228915657</v>
      </c>
      <c r="AC498">
        <v>0.9718875502008032</v>
      </c>
      <c r="AD498">
        <v>0.49397590361445781</v>
      </c>
      <c r="AE498">
        <v>0.79116465863453811</v>
      </c>
      <c r="AF498">
        <v>0</v>
      </c>
      <c r="AG498">
        <v>0.91164658634538154</v>
      </c>
      <c r="AH498">
        <v>0.88353413654618473</v>
      </c>
      <c r="AI498">
        <v>0.91967871485943775</v>
      </c>
      <c r="AJ498">
        <v>0.92771084337349397</v>
      </c>
      <c r="AL498" s="1">
        <v>1</v>
      </c>
      <c r="AN498" t="s">
        <v>61</v>
      </c>
      <c r="AO498">
        <v>60</v>
      </c>
      <c r="AP498" s="2">
        <v>0.99333333333333329</v>
      </c>
      <c r="AQ498">
        <v>3</v>
      </c>
      <c r="AT498" s="1">
        <v>0.63855421686746983</v>
      </c>
      <c r="AU498" s="1">
        <v>0.93975903614457834</v>
      </c>
    </row>
    <row r="499" spans="1:47" x14ac:dyDescent="0.3">
      <c r="A499" t="s">
        <v>127</v>
      </c>
      <c r="B499">
        <v>0</v>
      </c>
      <c r="C499" s="1">
        <v>0.24899598393574296</v>
      </c>
      <c r="D499">
        <v>0.27710843373493976</v>
      </c>
      <c r="E499">
        <v>0.26506024096385544</v>
      </c>
      <c r="F499">
        <v>0.30923694779116467</v>
      </c>
      <c r="G499">
        <v>0</v>
      </c>
      <c r="H499">
        <v>0.22489959839357429</v>
      </c>
      <c r="I499">
        <v>0.20883534136546184</v>
      </c>
      <c r="J499">
        <v>0.26104417670682734</v>
      </c>
      <c r="K499">
        <v>0.19678714859437751</v>
      </c>
      <c r="L499">
        <v>0</v>
      </c>
      <c r="M499">
        <v>0.48192771084337349</v>
      </c>
      <c r="N499">
        <v>0.14859437751004015</v>
      </c>
      <c r="O499">
        <v>0.22088353413654618</v>
      </c>
      <c r="P499">
        <v>0.33333333333333331</v>
      </c>
      <c r="Q499">
        <v>0</v>
      </c>
      <c r="R499">
        <v>0.77911646586345384</v>
      </c>
      <c r="S499">
        <v>0.88353413654618473</v>
      </c>
      <c r="T499">
        <v>0.71084337349397586</v>
      </c>
      <c r="U499">
        <v>0.90361445783132532</v>
      </c>
      <c r="V499">
        <v>0</v>
      </c>
      <c r="W499">
        <v>0.85943775100401609</v>
      </c>
      <c r="X499">
        <v>0.22088353413654618</v>
      </c>
      <c r="Y499">
        <v>0.44979919678714858</v>
      </c>
      <c r="Z499">
        <v>0.6506024096385542</v>
      </c>
      <c r="AA499">
        <v>0</v>
      </c>
      <c r="AB499">
        <v>0.6224899598393574</v>
      </c>
      <c r="AC499">
        <v>0.61044176706827313</v>
      </c>
      <c r="AD499">
        <v>0.3534136546184739</v>
      </c>
      <c r="AE499">
        <v>0.12449799196787148</v>
      </c>
      <c r="AF499">
        <v>0</v>
      </c>
      <c r="AG499">
        <v>0.3253012048192771</v>
      </c>
      <c r="AH499">
        <v>0.17670682730923695</v>
      </c>
      <c r="AI499">
        <v>0.18473895582329317</v>
      </c>
      <c r="AJ499">
        <v>0.27710843373493976</v>
      </c>
      <c r="AL499" s="1">
        <v>0.40963855421686746</v>
      </c>
      <c r="AN499" t="s">
        <v>70</v>
      </c>
      <c r="AO499">
        <v>73</v>
      </c>
      <c r="AP499" s="2">
        <v>0.56333333333333335</v>
      </c>
      <c r="AQ499">
        <v>132</v>
      </c>
      <c r="AT499" s="1">
        <v>0.40160642570281124</v>
      </c>
      <c r="AU499" s="1">
        <v>0.33734939759036142</v>
      </c>
    </row>
    <row r="500" spans="1:47" x14ac:dyDescent="0.3">
      <c r="A500" t="s">
        <v>128</v>
      </c>
      <c r="B500">
        <v>0</v>
      </c>
      <c r="C500" s="1">
        <v>0.58232931726907633</v>
      </c>
      <c r="D500">
        <v>0.13253012048192772</v>
      </c>
      <c r="E500">
        <v>0.24899598393574296</v>
      </c>
      <c r="F500">
        <v>0.28915662650602408</v>
      </c>
      <c r="G500">
        <v>0</v>
      </c>
      <c r="H500">
        <v>0.65863453815261042</v>
      </c>
      <c r="I500">
        <v>0.12048192771084337</v>
      </c>
      <c r="J500">
        <v>9.2369477911646583E-2</v>
      </c>
      <c r="K500">
        <v>0.20481927710843373</v>
      </c>
      <c r="L500">
        <v>0</v>
      </c>
      <c r="M500">
        <v>0.46987951807228917</v>
      </c>
      <c r="N500">
        <v>0.82329317269076308</v>
      </c>
      <c r="O500">
        <v>0.12449799196787148</v>
      </c>
      <c r="P500">
        <v>0.76305220883534142</v>
      </c>
      <c r="Q500">
        <v>0</v>
      </c>
      <c r="R500">
        <v>0.66666666666666663</v>
      </c>
      <c r="S500">
        <v>0.19277108433734941</v>
      </c>
      <c r="T500">
        <v>0.59437751004016059</v>
      </c>
      <c r="U500">
        <v>0.4859437751004016</v>
      </c>
      <c r="V500">
        <v>0</v>
      </c>
      <c r="W500">
        <v>0.29317269076305219</v>
      </c>
      <c r="X500">
        <v>0.2971887550200803</v>
      </c>
      <c r="Y500">
        <v>1.6064257028112448E-2</v>
      </c>
      <c r="Z500">
        <v>0.42570281124497994</v>
      </c>
      <c r="AA500">
        <v>0</v>
      </c>
      <c r="AB500">
        <v>5.6224899598393573E-2</v>
      </c>
      <c r="AC500">
        <v>0.92771084337349397</v>
      </c>
      <c r="AD500">
        <v>0.19678714859437751</v>
      </c>
      <c r="AE500">
        <v>6.0240963855421686E-2</v>
      </c>
      <c r="AF500">
        <v>0</v>
      </c>
      <c r="AG500">
        <v>0.51004016064257029</v>
      </c>
      <c r="AH500">
        <v>0.37349397590361444</v>
      </c>
      <c r="AI500">
        <v>0.12449799196787148</v>
      </c>
      <c r="AJ500">
        <v>0.51004016064257029</v>
      </c>
      <c r="AL500" s="1">
        <v>0.46586345381526106</v>
      </c>
      <c r="AN500" t="s">
        <v>75</v>
      </c>
      <c r="AO500">
        <v>62</v>
      </c>
      <c r="AP500" s="2">
        <v>0.42</v>
      </c>
      <c r="AQ500">
        <v>175</v>
      </c>
      <c r="AT500" s="1">
        <v>0.36144578313253012</v>
      </c>
      <c r="AU500" s="1">
        <v>7.6305220883534142E-2</v>
      </c>
    </row>
    <row r="501" spans="1:47" x14ac:dyDescent="0.3">
      <c r="A501" t="s">
        <v>129</v>
      </c>
      <c r="B501">
        <v>0</v>
      </c>
      <c r="C501" s="1">
        <v>0.38554216867469882</v>
      </c>
      <c r="D501">
        <v>0.45381526104417669</v>
      </c>
      <c r="E501">
        <v>0.99196787148594379</v>
      </c>
      <c r="F501">
        <v>0.45381526104417669</v>
      </c>
      <c r="G501">
        <v>0</v>
      </c>
      <c r="H501">
        <v>0.99598393574297184</v>
      </c>
      <c r="I501">
        <v>0.79919678714859432</v>
      </c>
      <c r="J501">
        <v>0.59036144578313254</v>
      </c>
      <c r="K501">
        <v>0.98393574297188757</v>
      </c>
      <c r="L501">
        <v>0</v>
      </c>
      <c r="M501">
        <v>0.54618473895582331</v>
      </c>
      <c r="N501">
        <v>0.42570281124497994</v>
      </c>
      <c r="O501">
        <v>0.79116465863453811</v>
      </c>
      <c r="P501">
        <v>0.46586345381526106</v>
      </c>
      <c r="Q501">
        <v>0</v>
      </c>
      <c r="R501">
        <v>0.73493975903614461</v>
      </c>
      <c r="S501">
        <v>0.86746987951807231</v>
      </c>
      <c r="T501">
        <v>0.99196787148594379</v>
      </c>
      <c r="U501">
        <v>0.76305220883534142</v>
      </c>
      <c r="V501">
        <v>0</v>
      </c>
      <c r="W501">
        <v>0.73895582329317266</v>
      </c>
      <c r="X501">
        <v>0.63855421686746983</v>
      </c>
      <c r="Y501">
        <v>0.95983935742971882</v>
      </c>
      <c r="Z501">
        <v>0.8112449799196787</v>
      </c>
      <c r="AA501">
        <v>0</v>
      </c>
      <c r="AB501">
        <v>0.26104417670682734</v>
      </c>
      <c r="AC501">
        <v>0.52610441767068272</v>
      </c>
      <c r="AD501">
        <v>0.99598393574297184</v>
      </c>
      <c r="AE501">
        <v>0.98393574297188757</v>
      </c>
      <c r="AF501">
        <v>0</v>
      </c>
      <c r="AG501">
        <v>0.40963855421686746</v>
      </c>
      <c r="AH501">
        <v>0.41767068273092367</v>
      </c>
      <c r="AI501">
        <v>0.97590361445783136</v>
      </c>
      <c r="AJ501">
        <v>0.43775100401606426</v>
      </c>
      <c r="AL501" s="1">
        <v>0.80321285140562249</v>
      </c>
      <c r="AN501" t="s">
        <v>67</v>
      </c>
      <c r="AO501">
        <v>49</v>
      </c>
      <c r="AP501" s="2">
        <v>0.71666666666666667</v>
      </c>
      <c r="AQ501">
        <v>86</v>
      </c>
      <c r="AT501" s="1">
        <v>0.8875502008032129</v>
      </c>
      <c r="AU501" s="1">
        <v>4.0160642570281124E-2</v>
      </c>
    </row>
    <row r="502" spans="1:47" x14ac:dyDescent="0.3">
      <c r="A502" t="s">
        <v>130</v>
      </c>
      <c r="B502">
        <v>0</v>
      </c>
      <c r="C502" s="1">
        <v>0.91566265060240959</v>
      </c>
      <c r="D502">
        <v>0.67469879518072284</v>
      </c>
      <c r="E502">
        <v>0.59839357429718876</v>
      </c>
      <c r="F502">
        <v>0.8393574297188755</v>
      </c>
      <c r="G502">
        <v>0</v>
      </c>
      <c r="H502">
        <v>0.49397590361445781</v>
      </c>
      <c r="I502">
        <v>0.81526104417670686</v>
      </c>
      <c r="J502">
        <v>0.63052208835341361</v>
      </c>
      <c r="K502">
        <v>0.77911646586345384</v>
      </c>
      <c r="L502">
        <v>0</v>
      </c>
      <c r="M502">
        <v>1</v>
      </c>
      <c r="N502">
        <v>0.95983935742971882</v>
      </c>
      <c r="O502">
        <v>0.85542168674698793</v>
      </c>
      <c r="P502">
        <v>0.99196787148594379</v>
      </c>
      <c r="Q502">
        <v>0</v>
      </c>
      <c r="R502">
        <v>0.25702811244979917</v>
      </c>
      <c r="S502">
        <v>5.2208835341365459E-2</v>
      </c>
      <c r="T502">
        <v>0.4859437751004016</v>
      </c>
      <c r="U502">
        <v>0.17269076305220885</v>
      </c>
      <c r="V502">
        <v>0</v>
      </c>
      <c r="W502">
        <v>0.92369477911646591</v>
      </c>
      <c r="X502">
        <v>0.73895582329317266</v>
      </c>
      <c r="Y502">
        <v>0.44979919678714858</v>
      </c>
      <c r="Z502">
        <v>0.75502008032128509</v>
      </c>
      <c r="AA502">
        <v>0</v>
      </c>
      <c r="AB502">
        <v>0.10441767068273092</v>
      </c>
      <c r="AC502">
        <v>0.79919678714859432</v>
      </c>
      <c r="AD502">
        <v>0.46586345381526106</v>
      </c>
      <c r="AE502">
        <v>0.36546184738955823</v>
      </c>
      <c r="AF502">
        <v>0</v>
      </c>
      <c r="AG502">
        <v>0.99598393574297184</v>
      </c>
      <c r="AH502">
        <v>0.93975903614457834</v>
      </c>
      <c r="AI502">
        <v>0.82730923694779113</v>
      </c>
      <c r="AJ502">
        <v>0.97991967871485941</v>
      </c>
      <c r="AL502" s="1">
        <v>0.93975903614457834</v>
      </c>
      <c r="AN502" t="s">
        <v>72</v>
      </c>
      <c r="AO502">
        <v>53</v>
      </c>
      <c r="AP502" s="2">
        <v>0.78</v>
      </c>
      <c r="AQ502">
        <v>67</v>
      </c>
      <c r="AT502" s="1">
        <v>0.36144578313253012</v>
      </c>
      <c r="AU502" s="1">
        <v>0.19678714859437751</v>
      </c>
    </row>
    <row r="503" spans="1:47" x14ac:dyDescent="0.3">
      <c r="A503" t="s">
        <v>131</v>
      </c>
      <c r="B503">
        <v>0</v>
      </c>
      <c r="C503" s="1">
        <v>0.28112449799196787</v>
      </c>
      <c r="D503">
        <v>0.32931726907630521</v>
      </c>
      <c r="E503">
        <v>0.26506024096385544</v>
      </c>
      <c r="F503">
        <v>0.28915662650602408</v>
      </c>
      <c r="G503">
        <v>0</v>
      </c>
      <c r="H503">
        <v>0.65863453815261042</v>
      </c>
      <c r="I503">
        <v>0.71887550200803207</v>
      </c>
      <c r="J503">
        <v>0.71084337349397586</v>
      </c>
      <c r="K503">
        <v>0.73493975903614461</v>
      </c>
      <c r="L503">
        <v>0</v>
      </c>
      <c r="M503">
        <v>2.0080321285140562E-2</v>
      </c>
      <c r="N503">
        <v>4.8192771084337352E-2</v>
      </c>
      <c r="O503">
        <v>0.26506024096385544</v>
      </c>
      <c r="P503">
        <v>4.4176706827309238E-2</v>
      </c>
      <c r="Q503">
        <v>0</v>
      </c>
      <c r="R503">
        <v>0.73092369477911645</v>
      </c>
      <c r="S503">
        <v>0.80722891566265065</v>
      </c>
      <c r="T503">
        <v>0.60240963855421692</v>
      </c>
      <c r="U503">
        <v>0.74698795180722888</v>
      </c>
      <c r="V503">
        <v>0</v>
      </c>
      <c r="W503">
        <v>0.45381526104417669</v>
      </c>
      <c r="X503">
        <v>0.71485943775100402</v>
      </c>
      <c r="Y503">
        <v>0.92771084337349397</v>
      </c>
      <c r="Z503">
        <v>0.73895582329317266</v>
      </c>
      <c r="AA503">
        <v>0</v>
      </c>
      <c r="AB503">
        <v>0.91566265060240959</v>
      </c>
      <c r="AC503">
        <v>0.50602409638554213</v>
      </c>
      <c r="AD503">
        <v>0.2971887550200803</v>
      </c>
      <c r="AE503">
        <v>0.57028112449799195</v>
      </c>
      <c r="AF503">
        <v>0</v>
      </c>
      <c r="AG503">
        <v>6.4257028112449793E-2</v>
      </c>
      <c r="AH503">
        <v>0.11244979919678715</v>
      </c>
      <c r="AI503">
        <v>0.2289156626506024</v>
      </c>
      <c r="AJ503">
        <v>0.10040160642570281</v>
      </c>
      <c r="AL503" s="1">
        <v>0.38955823293172692</v>
      </c>
      <c r="AN503" t="s">
        <v>53</v>
      </c>
      <c r="AO503">
        <v>82</v>
      </c>
      <c r="AP503" s="2">
        <v>0.61333333333333329</v>
      </c>
      <c r="AQ503">
        <v>117</v>
      </c>
      <c r="AT503" s="1">
        <v>0.96385542168674698</v>
      </c>
      <c r="AU503" s="1">
        <v>5.2208835341365459E-2</v>
      </c>
    </row>
    <row r="504" spans="1:47" x14ac:dyDescent="0.3">
      <c r="A504" t="s">
        <v>132</v>
      </c>
      <c r="B504">
        <v>0</v>
      </c>
      <c r="C504" s="1">
        <v>0.26506024096385544</v>
      </c>
      <c r="D504">
        <v>0.75502008032128509</v>
      </c>
      <c r="E504">
        <v>0.50200803212851408</v>
      </c>
      <c r="F504">
        <v>0.63855421686746983</v>
      </c>
      <c r="G504">
        <v>0</v>
      </c>
      <c r="H504">
        <v>0.31325301204819278</v>
      </c>
      <c r="I504">
        <v>0.71887550200803207</v>
      </c>
      <c r="J504">
        <v>0.83534136546184734</v>
      </c>
      <c r="K504">
        <v>0.64257028112449799</v>
      </c>
      <c r="L504">
        <v>0</v>
      </c>
      <c r="M504">
        <v>0.69076305220883538</v>
      </c>
      <c r="N504">
        <v>0.59839357429718876</v>
      </c>
      <c r="O504">
        <v>0.51004016064257029</v>
      </c>
      <c r="P504">
        <v>0.7831325301204819</v>
      </c>
      <c r="Q504">
        <v>0</v>
      </c>
      <c r="R504">
        <v>0.23293172690763053</v>
      </c>
      <c r="S504">
        <v>0.94377510040160639</v>
      </c>
      <c r="T504">
        <v>0.65461847389558236</v>
      </c>
      <c r="U504">
        <v>0.85943775100401609</v>
      </c>
      <c r="V504">
        <v>0</v>
      </c>
      <c r="W504">
        <v>0.73092369477911645</v>
      </c>
      <c r="X504">
        <v>0.61847389558232935</v>
      </c>
      <c r="Y504">
        <v>0.57028112449799195</v>
      </c>
      <c r="Z504">
        <v>0.8112449799196787</v>
      </c>
      <c r="AA504">
        <v>0</v>
      </c>
      <c r="AB504">
        <v>0.6506024096385542</v>
      </c>
      <c r="AC504">
        <v>0.57429718875502012</v>
      </c>
      <c r="AD504">
        <v>0.76305220883534142</v>
      </c>
      <c r="AE504">
        <v>0.66666666666666663</v>
      </c>
      <c r="AF504">
        <v>0</v>
      </c>
      <c r="AG504">
        <v>0.43373493975903615</v>
      </c>
      <c r="AH504">
        <v>0.74698795180722888</v>
      </c>
      <c r="AI504">
        <v>0.50200803212851408</v>
      </c>
      <c r="AJ504">
        <v>0.79116465863453811</v>
      </c>
      <c r="AL504" s="1">
        <v>0.65461847389558236</v>
      </c>
      <c r="AN504" t="s">
        <v>85</v>
      </c>
      <c r="AO504">
        <v>54</v>
      </c>
      <c r="AP504" s="2">
        <v>0.7533333333333333</v>
      </c>
      <c r="AQ504">
        <v>75</v>
      </c>
      <c r="AT504" s="1">
        <v>0.77108433734939763</v>
      </c>
      <c r="AU504" s="1">
        <v>0.90763052208835338</v>
      </c>
    </row>
    <row r="505" spans="1:47" x14ac:dyDescent="0.3">
      <c r="A505" t="s">
        <v>133</v>
      </c>
      <c r="B505">
        <v>0</v>
      </c>
      <c r="C505" s="1">
        <v>0.46987951807228917</v>
      </c>
      <c r="D505">
        <v>0.19678714859437751</v>
      </c>
      <c r="E505">
        <v>0.71485943775100402</v>
      </c>
      <c r="F505">
        <v>0.39759036144578314</v>
      </c>
      <c r="G505">
        <v>0</v>
      </c>
      <c r="H505">
        <v>0.41767068273092367</v>
      </c>
      <c r="I505">
        <v>0.50602409638554213</v>
      </c>
      <c r="J505">
        <v>0.2971887550200803</v>
      </c>
      <c r="K505">
        <v>0.46184738955823296</v>
      </c>
      <c r="L505">
        <v>0</v>
      </c>
      <c r="M505">
        <v>0.8875502008032129</v>
      </c>
      <c r="N505">
        <v>0.75502008032128509</v>
      </c>
      <c r="O505">
        <v>0.87148594377510036</v>
      </c>
      <c r="P505">
        <v>0.82730923694779113</v>
      </c>
      <c r="Q505">
        <v>0</v>
      </c>
      <c r="R505">
        <v>0.24497991967871485</v>
      </c>
      <c r="S505">
        <v>0.33333333333333331</v>
      </c>
      <c r="T505">
        <v>0.14056224899598393</v>
      </c>
      <c r="U505">
        <v>0.37751004016064255</v>
      </c>
      <c r="V505">
        <v>0</v>
      </c>
      <c r="W505">
        <v>0.50602409638554213</v>
      </c>
      <c r="X505">
        <v>0.45381526104417669</v>
      </c>
      <c r="Y505">
        <v>0.84337349397590367</v>
      </c>
      <c r="Z505">
        <v>0.52610441767068272</v>
      </c>
      <c r="AA505">
        <v>0</v>
      </c>
      <c r="AB505">
        <v>0.23694779116465864</v>
      </c>
      <c r="AC505">
        <v>0.85140562248995988</v>
      </c>
      <c r="AD505">
        <v>0.8393574297188755</v>
      </c>
      <c r="AE505">
        <v>0.81526104417670686</v>
      </c>
      <c r="AF505">
        <v>0</v>
      </c>
      <c r="AG505">
        <v>0.70281124497991965</v>
      </c>
      <c r="AH505">
        <v>0.40562248995983935</v>
      </c>
      <c r="AI505">
        <v>0.89558232931726911</v>
      </c>
      <c r="AJ505">
        <v>0.63052208835341361</v>
      </c>
      <c r="AL505" s="1">
        <v>0.56224899598393574</v>
      </c>
      <c r="AN505" t="s">
        <v>64</v>
      </c>
      <c r="AO505">
        <v>78</v>
      </c>
      <c r="AP505" s="2">
        <v>0.57999999999999996</v>
      </c>
      <c r="AQ505">
        <v>127</v>
      </c>
      <c r="AT505" s="1">
        <v>7.2289156626506021E-2</v>
      </c>
      <c r="AU505" s="1">
        <v>0.61847389558232935</v>
      </c>
    </row>
    <row r="506" spans="1:47" x14ac:dyDescent="0.3">
      <c r="A506" t="s">
        <v>134</v>
      </c>
      <c r="B506">
        <v>0</v>
      </c>
      <c r="C506" s="1">
        <v>0.38152610441767071</v>
      </c>
      <c r="D506">
        <v>0.38554216867469882</v>
      </c>
      <c r="E506">
        <v>0.37751004016064255</v>
      </c>
      <c r="F506">
        <v>0.15261044176706828</v>
      </c>
      <c r="G506">
        <v>0</v>
      </c>
      <c r="H506">
        <v>4.0160642570281121E-3</v>
      </c>
      <c r="I506">
        <v>0.50602409638554213</v>
      </c>
      <c r="J506">
        <v>0.76305220883534142</v>
      </c>
      <c r="K506">
        <v>0.26104417670682734</v>
      </c>
      <c r="L506">
        <v>0</v>
      </c>
      <c r="M506">
        <v>0.42570281124497994</v>
      </c>
      <c r="N506">
        <v>0.12048192771084337</v>
      </c>
      <c r="O506">
        <v>0.14056224899598393</v>
      </c>
      <c r="P506">
        <v>0.12048192771084337</v>
      </c>
      <c r="Q506">
        <v>0</v>
      </c>
      <c r="R506">
        <v>0.10040160642570281</v>
      </c>
      <c r="S506">
        <v>0.13253012048192772</v>
      </c>
      <c r="T506">
        <v>0.28514056224899598</v>
      </c>
      <c r="U506">
        <v>3.2128514056224897E-2</v>
      </c>
      <c r="V506">
        <v>0</v>
      </c>
      <c r="W506">
        <v>0.24497991967871485</v>
      </c>
      <c r="X506">
        <v>0.13654618473895583</v>
      </c>
      <c r="Y506">
        <v>9.6385542168674704E-2</v>
      </c>
      <c r="Z506">
        <v>6.8273092369477914E-2</v>
      </c>
      <c r="AA506">
        <v>0</v>
      </c>
      <c r="AB506">
        <v>1.2048192771084338E-2</v>
      </c>
      <c r="AC506">
        <v>0.74297188755020083</v>
      </c>
      <c r="AD506">
        <v>0.60642570281124497</v>
      </c>
      <c r="AE506">
        <v>0.40160642570281124</v>
      </c>
      <c r="AF506">
        <v>0</v>
      </c>
      <c r="AG506">
        <v>0.36546184738955823</v>
      </c>
      <c r="AH506">
        <v>0.22088353413654618</v>
      </c>
      <c r="AI506">
        <v>0.19277108433734941</v>
      </c>
      <c r="AJ506">
        <v>0.11646586345381527</v>
      </c>
      <c r="AL506" s="1">
        <v>6.8273092369477914E-2</v>
      </c>
      <c r="AN506" t="s">
        <v>135</v>
      </c>
      <c r="AO506">
        <v>27</v>
      </c>
      <c r="AP506" s="2">
        <v>0.20666666666666667</v>
      </c>
      <c r="AQ506">
        <v>239</v>
      </c>
      <c r="AT506" s="1">
        <v>0.81927710843373491</v>
      </c>
      <c r="AU506" s="1">
        <v>0.90763052208835338</v>
      </c>
    </row>
    <row r="507" spans="1:47" x14ac:dyDescent="0.3">
      <c r="A507" t="s">
        <v>136</v>
      </c>
      <c r="B507">
        <v>0</v>
      </c>
      <c r="C507" s="1">
        <v>0.81927710843373491</v>
      </c>
      <c r="D507">
        <v>0.93172690763052213</v>
      </c>
      <c r="E507">
        <v>0.22088353413654618</v>
      </c>
      <c r="F507">
        <v>0.89959839357429716</v>
      </c>
      <c r="G507">
        <v>0</v>
      </c>
      <c r="H507">
        <v>0.22489959839357429</v>
      </c>
      <c r="I507">
        <v>0.17269076305220885</v>
      </c>
      <c r="J507">
        <v>0.11646586345381527</v>
      </c>
      <c r="K507">
        <v>0.15662650602409639</v>
      </c>
      <c r="L507">
        <v>0</v>
      </c>
      <c r="M507">
        <v>0.71887550200803207</v>
      </c>
      <c r="N507">
        <v>0.30120481927710846</v>
      </c>
      <c r="O507">
        <v>0.42570281124497994</v>
      </c>
      <c r="P507">
        <v>0.52610441767068272</v>
      </c>
      <c r="Q507">
        <v>0</v>
      </c>
      <c r="R507">
        <v>0.36144578313253012</v>
      </c>
      <c r="S507">
        <v>0.61847389558232935</v>
      </c>
      <c r="T507">
        <v>0.33734939759036142</v>
      </c>
      <c r="U507">
        <v>0.51004016064257029</v>
      </c>
      <c r="V507">
        <v>0</v>
      </c>
      <c r="W507">
        <v>0.89959839357429716</v>
      </c>
      <c r="X507">
        <v>0.73493975903614461</v>
      </c>
      <c r="Y507">
        <v>0.68674698795180722</v>
      </c>
      <c r="Z507">
        <v>0.75502008032128509</v>
      </c>
      <c r="AA507">
        <v>0</v>
      </c>
      <c r="AB507">
        <v>7.6305220883534142E-2</v>
      </c>
      <c r="AC507">
        <v>0.55020080321285136</v>
      </c>
      <c r="AD507">
        <v>4.8192771084337352E-2</v>
      </c>
      <c r="AE507">
        <v>9.2369477911646583E-2</v>
      </c>
      <c r="AF507">
        <v>0</v>
      </c>
      <c r="AG507">
        <v>0.84337349397590367</v>
      </c>
      <c r="AH507">
        <v>0.7269076305220884</v>
      </c>
      <c r="AI507">
        <v>0.26907630522088355</v>
      </c>
      <c r="AJ507">
        <v>0.84738955823293172</v>
      </c>
      <c r="AL507" s="1">
        <v>0.64658634538152615</v>
      </c>
      <c r="AN507" t="s">
        <v>79</v>
      </c>
      <c r="AO507">
        <v>47</v>
      </c>
      <c r="AP507" s="2">
        <v>0.55000000000000004</v>
      </c>
      <c r="AQ507">
        <v>136</v>
      </c>
      <c r="AT507" s="1">
        <v>0.32931726907630521</v>
      </c>
      <c r="AU507" s="1">
        <v>0.11646586345381527</v>
      </c>
    </row>
    <row r="508" spans="1:47" x14ac:dyDescent="0.3">
      <c r="A508" t="s">
        <v>137</v>
      </c>
      <c r="B508">
        <v>0</v>
      </c>
      <c r="C508" s="1">
        <v>0.87951807228915657</v>
      </c>
      <c r="D508">
        <v>0.97590361445783136</v>
      </c>
      <c r="E508">
        <v>0.93975903614457834</v>
      </c>
      <c r="F508">
        <v>0.94377510040160639</v>
      </c>
      <c r="G508">
        <v>0</v>
      </c>
      <c r="H508">
        <v>0.41767068273092367</v>
      </c>
      <c r="I508">
        <v>0.99196787148594379</v>
      </c>
      <c r="J508">
        <v>0.97991967871485941</v>
      </c>
      <c r="K508">
        <v>0.94377510040160639</v>
      </c>
      <c r="L508">
        <v>0</v>
      </c>
      <c r="M508">
        <v>0.74698795180722888</v>
      </c>
      <c r="N508">
        <v>0.40562248995983935</v>
      </c>
      <c r="O508">
        <v>0.94779116465863456</v>
      </c>
      <c r="P508">
        <v>0.68273092369477917</v>
      </c>
      <c r="Q508">
        <v>0</v>
      </c>
      <c r="R508">
        <v>0.91566265060240959</v>
      </c>
      <c r="S508">
        <v>0.99598393574297184</v>
      </c>
      <c r="T508">
        <v>0.79116465863453811</v>
      </c>
      <c r="U508">
        <v>0.9718875502008032</v>
      </c>
      <c r="V508">
        <v>0</v>
      </c>
      <c r="W508">
        <v>0.64257028112449799</v>
      </c>
      <c r="X508">
        <v>0.15261044176706828</v>
      </c>
      <c r="Y508">
        <v>0.35742971887550201</v>
      </c>
      <c r="Z508">
        <v>0.46586345381526106</v>
      </c>
      <c r="AA508">
        <v>0</v>
      </c>
      <c r="AB508">
        <v>0.59036144578313254</v>
      </c>
      <c r="AC508">
        <v>0.71887550200803207</v>
      </c>
      <c r="AD508">
        <v>0.77510040160642568</v>
      </c>
      <c r="AE508">
        <v>0.95582329317269077</v>
      </c>
      <c r="AF508">
        <v>0</v>
      </c>
      <c r="AG508">
        <v>0.87148594377510036</v>
      </c>
      <c r="AH508">
        <v>0.85542168674698793</v>
      </c>
      <c r="AI508">
        <v>0.97991967871485941</v>
      </c>
      <c r="AJ508">
        <v>0.91164658634538154</v>
      </c>
      <c r="AL508" s="1">
        <v>0.95180722891566261</v>
      </c>
      <c r="AN508" t="s">
        <v>51</v>
      </c>
      <c r="AO508">
        <v>67</v>
      </c>
      <c r="AP508" s="2">
        <v>0.93666666666666665</v>
      </c>
      <c r="AQ508">
        <v>20</v>
      </c>
      <c r="AT508" s="1">
        <v>0.24497991967871485</v>
      </c>
      <c r="AU508" s="1">
        <v>0.75903614457831325</v>
      </c>
    </row>
    <row r="509" spans="1:47" x14ac:dyDescent="0.3">
      <c r="A509" t="s">
        <v>138</v>
      </c>
      <c r="B509">
        <v>0</v>
      </c>
      <c r="C509" s="1">
        <v>0.9718875502008032</v>
      </c>
      <c r="D509">
        <v>0.7269076305220884</v>
      </c>
      <c r="E509">
        <v>0.52208835341365467</v>
      </c>
      <c r="F509">
        <v>0.93574297188755018</v>
      </c>
      <c r="G509">
        <v>0</v>
      </c>
      <c r="H509">
        <v>0.14859437751004015</v>
      </c>
      <c r="I509">
        <v>0.28915662650602408</v>
      </c>
      <c r="J509">
        <v>0.31726907630522089</v>
      </c>
      <c r="K509">
        <v>0.21285140562248997</v>
      </c>
      <c r="L509">
        <v>0</v>
      </c>
      <c r="M509">
        <v>0.98393574297188757</v>
      </c>
      <c r="N509">
        <v>0.98795180722891562</v>
      </c>
      <c r="O509">
        <v>0.60642570281124497</v>
      </c>
      <c r="P509">
        <v>0.98795180722891562</v>
      </c>
      <c r="Q509">
        <v>0</v>
      </c>
      <c r="R509">
        <v>0.74297188755020083</v>
      </c>
      <c r="S509">
        <v>0.85943775100401609</v>
      </c>
      <c r="T509">
        <v>0.28514056224899598</v>
      </c>
      <c r="U509">
        <v>0.8875502008032129</v>
      </c>
      <c r="V509">
        <v>0</v>
      </c>
      <c r="W509">
        <v>0.95582329317269077</v>
      </c>
      <c r="X509">
        <v>0.97991967871485941</v>
      </c>
      <c r="Y509">
        <v>0.57028112449799195</v>
      </c>
      <c r="Z509">
        <v>0.97991967871485941</v>
      </c>
      <c r="AA509">
        <v>0</v>
      </c>
      <c r="AB509">
        <v>0.59437751004016059</v>
      </c>
      <c r="AC509">
        <v>0.38955823293172692</v>
      </c>
      <c r="AD509">
        <v>0.18072289156626506</v>
      </c>
      <c r="AE509">
        <v>7.6305220883534142E-2</v>
      </c>
      <c r="AF509">
        <v>0</v>
      </c>
      <c r="AG509">
        <v>0.97991967871485941</v>
      </c>
      <c r="AH509">
        <v>0.98393574297188757</v>
      </c>
      <c r="AI509">
        <v>0.57831325301204817</v>
      </c>
      <c r="AJ509">
        <v>1</v>
      </c>
      <c r="AL509" s="1">
        <v>0.91566265060240959</v>
      </c>
      <c r="AN509" t="s">
        <v>55</v>
      </c>
      <c r="AO509">
        <v>65</v>
      </c>
      <c r="AP509" s="2">
        <v>0.93</v>
      </c>
      <c r="AQ509">
        <v>22</v>
      </c>
      <c r="AT509" s="1">
        <v>0.73493975903614461</v>
      </c>
      <c r="AU509" s="1">
        <v>0.42971887550200805</v>
      </c>
    </row>
    <row r="510" spans="1:47" x14ac:dyDescent="0.3">
      <c r="A510" t="s">
        <v>139</v>
      </c>
      <c r="B510">
        <v>0</v>
      </c>
      <c r="C510" s="1">
        <v>0.28915662650602408</v>
      </c>
      <c r="D510">
        <v>0.29317269076305219</v>
      </c>
      <c r="E510">
        <v>0.55020080321285136</v>
      </c>
      <c r="F510">
        <v>0.1646586345381526</v>
      </c>
      <c r="G510">
        <v>0</v>
      </c>
      <c r="H510">
        <v>4.0160642570281121E-3</v>
      </c>
      <c r="I510">
        <v>0.20080321285140562</v>
      </c>
      <c r="J510">
        <v>0.2971887550200803</v>
      </c>
      <c r="K510">
        <v>9.6385542168674704E-2</v>
      </c>
      <c r="L510">
        <v>0</v>
      </c>
      <c r="M510">
        <v>8.4337349397590355E-2</v>
      </c>
      <c r="N510">
        <v>2.0080321285140562E-2</v>
      </c>
      <c r="O510">
        <v>0.16867469879518071</v>
      </c>
      <c r="P510">
        <v>3.614457831325301E-2</v>
      </c>
      <c r="Q510">
        <v>0</v>
      </c>
      <c r="R510">
        <v>0.80722891566265065</v>
      </c>
      <c r="S510">
        <v>0.76305220883534142</v>
      </c>
      <c r="T510">
        <v>0.87951807228915657</v>
      </c>
      <c r="U510">
        <v>0.55020080321285136</v>
      </c>
      <c r="V510">
        <v>0</v>
      </c>
      <c r="W510">
        <v>0.11646586345381527</v>
      </c>
      <c r="X510">
        <v>4.4176706827309238E-2</v>
      </c>
      <c r="Y510">
        <v>0.3534136546184739</v>
      </c>
      <c r="Z510">
        <v>4.8192771084337352E-2</v>
      </c>
      <c r="AA510">
        <v>0</v>
      </c>
      <c r="AB510">
        <v>6.4257028112449793E-2</v>
      </c>
      <c r="AC510">
        <v>0.97991967871485941</v>
      </c>
      <c r="AD510">
        <v>0.71485943775100402</v>
      </c>
      <c r="AE510">
        <v>0.59839357429718876</v>
      </c>
      <c r="AF510">
        <v>0</v>
      </c>
      <c r="AG510">
        <v>0.14859437751004015</v>
      </c>
      <c r="AH510">
        <v>4.4176706827309238E-2</v>
      </c>
      <c r="AI510">
        <v>0.30522088353413657</v>
      </c>
      <c r="AJ510">
        <v>4.4176706827309238E-2</v>
      </c>
      <c r="AL510" s="1">
        <v>5.2208835341365459E-2</v>
      </c>
      <c r="AN510" t="s">
        <v>58</v>
      </c>
      <c r="AO510">
        <v>46</v>
      </c>
      <c r="AP510" s="2">
        <v>0.21333333333333335</v>
      </c>
      <c r="AQ510">
        <v>237</v>
      </c>
      <c r="AT510" s="1">
        <v>1.2048192771084338E-2</v>
      </c>
      <c r="AU510" s="1">
        <v>0.84738955823293172</v>
      </c>
    </row>
    <row r="511" spans="1:47" x14ac:dyDescent="0.3">
      <c r="A511" t="s">
        <v>140</v>
      </c>
      <c r="B511">
        <v>0</v>
      </c>
      <c r="C511" s="1">
        <v>0.59437751004016059</v>
      </c>
      <c r="D511">
        <v>0.89558232931726911</v>
      </c>
      <c r="E511">
        <v>0.25702811244979917</v>
      </c>
      <c r="F511">
        <v>0.87148594377510036</v>
      </c>
      <c r="G511">
        <v>0</v>
      </c>
      <c r="H511">
        <v>4.0160642570281121E-3</v>
      </c>
      <c r="I511">
        <v>0.3493975903614458</v>
      </c>
      <c r="J511">
        <v>0.42971887550200805</v>
      </c>
      <c r="K511">
        <v>0.19277108433734941</v>
      </c>
      <c r="L511">
        <v>0</v>
      </c>
      <c r="M511">
        <v>0.30923694779116467</v>
      </c>
      <c r="N511">
        <v>0.48995983935742971</v>
      </c>
      <c r="O511">
        <v>0.99196787148594379</v>
      </c>
      <c r="P511">
        <v>0.14457831325301204</v>
      </c>
      <c r="Q511">
        <v>0</v>
      </c>
      <c r="R511">
        <v>0.97590361445783136</v>
      </c>
      <c r="S511">
        <v>0.99196787148594379</v>
      </c>
      <c r="T511">
        <v>0.38554216867469882</v>
      </c>
      <c r="U511">
        <v>0.99196787148594379</v>
      </c>
      <c r="V511">
        <v>0</v>
      </c>
      <c r="W511">
        <v>0.1646586345381526</v>
      </c>
      <c r="X511">
        <v>0.24899598393574296</v>
      </c>
      <c r="Y511">
        <v>0.97590361445783136</v>
      </c>
      <c r="Z511">
        <v>3.2128514056224897E-2</v>
      </c>
      <c r="AA511">
        <v>0</v>
      </c>
      <c r="AB511">
        <v>0.19277108433734941</v>
      </c>
      <c r="AC511">
        <v>1</v>
      </c>
      <c r="AD511">
        <v>0.12851405622489959</v>
      </c>
      <c r="AE511">
        <v>0.89558232931726911</v>
      </c>
      <c r="AF511">
        <v>0</v>
      </c>
      <c r="AG511">
        <v>0.47791164658634538</v>
      </c>
      <c r="AH511">
        <v>0.81927710843373491</v>
      </c>
      <c r="AI511">
        <v>0.94779116465863456</v>
      </c>
      <c r="AJ511">
        <v>0.54618473895582331</v>
      </c>
      <c r="AL511" s="1">
        <v>0.46184738955823296</v>
      </c>
      <c r="AN511" t="s">
        <v>71</v>
      </c>
      <c r="AO511">
        <v>16</v>
      </c>
      <c r="AP511" s="2">
        <v>0.48</v>
      </c>
      <c r="AQ511">
        <v>157</v>
      </c>
      <c r="AT511" s="1">
        <v>0.70281124497991965</v>
      </c>
      <c r="AU511" s="1">
        <v>0.61847389558232935</v>
      </c>
    </row>
    <row r="512" spans="1:47" x14ac:dyDescent="0.3">
      <c r="A512" t="s">
        <v>141</v>
      </c>
      <c r="B512">
        <v>0</v>
      </c>
      <c r="C512" s="1">
        <v>0.53413654618473894</v>
      </c>
      <c r="D512">
        <v>0.77911646586345384</v>
      </c>
      <c r="E512">
        <v>0.45783132530120479</v>
      </c>
      <c r="F512">
        <v>0.70682730923694781</v>
      </c>
      <c r="G512">
        <v>0</v>
      </c>
      <c r="H512">
        <v>0.11244979919678715</v>
      </c>
      <c r="I512">
        <v>0.27309236947791166</v>
      </c>
      <c r="J512">
        <v>0.18875502008032127</v>
      </c>
      <c r="K512">
        <v>0.19678714859437751</v>
      </c>
      <c r="L512">
        <v>0</v>
      </c>
      <c r="M512">
        <v>0.53413654618473894</v>
      </c>
      <c r="N512">
        <v>0.49799196787148592</v>
      </c>
      <c r="O512">
        <v>0.43373493975903615</v>
      </c>
      <c r="P512">
        <v>0.41365461847389556</v>
      </c>
      <c r="Q512">
        <v>0</v>
      </c>
      <c r="R512">
        <v>0.36546184738955823</v>
      </c>
      <c r="S512">
        <v>0.41767068273092367</v>
      </c>
      <c r="T512">
        <v>0.14056224899598393</v>
      </c>
      <c r="U512">
        <v>0.33333333333333331</v>
      </c>
      <c r="V512">
        <v>0</v>
      </c>
      <c r="W512">
        <v>0.28112449799196787</v>
      </c>
      <c r="X512">
        <v>0.10843373493975904</v>
      </c>
      <c r="Y512">
        <v>0.44176706827309237</v>
      </c>
      <c r="Z512">
        <v>0.24497991967871485</v>
      </c>
      <c r="AA512">
        <v>0</v>
      </c>
      <c r="AB512">
        <v>0.61847389558232935</v>
      </c>
      <c r="AC512">
        <v>0.39357429718875503</v>
      </c>
      <c r="AD512">
        <v>0.45783132530120479</v>
      </c>
      <c r="AE512">
        <v>0.47389558232931728</v>
      </c>
      <c r="AF512">
        <v>0</v>
      </c>
      <c r="AG512">
        <v>0.50200803212851408</v>
      </c>
      <c r="AH512">
        <v>0.70281124497991965</v>
      </c>
      <c r="AI512">
        <v>0.44979919678714858</v>
      </c>
      <c r="AJ512">
        <v>0.59839357429718876</v>
      </c>
      <c r="AL512" s="1">
        <v>0.31325301204819278</v>
      </c>
      <c r="AN512" t="s">
        <v>81</v>
      </c>
      <c r="AO512">
        <v>80</v>
      </c>
      <c r="AP512" s="2">
        <v>0.46</v>
      </c>
      <c r="AQ512">
        <v>163</v>
      </c>
      <c r="AT512" s="1">
        <v>0.74297188755020083</v>
      </c>
      <c r="AU512" s="1">
        <v>7.2289156626506021E-2</v>
      </c>
    </row>
    <row r="513" spans="1:47" x14ac:dyDescent="0.3">
      <c r="A513" t="s">
        <v>142</v>
      </c>
      <c r="B513">
        <v>0</v>
      </c>
      <c r="C513" s="1">
        <v>0.66666666666666663</v>
      </c>
      <c r="D513">
        <v>0.43373493975903615</v>
      </c>
      <c r="E513">
        <v>0.81927710843373491</v>
      </c>
      <c r="F513">
        <v>0.46586345381526106</v>
      </c>
      <c r="G513">
        <v>0</v>
      </c>
      <c r="H513">
        <v>0.65863453815261042</v>
      </c>
      <c r="I513">
        <v>0.49397590361445781</v>
      </c>
      <c r="J513">
        <v>0.59036144578313254</v>
      </c>
      <c r="K513">
        <v>0.55823293172690758</v>
      </c>
      <c r="L513">
        <v>0</v>
      </c>
      <c r="M513">
        <v>0.73895582329317266</v>
      </c>
      <c r="N513">
        <v>0.87148594377510036</v>
      </c>
      <c r="O513">
        <v>0.93172690763052213</v>
      </c>
      <c r="P513">
        <v>0.86345381526104414</v>
      </c>
      <c r="Q513">
        <v>0</v>
      </c>
      <c r="R513">
        <v>0.69477911646586343</v>
      </c>
      <c r="S513">
        <v>0.17670682730923695</v>
      </c>
      <c r="T513">
        <v>0.82329317269076308</v>
      </c>
      <c r="U513">
        <v>0.40963855421686746</v>
      </c>
      <c r="V513">
        <v>0</v>
      </c>
      <c r="W513">
        <v>0.65461847389558236</v>
      </c>
      <c r="X513">
        <v>0.67068273092369479</v>
      </c>
      <c r="Y513">
        <v>0.84738955823293172</v>
      </c>
      <c r="Z513">
        <v>0.72289156626506024</v>
      </c>
      <c r="AA513">
        <v>0</v>
      </c>
      <c r="AB513">
        <v>0.50200803212851408</v>
      </c>
      <c r="AC513">
        <v>0.87951807228915657</v>
      </c>
      <c r="AD513">
        <v>0.82329317269076308</v>
      </c>
      <c r="AE513">
        <v>0.93975903614457834</v>
      </c>
      <c r="AF513">
        <v>0</v>
      </c>
      <c r="AG513">
        <v>0.7269076305220884</v>
      </c>
      <c r="AH513">
        <v>0.6224899598393574</v>
      </c>
      <c r="AI513">
        <v>0.95180722891566261</v>
      </c>
      <c r="AJ513">
        <v>0.71084337349397586</v>
      </c>
      <c r="AL513" s="1">
        <v>0.77510040160642568</v>
      </c>
      <c r="AN513" t="s">
        <v>84</v>
      </c>
      <c r="AO513">
        <v>79</v>
      </c>
      <c r="AP513" s="2">
        <v>0.78666666666666663</v>
      </c>
      <c r="AQ513">
        <v>65</v>
      </c>
      <c r="AT513" s="1">
        <v>0.46586345381526106</v>
      </c>
      <c r="AU513" s="1">
        <v>0.71485943775100402</v>
      </c>
    </row>
    <row r="514" spans="1:47" x14ac:dyDescent="0.3">
      <c r="A514" t="s">
        <v>143</v>
      </c>
      <c r="B514">
        <v>0</v>
      </c>
      <c r="C514" s="1">
        <v>0.11244979919678715</v>
      </c>
      <c r="D514">
        <v>6.8273092369477914E-2</v>
      </c>
      <c r="E514">
        <v>0.11646586345381527</v>
      </c>
      <c r="F514">
        <v>0.10441767068273092</v>
      </c>
      <c r="G514">
        <v>0</v>
      </c>
      <c r="H514">
        <v>0.37349397590361444</v>
      </c>
      <c r="I514">
        <v>0.52610441767068272</v>
      </c>
      <c r="J514">
        <v>0.2289156626506024</v>
      </c>
      <c r="K514">
        <v>0.46184738955823296</v>
      </c>
      <c r="L514">
        <v>0</v>
      </c>
      <c r="M514">
        <v>0.55823293172690758</v>
      </c>
      <c r="N514">
        <v>0.53413654618473894</v>
      </c>
      <c r="O514">
        <v>0.28915662650602408</v>
      </c>
      <c r="P514">
        <v>0.36144578313253012</v>
      </c>
      <c r="Q514">
        <v>0</v>
      </c>
      <c r="R514">
        <v>0.19277108433734941</v>
      </c>
      <c r="S514">
        <v>0.26104417670682734</v>
      </c>
      <c r="T514">
        <v>3.614457831325301E-2</v>
      </c>
      <c r="U514">
        <v>0.20883534136546184</v>
      </c>
      <c r="V514">
        <v>0</v>
      </c>
      <c r="W514">
        <v>0.83132530120481929</v>
      </c>
      <c r="X514">
        <v>0.83534136546184734</v>
      </c>
      <c r="Y514">
        <v>0.52610441767068272</v>
      </c>
      <c r="Z514">
        <v>0.80321285140562249</v>
      </c>
      <c r="AA514">
        <v>0</v>
      </c>
      <c r="AB514">
        <v>0.99196787148594379</v>
      </c>
      <c r="AC514">
        <v>4.4176706827309238E-2</v>
      </c>
      <c r="AD514">
        <v>0.28514056224899598</v>
      </c>
      <c r="AE514">
        <v>0.24497991967871485</v>
      </c>
      <c r="AF514">
        <v>0</v>
      </c>
      <c r="AG514">
        <v>0.22489959839357429</v>
      </c>
      <c r="AH514">
        <v>0.19678714859437751</v>
      </c>
      <c r="AI514">
        <v>0.14859437751004015</v>
      </c>
      <c r="AJ514">
        <v>0.1606425702811245</v>
      </c>
      <c r="AL514" s="1">
        <v>0.30120481927710846</v>
      </c>
      <c r="AN514" t="s">
        <v>67</v>
      </c>
      <c r="AO514">
        <v>79</v>
      </c>
      <c r="AP514" s="2">
        <v>0.55333333333333334</v>
      </c>
      <c r="AQ514">
        <v>135</v>
      </c>
      <c r="AT514" s="1">
        <v>0.70281124497991965</v>
      </c>
      <c r="AU514" s="1">
        <v>0.21285140562248997</v>
      </c>
    </row>
    <row r="515" spans="1:47" x14ac:dyDescent="0.3">
      <c r="A515" t="s">
        <v>144</v>
      </c>
      <c r="B515">
        <v>0</v>
      </c>
      <c r="C515" s="1">
        <v>8.0321285140562242E-3</v>
      </c>
      <c r="D515">
        <v>7.2289156626506021E-2</v>
      </c>
      <c r="E515">
        <v>0.12851405622489959</v>
      </c>
      <c r="F515">
        <v>2.0080321285140562E-2</v>
      </c>
      <c r="G515">
        <v>0</v>
      </c>
      <c r="H515">
        <v>4.0160642570281121E-3</v>
      </c>
      <c r="I515">
        <v>0.15662650602409639</v>
      </c>
      <c r="J515">
        <v>0.26104417670682734</v>
      </c>
      <c r="K515">
        <v>7.6305220883534142E-2</v>
      </c>
      <c r="L515">
        <v>0</v>
      </c>
      <c r="M515">
        <v>5.2208835341365459E-2</v>
      </c>
      <c r="N515">
        <v>0.11646586345381527</v>
      </c>
      <c r="O515">
        <v>0.14056224899598393</v>
      </c>
      <c r="P515">
        <v>7.6305220883534142E-2</v>
      </c>
      <c r="Q515">
        <v>0</v>
      </c>
      <c r="R515">
        <v>3.614457831325301E-2</v>
      </c>
      <c r="S515">
        <v>0.25702811244979917</v>
      </c>
      <c r="T515">
        <v>0.18473895582329317</v>
      </c>
      <c r="U515">
        <v>0.11244979919678715</v>
      </c>
      <c r="V515">
        <v>0</v>
      </c>
      <c r="W515">
        <v>0.71084337349397586</v>
      </c>
      <c r="X515">
        <v>0.93574297188755018</v>
      </c>
      <c r="Y515">
        <v>0.60642570281124497</v>
      </c>
      <c r="Z515">
        <v>0.82730923694779113</v>
      </c>
      <c r="AA515">
        <v>0</v>
      </c>
      <c r="AB515">
        <v>0.14457831325301204</v>
      </c>
      <c r="AC515">
        <v>9.6385542168674704E-2</v>
      </c>
      <c r="AD515">
        <v>0.51405622489959835</v>
      </c>
      <c r="AE515">
        <v>0.28915662650602408</v>
      </c>
      <c r="AF515">
        <v>0</v>
      </c>
      <c r="AG515">
        <v>8.0321285140562242E-3</v>
      </c>
      <c r="AH515">
        <v>5.6224899598393573E-2</v>
      </c>
      <c r="AI515">
        <v>8.8353413654618476E-2</v>
      </c>
      <c r="AJ515">
        <v>1.2048192771084338E-2</v>
      </c>
      <c r="AL515" s="1">
        <v>1.2048192771084338E-2</v>
      </c>
      <c r="AN515" t="s">
        <v>53</v>
      </c>
      <c r="AO515">
        <v>46</v>
      </c>
      <c r="AP515" s="2">
        <v>0.18</v>
      </c>
      <c r="AQ515">
        <v>247</v>
      </c>
      <c r="AT515" s="1">
        <v>0.85943775100401609</v>
      </c>
      <c r="AU515" s="1">
        <v>0.27309236947791166</v>
      </c>
    </row>
    <row r="516" spans="1:47" x14ac:dyDescent="0.3">
      <c r="A516" t="s">
        <v>145</v>
      </c>
      <c r="B516">
        <v>0</v>
      </c>
      <c r="C516" s="1">
        <v>0.51807228915662651</v>
      </c>
      <c r="D516">
        <v>0.53413654618473894</v>
      </c>
      <c r="E516">
        <v>0.71485943775100402</v>
      </c>
      <c r="F516">
        <v>0.44176706827309237</v>
      </c>
      <c r="G516">
        <v>0</v>
      </c>
      <c r="H516">
        <v>0.51807228915662651</v>
      </c>
      <c r="I516">
        <v>0.71084337349397586</v>
      </c>
      <c r="J516">
        <v>0.69076305220883538</v>
      </c>
      <c r="K516">
        <v>0.68674698795180722</v>
      </c>
      <c r="L516">
        <v>0</v>
      </c>
      <c r="M516">
        <v>0.33333333333333331</v>
      </c>
      <c r="N516">
        <v>0.76706827309236947</v>
      </c>
      <c r="O516">
        <v>0.8875502008032129</v>
      </c>
      <c r="P516">
        <v>0.59437751004016059</v>
      </c>
      <c r="Q516">
        <v>0</v>
      </c>
      <c r="R516">
        <v>0.30923694779116467</v>
      </c>
      <c r="S516">
        <v>0.17269076305220885</v>
      </c>
      <c r="T516">
        <v>0.17670682730923695</v>
      </c>
      <c r="U516">
        <v>0.14859437751004015</v>
      </c>
      <c r="V516">
        <v>0</v>
      </c>
      <c r="W516">
        <v>0.12449799196787148</v>
      </c>
      <c r="X516">
        <v>0.61044176706827313</v>
      </c>
      <c r="Y516">
        <v>0.26104417670682734</v>
      </c>
      <c r="Z516">
        <v>0.28514056224899598</v>
      </c>
      <c r="AA516">
        <v>0</v>
      </c>
      <c r="AB516">
        <v>0.53012048192771088</v>
      </c>
      <c r="AC516">
        <v>0.61445783132530118</v>
      </c>
      <c r="AD516">
        <v>0.74698795180722888</v>
      </c>
      <c r="AE516">
        <v>0.93172690763052213</v>
      </c>
      <c r="AF516">
        <v>0</v>
      </c>
      <c r="AG516">
        <v>0.42570281124497994</v>
      </c>
      <c r="AH516">
        <v>0.62650602409638556</v>
      </c>
      <c r="AI516">
        <v>0.90361445783132532</v>
      </c>
      <c r="AJ516">
        <v>0.48995983935742971</v>
      </c>
      <c r="AL516" s="1">
        <v>0.36144578313253012</v>
      </c>
      <c r="AN516" t="s">
        <v>51</v>
      </c>
      <c r="AO516">
        <v>78</v>
      </c>
      <c r="AP516" s="2">
        <v>0.5</v>
      </c>
      <c r="AQ516">
        <v>151</v>
      </c>
      <c r="AT516" s="1">
        <v>0.20883534136546184</v>
      </c>
      <c r="AU516" s="1">
        <v>0.92771084337349397</v>
      </c>
    </row>
    <row r="517" spans="1:47" x14ac:dyDescent="0.3">
      <c r="A517" t="s">
        <v>146</v>
      </c>
      <c r="B517">
        <v>0</v>
      </c>
      <c r="C517" s="1">
        <v>0.54216867469879515</v>
      </c>
      <c r="D517">
        <v>0.33734939759036142</v>
      </c>
      <c r="E517">
        <v>0.95582329317269077</v>
      </c>
      <c r="F517">
        <v>0.55823293172690758</v>
      </c>
      <c r="G517">
        <v>0</v>
      </c>
      <c r="H517">
        <v>0.94377510040160639</v>
      </c>
      <c r="I517">
        <v>0.49799196787148592</v>
      </c>
      <c r="J517">
        <v>0.1646586345381526</v>
      </c>
      <c r="K517">
        <v>0.83132530120481929</v>
      </c>
      <c r="L517">
        <v>0</v>
      </c>
      <c r="M517">
        <v>9.6385542168674704E-2</v>
      </c>
      <c r="N517">
        <v>3.2128514056224897E-2</v>
      </c>
      <c r="O517">
        <v>1.6064257028112448E-2</v>
      </c>
      <c r="P517">
        <v>2.8112449799196786E-2</v>
      </c>
      <c r="Q517">
        <v>0</v>
      </c>
      <c r="R517">
        <v>0.50200803212851408</v>
      </c>
      <c r="S517">
        <v>0.53413654618473894</v>
      </c>
      <c r="T517">
        <v>0.93574297188755018</v>
      </c>
      <c r="U517">
        <v>0.67068273092369479</v>
      </c>
      <c r="V517">
        <v>0</v>
      </c>
      <c r="W517">
        <v>1.6064257028112448E-2</v>
      </c>
      <c r="X517">
        <v>4.0160642570281121E-3</v>
      </c>
      <c r="Y517">
        <v>1.2048192771084338E-2</v>
      </c>
      <c r="Z517">
        <v>4.0160642570281121E-3</v>
      </c>
      <c r="AA517">
        <v>0</v>
      </c>
      <c r="AB517">
        <v>8.0321285140562249E-2</v>
      </c>
      <c r="AC517">
        <v>0.72289156626506024</v>
      </c>
      <c r="AD517">
        <v>0.96385542168674698</v>
      </c>
      <c r="AE517">
        <v>0.32128514056224899</v>
      </c>
      <c r="AF517">
        <v>0</v>
      </c>
      <c r="AG517">
        <v>0.28514056224899598</v>
      </c>
      <c r="AH517">
        <v>8.0321285140562249E-2</v>
      </c>
      <c r="AI517">
        <v>0.26907630522088355</v>
      </c>
      <c r="AJ517">
        <v>0.15261044176706828</v>
      </c>
      <c r="AL517" s="1">
        <v>0.26506024096385544</v>
      </c>
      <c r="AN517" t="s">
        <v>77</v>
      </c>
      <c r="AO517">
        <v>30</v>
      </c>
      <c r="AP517" s="2">
        <v>0.31666666666666665</v>
      </c>
      <c r="AQ517">
        <v>206</v>
      </c>
      <c r="AT517" s="1">
        <v>1.6064257028112448E-2</v>
      </c>
      <c r="AU517" s="1">
        <v>0.98795180722891562</v>
      </c>
    </row>
    <row r="518" spans="1:47" x14ac:dyDescent="0.3">
      <c r="A518" t="s">
        <v>147</v>
      </c>
      <c r="B518">
        <v>0</v>
      </c>
      <c r="C518" s="1">
        <v>2.8112449799196786E-2</v>
      </c>
      <c r="D518">
        <v>4.4176706827309238E-2</v>
      </c>
      <c r="E518">
        <v>0.10843373493975904</v>
      </c>
      <c r="F518">
        <v>2.4096385542168676E-2</v>
      </c>
      <c r="G518">
        <v>0</v>
      </c>
      <c r="H518">
        <v>0.49397590361445781</v>
      </c>
      <c r="I518">
        <v>6.8273092369477914E-2</v>
      </c>
      <c r="J518">
        <v>0.14457831325301204</v>
      </c>
      <c r="K518">
        <v>8.0321285140562249E-2</v>
      </c>
      <c r="L518">
        <v>0</v>
      </c>
      <c r="M518">
        <v>0.2971887550200803</v>
      </c>
      <c r="N518">
        <v>0.67068273092369479</v>
      </c>
      <c r="O518">
        <v>0.34538152610441769</v>
      </c>
      <c r="P518">
        <v>0.40562248995983935</v>
      </c>
      <c r="Q518">
        <v>0</v>
      </c>
      <c r="R518">
        <v>0.27710843373493976</v>
      </c>
      <c r="S518">
        <v>0.45381526104417669</v>
      </c>
      <c r="T518">
        <v>0.44979919678714858</v>
      </c>
      <c r="U518">
        <v>0.30120481927710846</v>
      </c>
      <c r="V518">
        <v>0</v>
      </c>
      <c r="W518">
        <v>0.6987951807228916</v>
      </c>
      <c r="X518">
        <v>0.94779116465863456</v>
      </c>
      <c r="Y518">
        <v>0.83132530120481929</v>
      </c>
      <c r="Z518">
        <v>0.79518072289156627</v>
      </c>
      <c r="AA518">
        <v>0</v>
      </c>
      <c r="AB518">
        <v>0.67469879518072284</v>
      </c>
      <c r="AC518">
        <v>2.4096385542168676E-2</v>
      </c>
      <c r="AD518">
        <v>0.40562248995983935</v>
      </c>
      <c r="AE518">
        <v>0.45783132530120479</v>
      </c>
      <c r="AF518">
        <v>0</v>
      </c>
      <c r="AG518">
        <v>8.8353413654618476E-2</v>
      </c>
      <c r="AH518">
        <v>0.21686746987951808</v>
      </c>
      <c r="AI518">
        <v>0.15662650602409639</v>
      </c>
      <c r="AJ518">
        <v>0.11244979919678715</v>
      </c>
      <c r="AL518" s="1">
        <v>0.12449799196787148</v>
      </c>
      <c r="AN518" t="s">
        <v>70</v>
      </c>
      <c r="AO518">
        <v>80</v>
      </c>
      <c r="AP518" s="2">
        <v>0.33</v>
      </c>
      <c r="AQ518">
        <v>202</v>
      </c>
      <c r="AT518" s="1">
        <v>0.15662650602409639</v>
      </c>
      <c r="AU518" s="1">
        <v>0.93574297188755018</v>
      </c>
    </row>
    <row r="519" spans="1:47" x14ac:dyDescent="0.3">
      <c r="A519" t="s">
        <v>148</v>
      </c>
      <c r="B519">
        <v>0</v>
      </c>
      <c r="C519" s="1">
        <v>0.55020080321285136</v>
      </c>
      <c r="D519">
        <v>0.89959839357429716</v>
      </c>
      <c r="E519">
        <v>0.89156626506024095</v>
      </c>
      <c r="F519">
        <v>0.55823293172690758</v>
      </c>
      <c r="G519">
        <v>0</v>
      </c>
      <c r="H519">
        <v>0.85140562248995988</v>
      </c>
      <c r="I519">
        <v>0.97991967871485941</v>
      </c>
      <c r="J519">
        <v>0.86345381526104414</v>
      </c>
      <c r="K519">
        <v>0.96787148594377514</v>
      </c>
      <c r="L519">
        <v>0</v>
      </c>
      <c r="M519">
        <v>0.97590361445783136</v>
      </c>
      <c r="N519">
        <v>0.79116465863453811</v>
      </c>
      <c r="O519">
        <v>0.17670682730923695</v>
      </c>
      <c r="P519">
        <v>0.97991967871485941</v>
      </c>
      <c r="Q519">
        <v>0</v>
      </c>
      <c r="R519">
        <v>0.33333333333333331</v>
      </c>
      <c r="S519">
        <v>0.34136546184738958</v>
      </c>
      <c r="T519">
        <v>0.64257028112449799</v>
      </c>
      <c r="U519">
        <v>0.10040160642570281</v>
      </c>
      <c r="V519">
        <v>0</v>
      </c>
      <c r="W519">
        <v>0.97991967871485941</v>
      </c>
      <c r="X519">
        <v>0.95582329317269077</v>
      </c>
      <c r="Y519">
        <v>0.20883534136546184</v>
      </c>
      <c r="Z519">
        <v>0.99196787148594379</v>
      </c>
      <c r="AA519">
        <v>0</v>
      </c>
      <c r="AB519">
        <v>0.1646586345381526</v>
      </c>
      <c r="AC519">
        <v>0.77510040160642568</v>
      </c>
      <c r="AD519">
        <v>0.95983935742971882</v>
      </c>
      <c r="AE519">
        <v>0.25702811244979917</v>
      </c>
      <c r="AF519">
        <v>0</v>
      </c>
      <c r="AG519">
        <v>0.90763052208835338</v>
      </c>
      <c r="AH519">
        <v>0.93574297188755018</v>
      </c>
      <c r="AI519">
        <v>0.50200803212851408</v>
      </c>
      <c r="AJ519">
        <v>0.89959839357429716</v>
      </c>
      <c r="AL519" s="1">
        <v>0.95582329317269077</v>
      </c>
      <c r="AN519" t="s">
        <v>149</v>
      </c>
      <c r="AO519">
        <v>27</v>
      </c>
      <c r="AP519" s="2">
        <v>0.85</v>
      </c>
      <c r="AQ519">
        <v>46</v>
      </c>
      <c r="AT519" s="1">
        <v>0.58634538152610438</v>
      </c>
      <c r="AU519" s="1">
        <v>0.30120481927710846</v>
      </c>
    </row>
    <row r="520" spans="1:47" x14ac:dyDescent="0.3">
      <c r="A520" t="s">
        <v>150</v>
      </c>
      <c r="B520">
        <v>0</v>
      </c>
      <c r="C520" s="1">
        <v>0.93574297188755018</v>
      </c>
      <c r="D520">
        <v>1</v>
      </c>
      <c r="E520">
        <v>0.59839357429718876</v>
      </c>
      <c r="F520">
        <v>1</v>
      </c>
      <c r="G520">
        <v>0</v>
      </c>
      <c r="H520">
        <v>0.49397590361445781</v>
      </c>
      <c r="I520">
        <v>0.91566265060240959</v>
      </c>
      <c r="J520">
        <v>0.85943775100401609</v>
      </c>
      <c r="K520">
        <v>0.85542168674698793</v>
      </c>
      <c r="L520">
        <v>0</v>
      </c>
      <c r="M520">
        <v>0.89558232931726911</v>
      </c>
      <c r="N520">
        <v>0.96385542168674698</v>
      </c>
      <c r="O520">
        <v>0.73895582329317266</v>
      </c>
      <c r="P520">
        <v>0.82730923694779113</v>
      </c>
      <c r="Q520">
        <v>0</v>
      </c>
      <c r="R520">
        <v>0.76305220883534142</v>
      </c>
      <c r="S520">
        <v>1</v>
      </c>
      <c r="T520">
        <v>0.22489959839357429</v>
      </c>
      <c r="U520">
        <v>0.99196787148594379</v>
      </c>
      <c r="V520">
        <v>0</v>
      </c>
      <c r="W520">
        <v>0.79518072289156627</v>
      </c>
      <c r="X520">
        <v>0.79116465863453811</v>
      </c>
      <c r="Y520">
        <v>0.61445783132530118</v>
      </c>
      <c r="Z520">
        <v>0.64257028112449799</v>
      </c>
      <c r="AA520">
        <v>0</v>
      </c>
      <c r="AB520">
        <v>0.68674698795180722</v>
      </c>
      <c r="AC520">
        <v>0.64257028112449799</v>
      </c>
      <c r="AD520">
        <v>0.22088353413654618</v>
      </c>
      <c r="AE520">
        <v>0.32128514056224899</v>
      </c>
      <c r="AF520">
        <v>0</v>
      </c>
      <c r="AG520">
        <v>0.95582329317269077</v>
      </c>
      <c r="AH520">
        <v>1</v>
      </c>
      <c r="AI520">
        <v>0.73092369477911645</v>
      </c>
      <c r="AJ520">
        <v>0.98795180722891562</v>
      </c>
      <c r="AL520" s="1">
        <v>0.97991967871485941</v>
      </c>
      <c r="AN520" t="s">
        <v>83</v>
      </c>
      <c r="AO520">
        <v>81</v>
      </c>
      <c r="AP520" s="2">
        <v>0.96333333333333337</v>
      </c>
      <c r="AQ520">
        <v>12</v>
      </c>
      <c r="AT520" s="1">
        <v>0.62650602409638556</v>
      </c>
      <c r="AU520" s="1">
        <v>0.14056224899598393</v>
      </c>
    </row>
    <row r="521" spans="1:47" x14ac:dyDescent="0.3">
      <c r="A521" t="s">
        <v>151</v>
      </c>
      <c r="B521">
        <v>0</v>
      </c>
      <c r="C521" s="1">
        <v>7.2289156626506021E-2</v>
      </c>
      <c r="D521">
        <v>0.33333333333333331</v>
      </c>
      <c r="E521">
        <v>4.8192771084337352E-2</v>
      </c>
      <c r="F521">
        <v>0.24497991967871485</v>
      </c>
      <c r="G521">
        <v>0</v>
      </c>
      <c r="H521">
        <v>0.77510040160642568</v>
      </c>
      <c r="I521">
        <v>0.38152610441767071</v>
      </c>
      <c r="J521">
        <v>0.92369477911646591</v>
      </c>
      <c r="K521">
        <v>0.51405622489959835</v>
      </c>
      <c r="L521">
        <v>0</v>
      </c>
      <c r="M521">
        <v>0.65461847389558236</v>
      </c>
      <c r="N521">
        <v>0.97590361445783136</v>
      </c>
      <c r="O521">
        <v>0.21686746987951808</v>
      </c>
      <c r="P521">
        <v>0.71887550200803207</v>
      </c>
      <c r="Q521">
        <v>0</v>
      </c>
      <c r="R521">
        <v>3.2128514056224897E-2</v>
      </c>
      <c r="S521">
        <v>0.20481927710843373</v>
      </c>
      <c r="T521">
        <v>0.3253012048192771</v>
      </c>
      <c r="U521">
        <v>0.20883534136546184</v>
      </c>
      <c r="V521">
        <v>0</v>
      </c>
      <c r="W521">
        <v>0.27309236947791166</v>
      </c>
      <c r="X521">
        <v>0.69477911646586343</v>
      </c>
      <c r="Y521">
        <v>0.15662650602409639</v>
      </c>
      <c r="Z521">
        <v>0.27309236947791166</v>
      </c>
      <c r="AA521">
        <v>0</v>
      </c>
      <c r="AB521">
        <v>0.45381526104417669</v>
      </c>
      <c r="AC521">
        <v>0.73493975903614461</v>
      </c>
      <c r="AD521">
        <v>8.4337349397590355E-2</v>
      </c>
      <c r="AE521">
        <v>5.6224899598393573E-2</v>
      </c>
      <c r="AF521">
        <v>0</v>
      </c>
      <c r="AG521">
        <v>0.22088353413654618</v>
      </c>
      <c r="AH521">
        <v>0.78714859437751006</v>
      </c>
      <c r="AI521">
        <v>5.2208835341365459E-2</v>
      </c>
      <c r="AJ521">
        <v>0.41767068273092367</v>
      </c>
      <c r="AL521" s="1">
        <v>0.2971887550200803</v>
      </c>
      <c r="AN521" t="s">
        <v>76</v>
      </c>
      <c r="AO521">
        <v>14</v>
      </c>
      <c r="AP521" s="2">
        <v>0.42333333333333334</v>
      </c>
      <c r="AQ521">
        <v>174</v>
      </c>
      <c r="AT521" s="1">
        <v>0.92369477911646591</v>
      </c>
      <c r="AU521" s="1">
        <v>0.22489959839357429</v>
      </c>
    </row>
    <row r="522" spans="1:47" x14ac:dyDescent="0.3">
      <c r="A522" t="s">
        <v>152</v>
      </c>
      <c r="B522">
        <v>0</v>
      </c>
      <c r="C522" s="1">
        <v>0.46586345381526106</v>
      </c>
      <c r="D522">
        <v>0.42971887550200805</v>
      </c>
      <c r="E522">
        <v>7.2289156626506021E-2</v>
      </c>
      <c r="F522">
        <v>0.36947791164658633</v>
      </c>
      <c r="G522">
        <v>0</v>
      </c>
      <c r="H522">
        <v>0.11244979919678715</v>
      </c>
      <c r="I522">
        <v>0.17269076305220885</v>
      </c>
      <c r="J522">
        <v>0.15662650602409639</v>
      </c>
      <c r="K522">
        <v>0.12048192771084337</v>
      </c>
      <c r="L522">
        <v>0</v>
      </c>
      <c r="M522">
        <v>0.42971887550200805</v>
      </c>
      <c r="N522">
        <v>0.53413654618473894</v>
      </c>
      <c r="O522">
        <v>0.68273092369477917</v>
      </c>
      <c r="P522">
        <v>0.58232931726907633</v>
      </c>
      <c r="Q522">
        <v>0</v>
      </c>
      <c r="R522">
        <v>0.63052208835341361</v>
      </c>
      <c r="S522">
        <v>0.39357429718875503</v>
      </c>
      <c r="T522">
        <v>0.18072289156626506</v>
      </c>
      <c r="U522">
        <v>0.36947791164658633</v>
      </c>
      <c r="V522">
        <v>0</v>
      </c>
      <c r="W522">
        <v>0.80722891566265065</v>
      </c>
      <c r="X522">
        <v>0.80722891566265065</v>
      </c>
      <c r="Y522">
        <v>0.59437751004016059</v>
      </c>
      <c r="Z522">
        <v>0.91164658634538154</v>
      </c>
      <c r="AA522">
        <v>0</v>
      </c>
      <c r="AB522">
        <v>0.36144578313253012</v>
      </c>
      <c r="AC522">
        <v>0.38152610441767071</v>
      </c>
      <c r="AD522">
        <v>4.0160642570281124E-2</v>
      </c>
      <c r="AE522">
        <v>0.25702811244979917</v>
      </c>
      <c r="AF522">
        <v>0</v>
      </c>
      <c r="AG522">
        <v>0.41767068273092367</v>
      </c>
      <c r="AH522">
        <v>0.44176706827309237</v>
      </c>
      <c r="AI522">
        <v>0.25301204819277107</v>
      </c>
      <c r="AJ522">
        <v>0.44176706827309237</v>
      </c>
      <c r="AL522" s="1">
        <v>0.41365461847389556</v>
      </c>
      <c r="AN522" t="s">
        <v>80</v>
      </c>
      <c r="AO522">
        <v>79</v>
      </c>
      <c r="AP522" s="2">
        <v>0.51</v>
      </c>
      <c r="AQ522">
        <v>148</v>
      </c>
      <c r="AT522" s="1">
        <v>0.17670682730923695</v>
      </c>
      <c r="AU522" s="1">
        <v>0.35742971887550201</v>
      </c>
    </row>
    <row r="523" spans="1:47" x14ac:dyDescent="0.3">
      <c r="A523" t="s">
        <v>153</v>
      </c>
      <c r="B523">
        <v>0</v>
      </c>
      <c r="C523" s="1">
        <v>0.6987951807228916</v>
      </c>
      <c r="D523">
        <v>0.79518072289156627</v>
      </c>
      <c r="E523">
        <v>0.73493975903614461</v>
      </c>
      <c r="F523">
        <v>0.77510040160642568</v>
      </c>
      <c r="G523">
        <v>0</v>
      </c>
      <c r="H523">
        <v>0.77510040160642568</v>
      </c>
      <c r="I523">
        <v>0.85943775100401609</v>
      </c>
      <c r="J523">
        <v>0.83534136546184734</v>
      </c>
      <c r="K523">
        <v>0.87148594377510036</v>
      </c>
      <c r="L523">
        <v>0</v>
      </c>
      <c r="M523">
        <v>0.51405622489959835</v>
      </c>
      <c r="N523">
        <v>0.65461847389558236</v>
      </c>
      <c r="O523">
        <v>0.43373493975903615</v>
      </c>
      <c r="P523">
        <v>0.48995983935742971</v>
      </c>
      <c r="Q523">
        <v>0</v>
      </c>
      <c r="R523">
        <v>0.63855421686746983</v>
      </c>
      <c r="S523">
        <v>0.41365461847389556</v>
      </c>
      <c r="T523">
        <v>0.4859437751004016</v>
      </c>
      <c r="U523">
        <v>0.51004016064257029</v>
      </c>
      <c r="V523">
        <v>0</v>
      </c>
      <c r="W523">
        <v>0.21285140562248997</v>
      </c>
      <c r="X523">
        <v>0.37349397590361444</v>
      </c>
      <c r="Y523">
        <v>0.38955823293172692</v>
      </c>
      <c r="Z523">
        <v>0.31325301204819278</v>
      </c>
      <c r="AA523">
        <v>0</v>
      </c>
      <c r="AB523">
        <v>0.92771084337349397</v>
      </c>
      <c r="AC523">
        <v>0.26104417670682734</v>
      </c>
      <c r="AD523">
        <v>0.64658634538152615</v>
      </c>
      <c r="AE523">
        <v>0.57831325301204817</v>
      </c>
      <c r="AF523">
        <v>0</v>
      </c>
      <c r="AG523">
        <v>0.57831325301204817</v>
      </c>
      <c r="AH523">
        <v>0.81526104417670686</v>
      </c>
      <c r="AI523">
        <v>0.61847389558232935</v>
      </c>
      <c r="AJ523">
        <v>0.71887550200803207</v>
      </c>
      <c r="AL523" s="1">
        <v>0.68273092369477917</v>
      </c>
      <c r="AN523" t="s">
        <v>81</v>
      </c>
      <c r="AO523">
        <v>82</v>
      </c>
      <c r="AP523" s="2">
        <v>0.87</v>
      </c>
      <c r="AQ523">
        <v>40</v>
      </c>
      <c r="AT523" s="1">
        <v>0.26104417670682734</v>
      </c>
      <c r="AU523" s="1">
        <v>0.40160642570281124</v>
      </c>
    </row>
    <row r="524" spans="1:47" x14ac:dyDescent="0.3">
      <c r="A524" t="s">
        <v>154</v>
      </c>
      <c r="B524">
        <v>0</v>
      </c>
      <c r="C524" s="1">
        <v>0.66265060240963858</v>
      </c>
      <c r="D524">
        <v>0.63052208835341361</v>
      </c>
      <c r="E524">
        <v>0.85140562248995988</v>
      </c>
      <c r="F524">
        <v>0.76706827309236947</v>
      </c>
      <c r="G524">
        <v>0</v>
      </c>
      <c r="H524">
        <v>0.6224899598393574</v>
      </c>
      <c r="I524">
        <v>0.2289156626506024</v>
      </c>
      <c r="J524">
        <v>0.31726907630522089</v>
      </c>
      <c r="K524">
        <v>0.30923694779116467</v>
      </c>
      <c r="L524">
        <v>0</v>
      </c>
      <c r="M524">
        <v>0.68273092369477917</v>
      </c>
      <c r="N524">
        <v>0.49397590361445781</v>
      </c>
      <c r="O524">
        <v>8.8353413654618476E-2</v>
      </c>
      <c r="P524">
        <v>0.67469879518072284</v>
      </c>
      <c r="Q524">
        <v>0</v>
      </c>
      <c r="R524">
        <v>0.75100401606425704</v>
      </c>
      <c r="S524">
        <v>0.74297188755020083</v>
      </c>
      <c r="T524">
        <v>0.8875502008032129</v>
      </c>
      <c r="U524">
        <v>0.92771084337349397</v>
      </c>
      <c r="V524">
        <v>0</v>
      </c>
      <c r="W524">
        <v>0.72289156626506024</v>
      </c>
      <c r="X524">
        <v>0.65863453815261042</v>
      </c>
      <c r="Y524">
        <v>5.6224899598393573E-2</v>
      </c>
      <c r="Z524">
        <v>0.91164658634538154</v>
      </c>
      <c r="AA524">
        <v>0</v>
      </c>
      <c r="AB524">
        <v>0.44979919678714858</v>
      </c>
      <c r="AC524">
        <v>0.87148594377510036</v>
      </c>
      <c r="AD524">
        <v>0.70682730923694781</v>
      </c>
      <c r="AE524">
        <v>0.27309236947791166</v>
      </c>
      <c r="AF524">
        <v>0</v>
      </c>
      <c r="AG524">
        <v>0.67068273092369479</v>
      </c>
      <c r="AH524">
        <v>0.58634538152610438</v>
      </c>
      <c r="AI524">
        <v>0.3493975903614458</v>
      </c>
      <c r="AJ524">
        <v>0.80722891566265065</v>
      </c>
      <c r="AL524" s="1">
        <v>0.8112449799196787</v>
      </c>
      <c r="AN524" t="s">
        <v>60</v>
      </c>
      <c r="AO524">
        <v>17</v>
      </c>
      <c r="AP524" s="2">
        <v>0.79666666666666663</v>
      </c>
      <c r="AQ524">
        <v>62</v>
      </c>
      <c r="AT524" s="1">
        <v>0.79116465863453811</v>
      </c>
      <c r="AU524" s="1">
        <v>0.15662650602409639</v>
      </c>
    </row>
    <row r="525" spans="1:47" x14ac:dyDescent="0.3">
      <c r="A525" t="s">
        <v>155</v>
      </c>
      <c r="B525">
        <v>0</v>
      </c>
      <c r="C525" s="1">
        <v>0.13253012048192772</v>
      </c>
      <c r="D525">
        <v>0.23293172690763053</v>
      </c>
      <c r="E525">
        <v>0.14457831325301204</v>
      </c>
      <c r="F525">
        <v>0.19277108433734941</v>
      </c>
      <c r="G525">
        <v>0</v>
      </c>
      <c r="H525">
        <v>0.41767068273092367</v>
      </c>
      <c r="I525">
        <v>0.66265060240963858</v>
      </c>
      <c r="J525">
        <v>0.42971887550200805</v>
      </c>
      <c r="K525">
        <v>0.61044176706827313</v>
      </c>
      <c r="L525">
        <v>0</v>
      </c>
      <c r="M525">
        <v>0.13654618473895583</v>
      </c>
      <c r="N525">
        <v>0.15662650602409639</v>
      </c>
      <c r="O525">
        <v>0.25301204819277107</v>
      </c>
      <c r="P525">
        <v>9.6385542168674704E-2</v>
      </c>
      <c r="Q525">
        <v>0</v>
      </c>
      <c r="R525">
        <v>0.33734939759036142</v>
      </c>
      <c r="S525">
        <v>0.48192771084337349</v>
      </c>
      <c r="T525">
        <v>4.8192771084337352E-2</v>
      </c>
      <c r="U525">
        <v>0.32128514056224899</v>
      </c>
      <c r="V525">
        <v>0</v>
      </c>
      <c r="W525">
        <v>9.2369477911646583E-2</v>
      </c>
      <c r="X525">
        <v>0.38152610441767071</v>
      </c>
      <c r="Y525">
        <v>0.49799196787148592</v>
      </c>
      <c r="Z525">
        <v>9.2369477911646583E-2</v>
      </c>
      <c r="AA525">
        <v>0</v>
      </c>
      <c r="AB525">
        <v>0.86746987951807231</v>
      </c>
      <c r="AC525">
        <v>0.16867469879518071</v>
      </c>
      <c r="AD525">
        <v>0.26907630522088355</v>
      </c>
      <c r="AE525">
        <v>0.28915662650602408</v>
      </c>
      <c r="AF525">
        <v>0</v>
      </c>
      <c r="AG525">
        <v>0.10441767068273092</v>
      </c>
      <c r="AH525">
        <v>0.15662650602409639</v>
      </c>
      <c r="AI525">
        <v>0.13654618473895583</v>
      </c>
      <c r="AJ525">
        <v>0.10441767068273092</v>
      </c>
      <c r="AL525" s="1">
        <v>9.2369477911646583E-2</v>
      </c>
      <c r="AN525" t="s">
        <v>58</v>
      </c>
      <c r="AO525">
        <v>62</v>
      </c>
      <c r="AP525" s="2">
        <v>0.29666666666666669</v>
      </c>
      <c r="AQ525">
        <v>212</v>
      </c>
      <c r="AT525" s="1">
        <v>0.70281124497991965</v>
      </c>
      <c r="AU525" s="1">
        <v>0.28915662650602408</v>
      </c>
    </row>
    <row r="526" spans="1:47" x14ac:dyDescent="0.3">
      <c r="A526" t="s">
        <v>156</v>
      </c>
      <c r="B526">
        <v>0</v>
      </c>
      <c r="C526" s="1">
        <v>0.79919678714859432</v>
      </c>
      <c r="D526">
        <v>0.57028112449799195</v>
      </c>
      <c r="E526">
        <v>0.47791164658634538</v>
      </c>
      <c r="F526">
        <v>0.77510040160642568</v>
      </c>
      <c r="G526">
        <v>0</v>
      </c>
      <c r="H526">
        <v>0.6224899598393574</v>
      </c>
      <c r="I526">
        <v>0.59437751004016059</v>
      </c>
      <c r="J526">
        <v>0.31726907630522089</v>
      </c>
      <c r="K526">
        <v>0.61044176706827313</v>
      </c>
      <c r="L526">
        <v>0</v>
      </c>
      <c r="M526">
        <v>0.9718875502008032</v>
      </c>
      <c r="N526">
        <v>0.97991967871485941</v>
      </c>
      <c r="O526">
        <v>0.5381526104417671</v>
      </c>
      <c r="P526">
        <v>0.93172690763052213</v>
      </c>
      <c r="Q526">
        <v>0</v>
      </c>
      <c r="R526">
        <v>8.0321285140562249E-2</v>
      </c>
      <c r="S526">
        <v>0.30923694779116467</v>
      </c>
      <c r="T526">
        <v>0.44176706827309237</v>
      </c>
      <c r="U526">
        <v>0.2289156626506024</v>
      </c>
      <c r="V526">
        <v>0</v>
      </c>
      <c r="W526">
        <v>0.40963855421686746</v>
      </c>
      <c r="X526">
        <v>0.87951807228915657</v>
      </c>
      <c r="Y526">
        <v>0.38955823293172692</v>
      </c>
      <c r="Z526">
        <v>0.54216867469879515</v>
      </c>
      <c r="AA526">
        <v>0</v>
      </c>
      <c r="AB526">
        <v>4.0160642570281124E-2</v>
      </c>
      <c r="AC526">
        <v>0.99196787148594379</v>
      </c>
      <c r="AD526">
        <v>0.34136546184738958</v>
      </c>
      <c r="AE526">
        <v>0.11646586345381527</v>
      </c>
      <c r="AF526">
        <v>0</v>
      </c>
      <c r="AG526">
        <v>0.95582329317269077</v>
      </c>
      <c r="AH526">
        <v>0.94779116465863456</v>
      </c>
      <c r="AI526">
        <v>0.50200803212851408</v>
      </c>
      <c r="AJ526">
        <v>0.91967871485943775</v>
      </c>
      <c r="AL526" s="1">
        <v>0.75903614457831325</v>
      </c>
      <c r="AN526" t="s">
        <v>55</v>
      </c>
      <c r="AO526">
        <v>23</v>
      </c>
      <c r="AP526" s="2">
        <v>0.56666666666666665</v>
      </c>
      <c r="AQ526">
        <v>131</v>
      </c>
      <c r="AT526" s="1">
        <v>8.4337349397590355E-2</v>
      </c>
      <c r="AU526" s="1">
        <v>0.99598393574297184</v>
      </c>
    </row>
    <row r="527" spans="1:47" x14ac:dyDescent="0.3">
      <c r="A527" t="s">
        <v>157</v>
      </c>
      <c r="B527">
        <v>0</v>
      </c>
      <c r="C527" s="1">
        <v>0.17670682730923695</v>
      </c>
      <c r="D527">
        <v>0.3253012048192771</v>
      </c>
      <c r="E527">
        <v>0.47791164658634538</v>
      </c>
      <c r="F527">
        <v>0.13253012048192772</v>
      </c>
      <c r="G527">
        <v>0</v>
      </c>
      <c r="H527">
        <v>0.65863453815261042</v>
      </c>
      <c r="I527">
        <v>0.36144578313253012</v>
      </c>
      <c r="J527">
        <v>0.69076305220883538</v>
      </c>
      <c r="K527">
        <v>0.41767068273092367</v>
      </c>
      <c r="L527">
        <v>0</v>
      </c>
      <c r="M527">
        <v>0.38152610441767071</v>
      </c>
      <c r="N527">
        <v>0.80722891566265065</v>
      </c>
      <c r="O527">
        <v>0.73895582329317266</v>
      </c>
      <c r="P527">
        <v>0.52610441767068272</v>
      </c>
      <c r="Q527">
        <v>0</v>
      </c>
      <c r="R527">
        <v>2.8112449799196786E-2</v>
      </c>
      <c r="S527">
        <v>5.6224899598393573E-2</v>
      </c>
      <c r="T527">
        <v>6.0240963855421686E-2</v>
      </c>
      <c r="U527">
        <v>1.6064257028112448E-2</v>
      </c>
      <c r="V527">
        <v>0</v>
      </c>
      <c r="W527">
        <v>0.10843373493975904</v>
      </c>
      <c r="X527">
        <v>0.66666666666666663</v>
      </c>
      <c r="Y527">
        <v>0.28112449799196787</v>
      </c>
      <c r="Z527">
        <v>0.21686746987951808</v>
      </c>
      <c r="AA527">
        <v>0</v>
      </c>
      <c r="AB527">
        <v>0.23293172690763053</v>
      </c>
      <c r="AC527">
        <v>0.20883534136546184</v>
      </c>
      <c r="AD527">
        <v>0.70281124497991965</v>
      </c>
      <c r="AE527">
        <v>0.85943775100401609</v>
      </c>
      <c r="AF527">
        <v>0</v>
      </c>
      <c r="AG527">
        <v>0.23694779116465864</v>
      </c>
      <c r="AH527">
        <v>0.50602409638554213</v>
      </c>
      <c r="AI527">
        <v>0.66666666666666663</v>
      </c>
      <c r="AJ527">
        <v>0.24497991967871485</v>
      </c>
      <c r="AL527" s="1">
        <v>0.14457831325301204</v>
      </c>
      <c r="AN527" t="s">
        <v>51</v>
      </c>
      <c r="AO527">
        <v>54</v>
      </c>
      <c r="AP527" s="2">
        <v>0.28000000000000003</v>
      </c>
      <c r="AQ527">
        <v>217</v>
      </c>
      <c r="AT527" s="1">
        <v>0.46586345381526106</v>
      </c>
      <c r="AU527" s="1">
        <v>0.27710843373493976</v>
      </c>
    </row>
    <row r="528" spans="1:47" x14ac:dyDescent="0.3">
      <c r="A528" t="s">
        <v>158</v>
      </c>
      <c r="B528">
        <v>0</v>
      </c>
      <c r="C528" s="1">
        <v>0.86746987951807231</v>
      </c>
      <c r="D528">
        <v>0.73895582329317266</v>
      </c>
      <c r="E528">
        <v>0.90763052208835338</v>
      </c>
      <c r="F528">
        <v>0.81526104417670686</v>
      </c>
      <c r="G528">
        <v>0</v>
      </c>
      <c r="H528">
        <v>0.65863453815261042</v>
      </c>
      <c r="I528">
        <v>0.96787148594377514</v>
      </c>
      <c r="J528">
        <v>0.71084337349397586</v>
      </c>
      <c r="K528">
        <v>0.92771084337349397</v>
      </c>
      <c r="L528">
        <v>0</v>
      </c>
      <c r="M528">
        <v>0.76706827309236947</v>
      </c>
      <c r="N528">
        <v>0.71084337349397586</v>
      </c>
      <c r="O528">
        <v>0.77911646586345384</v>
      </c>
      <c r="P528">
        <v>0.86345381526104414</v>
      </c>
      <c r="Q528">
        <v>0</v>
      </c>
      <c r="R528">
        <v>0.93975903614457834</v>
      </c>
      <c r="S528">
        <v>0.97991967871485941</v>
      </c>
      <c r="T528">
        <v>0.91967871485943775</v>
      </c>
      <c r="U528">
        <v>0.95582329317269077</v>
      </c>
      <c r="V528">
        <v>0</v>
      </c>
      <c r="W528">
        <v>0.66666666666666663</v>
      </c>
      <c r="X528">
        <v>0.73895582329317266</v>
      </c>
      <c r="Y528">
        <v>0.55823293172690758</v>
      </c>
      <c r="Z528">
        <v>0.72289156626506024</v>
      </c>
      <c r="AA528">
        <v>0</v>
      </c>
      <c r="AB528">
        <v>0.94377510040160639</v>
      </c>
      <c r="AC528">
        <v>0.75502008032128509</v>
      </c>
      <c r="AD528">
        <v>0.64257028112449799</v>
      </c>
      <c r="AE528">
        <v>0.83132530120481929</v>
      </c>
      <c r="AF528">
        <v>0</v>
      </c>
      <c r="AG528">
        <v>0.87951807228915657</v>
      </c>
      <c r="AH528">
        <v>0.79919678714859432</v>
      </c>
      <c r="AI528">
        <v>0.92369477911646591</v>
      </c>
      <c r="AJ528">
        <v>0.89558232931726911</v>
      </c>
      <c r="AL528" s="1">
        <v>0.97590361445783136</v>
      </c>
      <c r="AN528" t="s">
        <v>61</v>
      </c>
      <c r="AO528">
        <v>80</v>
      </c>
      <c r="AP528" s="2">
        <v>0.99</v>
      </c>
      <c r="AQ528">
        <v>4</v>
      </c>
      <c r="AT528" s="1">
        <v>0.8393574297188755</v>
      </c>
      <c r="AU528" s="1">
        <v>0.52610441767068272</v>
      </c>
    </row>
    <row r="529" spans="1:47" x14ac:dyDescent="0.3">
      <c r="A529" t="s">
        <v>159</v>
      </c>
      <c r="B529">
        <v>0</v>
      </c>
      <c r="C529" s="1">
        <v>0.14859437751004015</v>
      </c>
      <c r="D529">
        <v>0.15261044176706828</v>
      </c>
      <c r="E529">
        <v>0.28915662650602408</v>
      </c>
      <c r="F529">
        <v>0.11244979919678715</v>
      </c>
      <c r="G529">
        <v>0</v>
      </c>
      <c r="H529">
        <v>0.45783132530120479</v>
      </c>
      <c r="I529">
        <v>0.55020080321285136</v>
      </c>
      <c r="J529">
        <v>0.78714859437751006</v>
      </c>
      <c r="K529">
        <v>0.51405622489959835</v>
      </c>
      <c r="L529">
        <v>0</v>
      </c>
      <c r="M529">
        <v>2.8112449799196786E-2</v>
      </c>
      <c r="N529">
        <v>1.6064257028112448E-2</v>
      </c>
      <c r="O529">
        <v>0.10040160642570281</v>
      </c>
      <c r="P529">
        <v>2.4096385542168676E-2</v>
      </c>
      <c r="Q529">
        <v>0</v>
      </c>
      <c r="R529">
        <v>0.22088353413654618</v>
      </c>
      <c r="S529">
        <v>0.14859437751004015</v>
      </c>
      <c r="T529">
        <v>0.66666666666666663</v>
      </c>
      <c r="U529">
        <v>0.1606425702811245</v>
      </c>
      <c r="V529">
        <v>0</v>
      </c>
      <c r="W529">
        <v>0.44176706827309237</v>
      </c>
      <c r="X529">
        <v>0.31325301204819278</v>
      </c>
      <c r="Y529">
        <v>0.51004016064257029</v>
      </c>
      <c r="Z529">
        <v>0.44979919678714858</v>
      </c>
      <c r="AA529">
        <v>0</v>
      </c>
      <c r="AB529">
        <v>0.54618473895582331</v>
      </c>
      <c r="AC529">
        <v>0.12851405622489959</v>
      </c>
      <c r="AD529">
        <v>0.48192771084337349</v>
      </c>
      <c r="AE529">
        <v>0.44176706827309237</v>
      </c>
      <c r="AF529">
        <v>0</v>
      </c>
      <c r="AG529">
        <v>3.614457831325301E-2</v>
      </c>
      <c r="AH529">
        <v>1.2048192771084338E-2</v>
      </c>
      <c r="AI529">
        <v>0.12851405622489959</v>
      </c>
      <c r="AJ529">
        <v>2.4096385542168676E-2</v>
      </c>
      <c r="AL529" s="1">
        <v>7.6305220883534142E-2</v>
      </c>
      <c r="AN529" t="s">
        <v>78</v>
      </c>
      <c r="AO529">
        <v>67</v>
      </c>
      <c r="AP529" s="2">
        <v>0.25666666666666665</v>
      </c>
      <c r="AQ529">
        <v>224</v>
      </c>
      <c r="AT529" s="1">
        <v>0.62650602409638556</v>
      </c>
      <c r="AU529" s="1">
        <v>0.40160642570281124</v>
      </c>
    </row>
    <row r="530" spans="1:47" x14ac:dyDescent="0.3">
      <c r="A530" t="s">
        <v>160</v>
      </c>
      <c r="B530">
        <v>0</v>
      </c>
      <c r="C530" s="1">
        <v>0.79518072289156627</v>
      </c>
      <c r="D530">
        <v>0.7831325301204819</v>
      </c>
      <c r="E530">
        <v>0.42168674698795183</v>
      </c>
      <c r="F530">
        <v>0.87148594377510036</v>
      </c>
      <c r="G530">
        <v>0</v>
      </c>
      <c r="H530">
        <v>0.5381526104417671</v>
      </c>
      <c r="I530">
        <v>0.80722891566265065</v>
      </c>
      <c r="J530">
        <v>0.37349397590361444</v>
      </c>
      <c r="K530">
        <v>0.78714859437751006</v>
      </c>
      <c r="L530">
        <v>0</v>
      </c>
      <c r="M530">
        <v>0.57429718875502012</v>
      </c>
      <c r="N530">
        <v>0.37751004016064255</v>
      </c>
      <c r="O530">
        <v>0.80722891566265065</v>
      </c>
      <c r="P530">
        <v>0.46184738955823296</v>
      </c>
      <c r="Q530">
        <v>0</v>
      </c>
      <c r="R530">
        <v>0.86345381526104414</v>
      </c>
      <c r="S530">
        <v>0.90361445783132532</v>
      </c>
      <c r="T530">
        <v>0.31325301204819278</v>
      </c>
      <c r="U530">
        <v>0.94779116465863456</v>
      </c>
      <c r="V530">
        <v>0</v>
      </c>
      <c r="W530">
        <v>0.51807228915662651</v>
      </c>
      <c r="X530">
        <v>0.25702811244979917</v>
      </c>
      <c r="Y530">
        <v>0.65461847389558236</v>
      </c>
      <c r="Z530">
        <v>0.40562248995983935</v>
      </c>
      <c r="AA530">
        <v>0</v>
      </c>
      <c r="AB530">
        <v>0.83534136546184734</v>
      </c>
      <c r="AC530">
        <v>0.21686746987951808</v>
      </c>
      <c r="AD530">
        <v>0.18473895582329317</v>
      </c>
      <c r="AE530">
        <v>0.57831325301204817</v>
      </c>
      <c r="AF530">
        <v>0</v>
      </c>
      <c r="AG530">
        <v>0.74297188755020083</v>
      </c>
      <c r="AH530">
        <v>0.59839357429718876</v>
      </c>
      <c r="AI530">
        <v>0.66666666666666663</v>
      </c>
      <c r="AJ530">
        <v>0.77108433734939763</v>
      </c>
      <c r="AL530" s="1">
        <v>0.85140562248995988</v>
      </c>
      <c r="AN530" t="s">
        <v>82</v>
      </c>
      <c r="AO530">
        <v>66</v>
      </c>
      <c r="AP530" s="2">
        <v>0.92</v>
      </c>
      <c r="AQ530">
        <v>25</v>
      </c>
      <c r="AT530" s="1">
        <v>0.79116465863453811</v>
      </c>
      <c r="AU530" s="1">
        <v>0.35742971887550201</v>
      </c>
    </row>
    <row r="531" spans="1:47" x14ac:dyDescent="0.3">
      <c r="A531" t="s">
        <v>161</v>
      </c>
      <c r="B531">
        <v>0</v>
      </c>
      <c r="C531" s="1">
        <v>0.98795180722891562</v>
      </c>
      <c r="D531">
        <v>0.93975903614457834</v>
      </c>
      <c r="E531">
        <v>0.9718875502008032</v>
      </c>
      <c r="F531">
        <v>0.94779116465863456</v>
      </c>
      <c r="G531">
        <v>0</v>
      </c>
      <c r="H531">
        <v>0.97991967871485941</v>
      </c>
      <c r="I531">
        <v>0.8875502008032129</v>
      </c>
      <c r="J531">
        <v>0.80722891566265065</v>
      </c>
      <c r="K531">
        <v>0.97590361445783136</v>
      </c>
      <c r="L531">
        <v>0</v>
      </c>
      <c r="M531">
        <v>0.63052208835341361</v>
      </c>
      <c r="N531">
        <v>0.7831325301204819</v>
      </c>
      <c r="O531">
        <v>0.62650602409638556</v>
      </c>
      <c r="P531">
        <v>0.71887550200803207</v>
      </c>
      <c r="Q531">
        <v>0</v>
      </c>
      <c r="R531">
        <v>0.95983935742971882</v>
      </c>
      <c r="S531">
        <v>0.59437751004016059</v>
      </c>
      <c r="T531">
        <v>0.91164658634538154</v>
      </c>
      <c r="U531">
        <v>0.61044176706827313</v>
      </c>
      <c r="V531">
        <v>0</v>
      </c>
      <c r="W531">
        <v>0.24497991967871485</v>
      </c>
      <c r="X531">
        <v>0.3253012048192771</v>
      </c>
      <c r="Y531">
        <v>0.35742971887550201</v>
      </c>
      <c r="Z531">
        <v>0.43373493975903615</v>
      </c>
      <c r="AA531">
        <v>0</v>
      </c>
      <c r="AB531">
        <v>0.75502008032128509</v>
      </c>
      <c r="AC531">
        <v>0.80722891566265065</v>
      </c>
      <c r="AD531">
        <v>0.73895582329317266</v>
      </c>
      <c r="AE531">
        <v>0.67871485943775101</v>
      </c>
      <c r="AF531">
        <v>0</v>
      </c>
      <c r="AG531">
        <v>0.92369477911646591</v>
      </c>
      <c r="AH531">
        <v>0.95180722891566261</v>
      </c>
      <c r="AI531">
        <v>0.90763052208835338</v>
      </c>
      <c r="AJ531">
        <v>0.92369477911646591</v>
      </c>
      <c r="AL531" s="1">
        <v>0.94779116465863456</v>
      </c>
      <c r="AN531" t="s">
        <v>83</v>
      </c>
      <c r="AO531">
        <v>82</v>
      </c>
      <c r="AP531" s="2">
        <v>0.95</v>
      </c>
      <c r="AQ531">
        <v>16</v>
      </c>
      <c r="AT531" s="1">
        <v>0.31325301204819278</v>
      </c>
      <c r="AU531" s="1">
        <v>0.18875502008032127</v>
      </c>
    </row>
    <row r="532" spans="1:47" x14ac:dyDescent="0.3">
      <c r="A532" t="s">
        <v>162</v>
      </c>
      <c r="B532">
        <v>0</v>
      </c>
      <c r="C532" s="1">
        <v>0.44176706827309237</v>
      </c>
      <c r="D532">
        <v>0.50200803212851408</v>
      </c>
      <c r="E532">
        <v>0.29317269076305219</v>
      </c>
      <c r="F532">
        <v>0.40963855421686746</v>
      </c>
      <c r="G532">
        <v>0</v>
      </c>
      <c r="H532">
        <v>0.37349397590361444</v>
      </c>
      <c r="I532">
        <v>0.40160642570281124</v>
      </c>
      <c r="J532">
        <v>0.13253012048192772</v>
      </c>
      <c r="K532">
        <v>0.36144578313253012</v>
      </c>
      <c r="L532">
        <v>0</v>
      </c>
      <c r="M532">
        <v>0.94377510040160639</v>
      </c>
      <c r="N532">
        <v>0.84738955823293172</v>
      </c>
      <c r="O532">
        <v>0.82329317269076308</v>
      </c>
      <c r="P532">
        <v>0.84738955823293172</v>
      </c>
      <c r="Q532">
        <v>0</v>
      </c>
      <c r="R532">
        <v>0.12048192771084337</v>
      </c>
      <c r="S532">
        <v>0.11646586345381527</v>
      </c>
      <c r="T532">
        <v>0.20883534136546184</v>
      </c>
      <c r="U532">
        <v>0.2289156626506024</v>
      </c>
      <c r="V532">
        <v>0</v>
      </c>
      <c r="W532">
        <v>0.81927710843373491</v>
      </c>
      <c r="X532">
        <v>0.63855421686746983</v>
      </c>
      <c r="Y532">
        <v>0.85140562248995988</v>
      </c>
      <c r="Z532">
        <v>0.61044176706827313</v>
      </c>
      <c r="AA532">
        <v>0</v>
      </c>
      <c r="AB532">
        <v>0.97590361445783136</v>
      </c>
      <c r="AC532">
        <v>0.43373493975903615</v>
      </c>
      <c r="AD532">
        <v>0.27309236947791166</v>
      </c>
      <c r="AE532">
        <v>0.38955823293172692</v>
      </c>
      <c r="AF532">
        <v>0</v>
      </c>
      <c r="AG532">
        <v>0.80722891566265065</v>
      </c>
      <c r="AH532">
        <v>0.6506024096385542</v>
      </c>
      <c r="AI532">
        <v>0.60642570281124497</v>
      </c>
      <c r="AJ532">
        <v>0.64257028112449799</v>
      </c>
      <c r="AL532" s="1">
        <v>0.55823293172690758</v>
      </c>
      <c r="AN532" t="s">
        <v>56</v>
      </c>
      <c r="AO532">
        <v>81</v>
      </c>
      <c r="AP532" s="2">
        <v>0.78333333333333333</v>
      </c>
      <c r="AQ532">
        <v>66</v>
      </c>
      <c r="AT532" s="1">
        <v>0.87148594377510036</v>
      </c>
      <c r="AU532" s="1">
        <v>0.73493975903614461</v>
      </c>
    </row>
    <row r="533" spans="1:47" x14ac:dyDescent="0.3">
      <c r="A533" t="s">
        <v>163</v>
      </c>
      <c r="B533">
        <v>0</v>
      </c>
      <c r="C533" s="1">
        <v>0.54618473895582331</v>
      </c>
      <c r="D533">
        <v>0.57831325301204817</v>
      </c>
      <c r="E533">
        <v>0.54618473895582331</v>
      </c>
      <c r="F533">
        <v>0.58634538152610438</v>
      </c>
      <c r="G533">
        <v>0</v>
      </c>
      <c r="H533">
        <v>0.37349397590361444</v>
      </c>
      <c r="I533">
        <v>0.84738955823293172</v>
      </c>
      <c r="J533">
        <v>0.77108433734939763</v>
      </c>
      <c r="K533">
        <v>0.78714859437751006</v>
      </c>
      <c r="L533">
        <v>0</v>
      </c>
      <c r="M533">
        <v>0.73895582329317266</v>
      </c>
      <c r="N533">
        <v>0.74698795180722888</v>
      </c>
      <c r="O533">
        <v>0.59839357429718876</v>
      </c>
      <c r="P533">
        <v>0.76305220883534142</v>
      </c>
      <c r="Q533">
        <v>0</v>
      </c>
      <c r="R533">
        <v>0.40963855421686746</v>
      </c>
      <c r="S533">
        <v>0.36947791164658633</v>
      </c>
      <c r="T533">
        <v>0.66666666666666663</v>
      </c>
      <c r="U533">
        <v>0.40963855421686746</v>
      </c>
      <c r="V533">
        <v>0</v>
      </c>
      <c r="W533">
        <v>0.62650602409638556</v>
      </c>
      <c r="X533">
        <v>0.71887550200803207</v>
      </c>
      <c r="Y533">
        <v>0.29317269076305219</v>
      </c>
      <c r="Z533">
        <v>0.8393574297188755</v>
      </c>
      <c r="AA533">
        <v>0</v>
      </c>
      <c r="AB533">
        <v>0.60240963855421692</v>
      </c>
      <c r="AC533">
        <v>0.52208835341365467</v>
      </c>
      <c r="AD533">
        <v>0.71485943775100402</v>
      </c>
      <c r="AE533">
        <v>0.71887550200803207</v>
      </c>
      <c r="AF533">
        <v>0</v>
      </c>
      <c r="AG533">
        <v>0.60240963855421692</v>
      </c>
      <c r="AH533">
        <v>0.66666666666666663</v>
      </c>
      <c r="AI533">
        <v>0.59036144578313254</v>
      </c>
      <c r="AJ533">
        <v>0.73895582329317266</v>
      </c>
      <c r="AL533" s="1">
        <v>0.7269076305220884</v>
      </c>
      <c r="AN533" t="s">
        <v>54</v>
      </c>
      <c r="AO533">
        <v>75</v>
      </c>
      <c r="AP533" s="2">
        <v>0.79333333333333333</v>
      </c>
      <c r="AQ533">
        <v>63</v>
      </c>
      <c r="AT533" s="1">
        <v>0.11244979919678715</v>
      </c>
      <c r="AU533" s="1">
        <v>0.71485943775100402</v>
      </c>
    </row>
    <row r="534" spans="1:47" x14ac:dyDescent="0.3">
      <c r="A534" t="s">
        <v>164</v>
      </c>
      <c r="B534">
        <v>0</v>
      </c>
      <c r="C534" s="1">
        <v>0.61044176706827313</v>
      </c>
      <c r="D534">
        <v>0.84337349397590367</v>
      </c>
      <c r="E534">
        <v>0.25702811244979917</v>
      </c>
      <c r="F534">
        <v>0.71887550200803207</v>
      </c>
      <c r="G534">
        <v>0</v>
      </c>
      <c r="H534">
        <v>0.37349397590361444</v>
      </c>
      <c r="I534">
        <v>0.11244979919678715</v>
      </c>
      <c r="J534">
        <v>9.2369477911646583E-2</v>
      </c>
      <c r="K534">
        <v>0.11244979919678715</v>
      </c>
      <c r="L534">
        <v>0</v>
      </c>
      <c r="M534">
        <v>0.95180722891566261</v>
      </c>
      <c r="N534">
        <v>0.83132530120481929</v>
      </c>
      <c r="O534">
        <v>0.93975903614457834</v>
      </c>
      <c r="P534">
        <v>0.91566265060240959</v>
      </c>
      <c r="Q534">
        <v>0</v>
      </c>
      <c r="R534">
        <v>0.5662650602409639</v>
      </c>
      <c r="S534">
        <v>0.89558232931726911</v>
      </c>
      <c r="T534">
        <v>0.1646586345381526</v>
      </c>
      <c r="U534">
        <v>0.67068273092369479</v>
      </c>
      <c r="V534">
        <v>0</v>
      </c>
      <c r="W534">
        <v>0.94779116465863456</v>
      </c>
      <c r="X534">
        <v>0.67871485943775101</v>
      </c>
      <c r="Y534">
        <v>0.87148594377510036</v>
      </c>
      <c r="Z534">
        <v>0.88353413654618473</v>
      </c>
      <c r="AA534">
        <v>0</v>
      </c>
      <c r="AB534">
        <v>9.2369477911646583E-2</v>
      </c>
      <c r="AC534">
        <v>0.66666666666666663</v>
      </c>
      <c r="AD534">
        <v>0.22088353413654618</v>
      </c>
      <c r="AE534">
        <v>0.57831325301204817</v>
      </c>
      <c r="AF534">
        <v>0</v>
      </c>
      <c r="AG534">
        <v>0.90361445783132532</v>
      </c>
      <c r="AH534">
        <v>0.91566265060240959</v>
      </c>
      <c r="AI534">
        <v>0.75100401606425704</v>
      </c>
      <c r="AJ534">
        <v>0.8875502008032129</v>
      </c>
      <c r="AL534" s="1">
        <v>0.81526104417670686</v>
      </c>
      <c r="AN534" t="s">
        <v>54</v>
      </c>
      <c r="AO534">
        <v>63</v>
      </c>
      <c r="AP534" s="2">
        <v>0.66666666666666663</v>
      </c>
      <c r="AQ534">
        <v>101</v>
      </c>
      <c r="AT534" s="1">
        <v>0.42168674698795183</v>
      </c>
      <c r="AU534" s="1">
        <v>0.67871485943775101</v>
      </c>
    </row>
    <row r="535" spans="1:47" x14ac:dyDescent="0.3">
      <c r="A535" t="s">
        <v>165</v>
      </c>
      <c r="B535">
        <v>0</v>
      </c>
      <c r="C535" s="1">
        <v>0.8393574297188755</v>
      </c>
      <c r="D535">
        <v>0.61445783132530118</v>
      </c>
      <c r="E535">
        <v>0.36546184738955823</v>
      </c>
      <c r="F535">
        <v>0.8393574297188755</v>
      </c>
      <c r="G535">
        <v>0</v>
      </c>
      <c r="H535">
        <v>0.27710843373493976</v>
      </c>
      <c r="I535">
        <v>0.55020080321285136</v>
      </c>
      <c r="J535">
        <v>0.51004016064257029</v>
      </c>
      <c r="K535">
        <v>0.44176706827309237</v>
      </c>
      <c r="L535">
        <v>0</v>
      </c>
      <c r="M535">
        <v>0.93574297188755018</v>
      </c>
      <c r="N535">
        <v>0.77510040160642568</v>
      </c>
      <c r="O535">
        <v>0.60642570281124497</v>
      </c>
      <c r="P535">
        <v>0.91566265060240959</v>
      </c>
      <c r="Q535">
        <v>0</v>
      </c>
      <c r="R535">
        <v>0.6506024096385542</v>
      </c>
      <c r="S535">
        <v>0.4859437751004016</v>
      </c>
      <c r="T535">
        <v>0.59437751004016059</v>
      </c>
      <c r="U535">
        <v>0.79116465863453811</v>
      </c>
      <c r="V535">
        <v>0</v>
      </c>
      <c r="W535">
        <v>0.9718875502008032</v>
      </c>
      <c r="X535">
        <v>0.8112449799196787</v>
      </c>
      <c r="Y535">
        <v>0.83132530120481929</v>
      </c>
      <c r="Z535">
        <v>0.95180722891566261</v>
      </c>
      <c r="AA535">
        <v>0</v>
      </c>
      <c r="AB535">
        <v>0.15261044176706828</v>
      </c>
      <c r="AC535">
        <v>0.8112449799196787</v>
      </c>
      <c r="AD535">
        <v>0.17670682730923695</v>
      </c>
      <c r="AE535">
        <v>0.17269076305220885</v>
      </c>
      <c r="AF535">
        <v>0</v>
      </c>
      <c r="AG535">
        <v>0.94779116465863456</v>
      </c>
      <c r="AH535">
        <v>0.74698795180722888</v>
      </c>
      <c r="AI535">
        <v>0.4859437751004016</v>
      </c>
      <c r="AJ535">
        <v>0.93172690763052213</v>
      </c>
      <c r="AL535" s="1">
        <v>0.92771084337349397</v>
      </c>
      <c r="AN535" t="s">
        <v>59</v>
      </c>
      <c r="AO535">
        <v>74</v>
      </c>
      <c r="AP535" s="2">
        <v>0.80333333333333334</v>
      </c>
      <c r="AQ535">
        <v>60</v>
      </c>
      <c r="AT535" s="1">
        <v>0.19678714859437751</v>
      </c>
      <c r="AU535" s="1">
        <v>0.89558232931726911</v>
      </c>
    </row>
    <row r="536" spans="1:47" x14ac:dyDescent="0.3">
      <c r="A536" t="s">
        <v>166</v>
      </c>
      <c r="B536">
        <v>0</v>
      </c>
      <c r="C536" s="1">
        <v>0.51405622489959835</v>
      </c>
      <c r="D536">
        <v>0.95582329317269077</v>
      </c>
      <c r="E536">
        <v>0.50200803212851408</v>
      </c>
      <c r="F536">
        <v>0.6506024096385542</v>
      </c>
      <c r="G536">
        <v>0</v>
      </c>
      <c r="H536">
        <v>0.14859437751004015</v>
      </c>
      <c r="I536">
        <v>0.45783132530120479</v>
      </c>
      <c r="J536">
        <v>0.46184738955823296</v>
      </c>
      <c r="K536">
        <v>0.27710843373493976</v>
      </c>
      <c r="L536">
        <v>0</v>
      </c>
      <c r="M536">
        <v>0.85943775100401609</v>
      </c>
      <c r="N536">
        <v>0.47389558232931728</v>
      </c>
      <c r="O536">
        <v>0.57831325301204817</v>
      </c>
      <c r="P536">
        <v>0.50200803212851408</v>
      </c>
      <c r="Q536">
        <v>0</v>
      </c>
      <c r="R536">
        <v>0.17269076305220885</v>
      </c>
      <c r="S536">
        <v>0.73895582329317266</v>
      </c>
      <c r="T536">
        <v>0.3493975903614458</v>
      </c>
      <c r="U536">
        <v>0.32128514056224899</v>
      </c>
      <c r="V536">
        <v>0</v>
      </c>
      <c r="W536">
        <v>0.84337349397590367</v>
      </c>
      <c r="X536">
        <v>0.39357429718875503</v>
      </c>
      <c r="Y536">
        <v>0.46184738955823296</v>
      </c>
      <c r="Z536">
        <v>0.48192771084337349</v>
      </c>
      <c r="AA536">
        <v>0</v>
      </c>
      <c r="AB536">
        <v>0.48192771084337349</v>
      </c>
      <c r="AC536">
        <v>0.30923694779116467</v>
      </c>
      <c r="AD536">
        <v>0.5381526104417671</v>
      </c>
      <c r="AE536">
        <v>0.42570281124497994</v>
      </c>
      <c r="AF536">
        <v>0</v>
      </c>
      <c r="AG536">
        <v>0.70682730923694781</v>
      </c>
      <c r="AH536">
        <v>0.87148594377510036</v>
      </c>
      <c r="AI536">
        <v>0.5381526104417671</v>
      </c>
      <c r="AJ536">
        <v>0.61847389558232935</v>
      </c>
      <c r="AL536" s="1">
        <v>0.53012048192771088</v>
      </c>
      <c r="AN536" t="s">
        <v>60</v>
      </c>
      <c r="AO536">
        <v>70</v>
      </c>
      <c r="AP536" s="2">
        <v>0.59666666666666668</v>
      </c>
      <c r="AQ536">
        <v>122</v>
      </c>
      <c r="AT536" s="1">
        <v>0.19678714859437751</v>
      </c>
      <c r="AU536" s="1">
        <v>0.85943775100401609</v>
      </c>
    </row>
    <row r="537" spans="1:47" x14ac:dyDescent="0.3">
      <c r="A537" t="s">
        <v>167</v>
      </c>
      <c r="B537">
        <v>0</v>
      </c>
      <c r="C537" s="1">
        <v>0.15261044176706828</v>
      </c>
      <c r="D537">
        <v>0.11646586345381527</v>
      </c>
      <c r="E537">
        <v>8.4337349397590355E-2</v>
      </c>
      <c r="F537">
        <v>0.15261044176706828</v>
      </c>
      <c r="G537">
        <v>0</v>
      </c>
      <c r="H537">
        <v>0.11244979919678715</v>
      </c>
      <c r="I537">
        <v>0.24096385542168675</v>
      </c>
      <c r="J537">
        <v>0.2289156626506024</v>
      </c>
      <c r="K537">
        <v>0.15662650602409639</v>
      </c>
      <c r="L537">
        <v>0</v>
      </c>
      <c r="M537">
        <v>3.2128514056224897E-2</v>
      </c>
      <c r="N537">
        <v>0.12851405622489959</v>
      </c>
      <c r="O537">
        <v>0.16867469879518071</v>
      </c>
      <c r="P537">
        <v>7.6305220883534142E-2</v>
      </c>
      <c r="Q537">
        <v>0</v>
      </c>
      <c r="R537">
        <v>0.11646586345381527</v>
      </c>
      <c r="S537">
        <v>0.30120481927710846</v>
      </c>
      <c r="T537">
        <v>0.1646586345381526</v>
      </c>
      <c r="U537">
        <v>0.19678714859437751</v>
      </c>
      <c r="V537">
        <v>0</v>
      </c>
      <c r="W537">
        <v>5.6224899598393573E-2</v>
      </c>
      <c r="X537">
        <v>0.17269076305220885</v>
      </c>
      <c r="Y537">
        <v>0.69477911646586343</v>
      </c>
      <c r="Z537">
        <v>7.2289156626506021E-2</v>
      </c>
      <c r="AA537">
        <v>0</v>
      </c>
      <c r="AB537">
        <v>0.90361445783132532</v>
      </c>
      <c r="AC537">
        <v>0.33333333333333331</v>
      </c>
      <c r="AD537">
        <v>0.13654618473895583</v>
      </c>
      <c r="AE537">
        <v>0.22489959839357429</v>
      </c>
      <c r="AF537">
        <v>0</v>
      </c>
      <c r="AG537">
        <v>4.0160642570281124E-2</v>
      </c>
      <c r="AH537">
        <v>8.8353413654618476E-2</v>
      </c>
      <c r="AI537">
        <v>8.0321285140562249E-2</v>
      </c>
      <c r="AJ537">
        <v>8.4337349397590355E-2</v>
      </c>
      <c r="AL537" s="1">
        <v>2.0080321285140562E-2</v>
      </c>
      <c r="AN537" t="s">
        <v>74</v>
      </c>
      <c r="AO537">
        <v>70</v>
      </c>
      <c r="AP537" s="2">
        <v>0.20333333333333334</v>
      </c>
      <c r="AQ537">
        <v>240</v>
      </c>
      <c r="AT537" s="1">
        <v>0.29317269076305219</v>
      </c>
      <c r="AU537" s="1">
        <v>0.51004016064257029</v>
      </c>
    </row>
    <row r="538" spans="1:47" x14ac:dyDescent="0.3">
      <c r="A538" t="s">
        <v>168</v>
      </c>
      <c r="B538">
        <v>0</v>
      </c>
      <c r="C538" s="1">
        <v>0.86345381526104414</v>
      </c>
      <c r="D538">
        <v>0.8393574297188755</v>
      </c>
      <c r="E538">
        <v>0.72289156626506024</v>
      </c>
      <c r="F538">
        <v>0.86345381526104414</v>
      </c>
      <c r="G538">
        <v>0</v>
      </c>
      <c r="H538">
        <v>0.89558232931726911</v>
      </c>
      <c r="I538">
        <v>0.82329317269076308</v>
      </c>
      <c r="J538">
        <v>0.83534136546184734</v>
      </c>
      <c r="K538">
        <v>0.88353413654618473</v>
      </c>
      <c r="L538">
        <v>0</v>
      </c>
      <c r="M538">
        <v>0.60642570281124497</v>
      </c>
      <c r="N538">
        <v>0.50200803212851408</v>
      </c>
      <c r="O538">
        <v>0.79116465863453811</v>
      </c>
      <c r="P538">
        <v>0.44979919678714858</v>
      </c>
      <c r="Q538">
        <v>0</v>
      </c>
      <c r="R538">
        <v>0.91967871485943775</v>
      </c>
      <c r="S538">
        <v>0.95983935742971882</v>
      </c>
      <c r="T538">
        <v>0.8112449799196787</v>
      </c>
      <c r="U538">
        <v>0.92369477911646591</v>
      </c>
      <c r="V538">
        <v>0</v>
      </c>
      <c r="W538">
        <v>0.59036144578313254</v>
      </c>
      <c r="X538">
        <v>0.3534136546184739</v>
      </c>
      <c r="Y538">
        <v>0.86345381526104414</v>
      </c>
      <c r="Z538">
        <v>0.38955823293172692</v>
      </c>
      <c r="AA538">
        <v>0</v>
      </c>
      <c r="AB538">
        <v>0.59839357429718876</v>
      </c>
      <c r="AC538">
        <v>0.98795180722891562</v>
      </c>
      <c r="AD538">
        <v>0.46184738955823296</v>
      </c>
      <c r="AE538">
        <v>0.67871485943775101</v>
      </c>
      <c r="AF538">
        <v>0</v>
      </c>
      <c r="AG538">
        <v>0.81526104417670686</v>
      </c>
      <c r="AH538">
        <v>0.77911646586345384</v>
      </c>
      <c r="AI538">
        <v>0.83534136546184734</v>
      </c>
      <c r="AJ538">
        <v>0.75502008032128509</v>
      </c>
      <c r="AL538" s="1">
        <v>0.89959839357429716</v>
      </c>
      <c r="AN538" t="s">
        <v>88</v>
      </c>
      <c r="AO538">
        <v>70</v>
      </c>
      <c r="AP538" s="2">
        <v>0.91666666666666663</v>
      </c>
      <c r="AQ538">
        <v>26</v>
      </c>
      <c r="AT538" s="1">
        <v>0.77108433734939763</v>
      </c>
      <c r="AU538" s="1">
        <v>0.51004016064257029</v>
      </c>
    </row>
    <row r="539" spans="1:47" x14ac:dyDescent="0.3">
      <c r="A539" t="s">
        <v>169</v>
      </c>
      <c r="B539">
        <v>0</v>
      </c>
      <c r="C539" s="1">
        <v>0.47389558232931728</v>
      </c>
      <c r="D539">
        <v>0.36144578313253012</v>
      </c>
      <c r="E539">
        <v>0.32931726907630521</v>
      </c>
      <c r="F539">
        <v>0.30923694779116467</v>
      </c>
      <c r="G539">
        <v>0</v>
      </c>
      <c r="H539">
        <v>4.0160642570281121E-3</v>
      </c>
      <c r="I539">
        <v>0.20883534136546184</v>
      </c>
      <c r="J539">
        <v>0.39759036144578314</v>
      </c>
      <c r="K539">
        <v>0.11244979919678715</v>
      </c>
      <c r="L539">
        <v>0</v>
      </c>
      <c r="M539">
        <v>0.23694779116465864</v>
      </c>
      <c r="N539">
        <v>0.41767068273092367</v>
      </c>
      <c r="O539">
        <v>0.84337349397590367</v>
      </c>
      <c r="P539">
        <v>0.42971887550200805</v>
      </c>
      <c r="Q539">
        <v>0</v>
      </c>
      <c r="R539">
        <v>0.22088353413654618</v>
      </c>
      <c r="S539">
        <v>0.32128514056224899</v>
      </c>
      <c r="T539">
        <v>0.52208835341365467</v>
      </c>
      <c r="U539">
        <v>0.1606425702811245</v>
      </c>
      <c r="V539">
        <v>0</v>
      </c>
      <c r="W539">
        <v>8.0321285140562249E-2</v>
      </c>
      <c r="X539">
        <v>0.23293172690763053</v>
      </c>
      <c r="Y539">
        <v>0.55823293172690758</v>
      </c>
      <c r="Z539">
        <v>0.10040160642570281</v>
      </c>
      <c r="AA539">
        <v>0</v>
      </c>
      <c r="AB539">
        <v>0.34136546184738958</v>
      </c>
      <c r="AC539">
        <v>0.13253012048192772</v>
      </c>
      <c r="AD539">
        <v>0.21686746987951808</v>
      </c>
      <c r="AE539">
        <v>0.75100401606425704</v>
      </c>
      <c r="AF539">
        <v>0</v>
      </c>
      <c r="AG539">
        <v>0.3493975903614458</v>
      </c>
      <c r="AH539">
        <v>0.3534136546184739</v>
      </c>
      <c r="AI539">
        <v>0.64257028112449799</v>
      </c>
      <c r="AJ539">
        <v>0.33734939759036142</v>
      </c>
      <c r="AL539" s="1">
        <v>8.0321285140562249E-2</v>
      </c>
      <c r="AN539" t="s">
        <v>61</v>
      </c>
      <c r="AO539">
        <v>63</v>
      </c>
      <c r="AP539" s="2">
        <v>0.23333333333333334</v>
      </c>
      <c r="AQ539">
        <v>231</v>
      </c>
      <c r="AT539" s="1">
        <v>0.90361445783132532</v>
      </c>
      <c r="AU539" s="1">
        <v>4.0160642570281121E-3</v>
      </c>
    </row>
    <row r="540" spans="1:47" x14ac:dyDescent="0.3">
      <c r="A540" t="s">
        <v>170</v>
      </c>
      <c r="B540">
        <v>0</v>
      </c>
      <c r="C540" s="1">
        <v>0.82730923694779113</v>
      </c>
      <c r="D540">
        <v>0.96787148594377514</v>
      </c>
      <c r="E540">
        <v>0.97590361445783136</v>
      </c>
      <c r="F540">
        <v>0.96787148594377514</v>
      </c>
      <c r="G540">
        <v>0</v>
      </c>
      <c r="H540">
        <v>0.98795180722891562</v>
      </c>
      <c r="I540">
        <v>1</v>
      </c>
      <c r="J540">
        <v>1</v>
      </c>
      <c r="K540">
        <v>1</v>
      </c>
      <c r="L540">
        <v>0</v>
      </c>
      <c r="M540">
        <v>0.59036144578313254</v>
      </c>
      <c r="N540">
        <v>0.40963855421686746</v>
      </c>
      <c r="O540">
        <v>7.6305220883534142E-2</v>
      </c>
      <c r="P540">
        <v>0.34538152610441769</v>
      </c>
      <c r="Q540">
        <v>0</v>
      </c>
      <c r="R540">
        <v>0.99598393574297184</v>
      </c>
      <c r="S540">
        <v>0.92369477911646591</v>
      </c>
      <c r="T540">
        <v>1</v>
      </c>
      <c r="U540">
        <v>0.97991967871485941</v>
      </c>
      <c r="V540">
        <v>0</v>
      </c>
      <c r="W540">
        <v>0.80321285140562249</v>
      </c>
      <c r="X540">
        <v>0.47389558232931728</v>
      </c>
      <c r="Y540">
        <v>0.30923694779116467</v>
      </c>
      <c r="Z540">
        <v>0.49397590361445781</v>
      </c>
      <c r="AA540">
        <v>0</v>
      </c>
      <c r="AB540">
        <v>1</v>
      </c>
      <c r="AC540">
        <v>0.95983935742971882</v>
      </c>
      <c r="AD540">
        <v>0.94779116465863456</v>
      </c>
      <c r="AE540">
        <v>0.32128514056224899</v>
      </c>
      <c r="AF540">
        <v>0</v>
      </c>
      <c r="AG540">
        <v>0.77911646586345384</v>
      </c>
      <c r="AH540">
        <v>0.85140562248995988</v>
      </c>
      <c r="AI540">
        <v>0.50200803212851408</v>
      </c>
      <c r="AJ540">
        <v>0.78714859437751006</v>
      </c>
      <c r="AL540" s="1">
        <v>0.95983935742971882</v>
      </c>
      <c r="AN540" t="s">
        <v>65</v>
      </c>
      <c r="AO540">
        <v>82</v>
      </c>
      <c r="AP540" s="2">
        <v>1</v>
      </c>
      <c r="AQ540">
        <v>1</v>
      </c>
      <c r="AT540" s="1">
        <v>0.8393574297188755</v>
      </c>
      <c r="AU540" s="1">
        <v>0.51004016064257029</v>
      </c>
    </row>
    <row r="541" spans="1:47" x14ac:dyDescent="0.3">
      <c r="A541" t="s">
        <v>171</v>
      </c>
      <c r="B541">
        <v>0</v>
      </c>
      <c r="C541" s="1">
        <v>0.33333333333333331</v>
      </c>
      <c r="D541">
        <v>0.59437751004016059</v>
      </c>
      <c r="E541">
        <v>0.50200803212851408</v>
      </c>
      <c r="F541">
        <v>0.40963855421686746</v>
      </c>
      <c r="G541">
        <v>0</v>
      </c>
      <c r="H541">
        <v>0.6224899598393574</v>
      </c>
      <c r="I541">
        <v>0.45783132530120479</v>
      </c>
      <c r="J541">
        <v>0.46184738955823296</v>
      </c>
      <c r="K541">
        <v>0.51405622489959835</v>
      </c>
      <c r="L541">
        <v>0</v>
      </c>
      <c r="M541">
        <v>0.52610441767068272</v>
      </c>
      <c r="N541">
        <v>0.77108433734939763</v>
      </c>
      <c r="O541">
        <v>0.82329317269076308</v>
      </c>
      <c r="P541">
        <v>0.63855421686746983</v>
      </c>
      <c r="Q541">
        <v>0</v>
      </c>
      <c r="R541">
        <v>0.14457831325301204</v>
      </c>
      <c r="S541">
        <v>0.44176706827309237</v>
      </c>
      <c r="T541">
        <v>0.42168674698795183</v>
      </c>
      <c r="U541">
        <v>0.28514056224899598</v>
      </c>
      <c r="V541">
        <v>0</v>
      </c>
      <c r="W541">
        <v>0.3253012048192771</v>
      </c>
      <c r="X541">
        <v>0.4859437751004016</v>
      </c>
      <c r="Y541">
        <v>0.61445783132530118</v>
      </c>
      <c r="Z541">
        <v>0.32128514056224899</v>
      </c>
      <c r="AA541">
        <v>0</v>
      </c>
      <c r="AB541">
        <v>0.48995983935742971</v>
      </c>
      <c r="AC541">
        <v>3.2128514056224897E-2</v>
      </c>
      <c r="AD541">
        <v>0.63453815261044177</v>
      </c>
      <c r="AE541">
        <v>0.83132530120481929</v>
      </c>
      <c r="AF541">
        <v>0</v>
      </c>
      <c r="AG541">
        <v>0.36144578313253012</v>
      </c>
      <c r="AH541">
        <v>0.69477911646586343</v>
      </c>
      <c r="AI541">
        <v>0.73092369477911645</v>
      </c>
      <c r="AJ541">
        <v>0.50200803212851408</v>
      </c>
      <c r="AL541" s="1">
        <v>0.36947791164658633</v>
      </c>
      <c r="AN541" t="s">
        <v>84</v>
      </c>
      <c r="AO541">
        <v>82</v>
      </c>
      <c r="AP541" s="2">
        <v>0.49666666666666665</v>
      </c>
      <c r="AQ541">
        <v>152</v>
      </c>
      <c r="AT541" s="1">
        <v>0.96787148594377514</v>
      </c>
      <c r="AU541" s="1">
        <v>0.10843373493975904</v>
      </c>
    </row>
    <row r="542" spans="1:47" x14ac:dyDescent="0.3">
      <c r="A542" t="s">
        <v>172</v>
      </c>
      <c r="B542">
        <v>0</v>
      </c>
      <c r="C542" s="1">
        <v>0.31325301204819278</v>
      </c>
      <c r="D542">
        <v>0.57429718875502012</v>
      </c>
      <c r="E542">
        <v>0.47791164658634538</v>
      </c>
      <c r="F542">
        <v>0.36947791164658633</v>
      </c>
      <c r="G542">
        <v>0</v>
      </c>
      <c r="H542">
        <v>0.27710843373493976</v>
      </c>
      <c r="I542">
        <v>0.45783132530120479</v>
      </c>
      <c r="J542">
        <v>0.53413654618473894</v>
      </c>
      <c r="K542">
        <v>0.36947791164658633</v>
      </c>
      <c r="L542">
        <v>0</v>
      </c>
      <c r="M542">
        <v>0.90361445783132532</v>
      </c>
      <c r="N542">
        <v>0.70682730923694781</v>
      </c>
      <c r="O542">
        <v>0.59036144578313254</v>
      </c>
      <c r="P542">
        <v>0.7831325301204819</v>
      </c>
      <c r="Q542">
        <v>0</v>
      </c>
      <c r="R542">
        <v>0.61847389558232935</v>
      </c>
      <c r="S542">
        <v>0.82730923694779113</v>
      </c>
      <c r="T542">
        <v>0.53413654618473894</v>
      </c>
      <c r="U542">
        <v>0.67068273092369479</v>
      </c>
      <c r="V542">
        <v>0</v>
      </c>
      <c r="W542">
        <v>0.95983935742971882</v>
      </c>
      <c r="X542">
        <v>0.91967871485943775</v>
      </c>
      <c r="Y542">
        <v>0.94377510040160639</v>
      </c>
      <c r="Z542">
        <v>0.92369477911646591</v>
      </c>
      <c r="AA542">
        <v>0</v>
      </c>
      <c r="AB542">
        <v>0.55421686746987953</v>
      </c>
      <c r="AC542">
        <v>0.42971887550200805</v>
      </c>
      <c r="AD542">
        <v>0.48995983935742971</v>
      </c>
      <c r="AE542">
        <v>0.36546184738955823</v>
      </c>
      <c r="AF542">
        <v>0</v>
      </c>
      <c r="AG542">
        <v>0.59036144578313254</v>
      </c>
      <c r="AH542">
        <v>0.64658634538152615</v>
      </c>
      <c r="AI542">
        <v>0.54618473895582331</v>
      </c>
      <c r="AJ542">
        <v>0.57028112449799195</v>
      </c>
      <c r="AL542" s="1">
        <v>0.69076305220883538</v>
      </c>
      <c r="AN542" t="s">
        <v>71</v>
      </c>
      <c r="AO542">
        <v>61</v>
      </c>
      <c r="AP542" s="2">
        <v>0.74333333333333329</v>
      </c>
      <c r="AQ542">
        <v>78</v>
      </c>
      <c r="AT542" s="1">
        <v>0.6987951807228916</v>
      </c>
      <c r="AU542" s="1">
        <v>0.54216867469879515</v>
      </c>
    </row>
    <row r="543" spans="1:47" x14ac:dyDescent="0.3">
      <c r="A543" t="s">
        <v>173</v>
      </c>
      <c r="B543">
        <v>0</v>
      </c>
      <c r="C543" s="1">
        <v>0.88353413654618473</v>
      </c>
      <c r="D543">
        <v>0.94779116465863456</v>
      </c>
      <c r="E543">
        <v>0.92369477911646591</v>
      </c>
      <c r="F543">
        <v>0.97590361445783136</v>
      </c>
      <c r="G543">
        <v>0</v>
      </c>
      <c r="H543">
        <v>0.65863453815261042</v>
      </c>
      <c r="I543">
        <v>0.8875502008032129</v>
      </c>
      <c r="J543">
        <v>0.59036144578313254</v>
      </c>
      <c r="K543">
        <v>0.86746987951807231</v>
      </c>
      <c r="L543">
        <v>0</v>
      </c>
      <c r="M543">
        <v>0.88353413654618473</v>
      </c>
      <c r="N543">
        <v>0.90763052208835338</v>
      </c>
      <c r="O543">
        <v>0.33333333333333331</v>
      </c>
      <c r="P543">
        <v>0.79919678714859432</v>
      </c>
      <c r="Q543">
        <v>0</v>
      </c>
      <c r="R543">
        <v>0.92369477911646591</v>
      </c>
      <c r="S543">
        <v>0.87148594377510036</v>
      </c>
      <c r="T543">
        <v>0.81927710843373491</v>
      </c>
      <c r="U543">
        <v>0.93975903614457834</v>
      </c>
      <c r="V543">
        <v>0</v>
      </c>
      <c r="W543">
        <v>0.86746987951807231</v>
      </c>
      <c r="X543">
        <v>0.75100401606425704</v>
      </c>
      <c r="Y543">
        <v>0.26104417670682734</v>
      </c>
      <c r="Z543">
        <v>0.77108433734939763</v>
      </c>
      <c r="AA543">
        <v>0</v>
      </c>
      <c r="AB543">
        <v>0.37751004016064255</v>
      </c>
      <c r="AC543">
        <v>0.67068273092369479</v>
      </c>
      <c r="AD543">
        <v>0.74297188755020083</v>
      </c>
      <c r="AE543">
        <v>0.42570281124497994</v>
      </c>
      <c r="AF543">
        <v>0</v>
      </c>
      <c r="AG543">
        <v>0.93172690763052213</v>
      </c>
      <c r="AH543">
        <v>0.9718875502008032</v>
      </c>
      <c r="AI543">
        <v>0.69477911646586343</v>
      </c>
      <c r="AJ543">
        <v>0.96385542168674698</v>
      </c>
      <c r="AL543" s="1">
        <v>0.99598393574297184</v>
      </c>
      <c r="AN543" t="s">
        <v>81</v>
      </c>
      <c r="AO543">
        <v>82</v>
      </c>
      <c r="AP543" s="2">
        <v>0.94</v>
      </c>
      <c r="AQ543">
        <v>19</v>
      </c>
      <c r="AT543" s="1">
        <v>0.61445783132530118</v>
      </c>
      <c r="AU543" s="1">
        <v>0.40160642570281124</v>
      </c>
    </row>
    <row r="544" spans="1:47" x14ac:dyDescent="0.3">
      <c r="A544" t="s">
        <v>174</v>
      </c>
      <c r="B544">
        <v>0</v>
      </c>
      <c r="C544" s="1">
        <v>0.1606425702811245</v>
      </c>
      <c r="D544">
        <v>0.15261044176706828</v>
      </c>
      <c r="E544">
        <v>0.61044176706827313</v>
      </c>
      <c r="F544">
        <v>0.11244979919678715</v>
      </c>
      <c r="G544">
        <v>0</v>
      </c>
      <c r="H544">
        <v>0.6224899598393574</v>
      </c>
      <c r="I544">
        <v>0.57429718875502012</v>
      </c>
      <c r="J544">
        <v>0.31726907630522089</v>
      </c>
      <c r="K544">
        <v>0.60642570281124497</v>
      </c>
      <c r="L544">
        <v>0</v>
      </c>
      <c r="M544">
        <v>0.51004016064257029</v>
      </c>
      <c r="N544">
        <v>0.43373493975903615</v>
      </c>
      <c r="O544">
        <v>0.79116465863453811</v>
      </c>
      <c r="P544">
        <v>0.65461847389558236</v>
      </c>
      <c r="Q544">
        <v>0</v>
      </c>
      <c r="R544">
        <v>0.49799196787148592</v>
      </c>
      <c r="S544">
        <v>0.58634538152610438</v>
      </c>
      <c r="T544">
        <v>0.76706827309236947</v>
      </c>
      <c r="U544">
        <v>0.51004016064257029</v>
      </c>
      <c r="V544">
        <v>0</v>
      </c>
      <c r="W544">
        <v>0.53012048192771088</v>
      </c>
      <c r="X544">
        <v>0.42971887550200805</v>
      </c>
      <c r="Y544">
        <v>0.85542168674698793</v>
      </c>
      <c r="Z544">
        <v>0.61044176706827313</v>
      </c>
      <c r="AA544">
        <v>0</v>
      </c>
      <c r="AB544">
        <v>0.63052208835341361</v>
      </c>
      <c r="AC544">
        <v>0.34136546184738958</v>
      </c>
      <c r="AD544">
        <v>0.89959839357429716</v>
      </c>
      <c r="AE544">
        <v>0.91566265060240959</v>
      </c>
      <c r="AF544">
        <v>0</v>
      </c>
      <c r="AG544">
        <v>0.24899598393574296</v>
      </c>
      <c r="AH544">
        <v>0.2289156626506024</v>
      </c>
      <c r="AI544">
        <v>0.78714859437751006</v>
      </c>
      <c r="AJ544">
        <v>0.28514056224899598</v>
      </c>
      <c r="AL544" s="1">
        <v>0.42570281124497994</v>
      </c>
      <c r="AN544" t="s">
        <v>175</v>
      </c>
      <c r="AO544">
        <v>64</v>
      </c>
      <c r="AP544" s="2">
        <v>0.58666666666666667</v>
      </c>
      <c r="AQ544">
        <v>125</v>
      </c>
      <c r="AT544" s="1">
        <v>0.51004016064257029</v>
      </c>
      <c r="AU544" s="1">
        <v>0.64658634538152615</v>
      </c>
    </row>
    <row r="545" spans="1:47" x14ac:dyDescent="0.3">
      <c r="A545" t="s">
        <v>176</v>
      </c>
      <c r="B545">
        <v>0</v>
      </c>
      <c r="C545" s="1">
        <v>0.14056224899598393</v>
      </c>
      <c r="D545">
        <v>0.11646586345381527</v>
      </c>
      <c r="E545">
        <v>0.2289156626506024</v>
      </c>
      <c r="F545">
        <v>0.25301204819277107</v>
      </c>
      <c r="G545">
        <v>0</v>
      </c>
      <c r="H545">
        <v>0.65863453815261042</v>
      </c>
      <c r="I545">
        <v>0.25702811244979917</v>
      </c>
      <c r="J545">
        <v>4.0160642570281121E-3</v>
      </c>
      <c r="K545">
        <v>0.34136546184738958</v>
      </c>
      <c r="L545">
        <v>0</v>
      </c>
      <c r="M545">
        <v>0.12048192771084337</v>
      </c>
      <c r="N545">
        <v>0.92369477911646591</v>
      </c>
      <c r="O545">
        <v>0.10843373493975904</v>
      </c>
      <c r="P545">
        <v>0.65461847389558236</v>
      </c>
      <c r="Q545">
        <v>0</v>
      </c>
      <c r="R545">
        <v>0.94779116465863456</v>
      </c>
      <c r="S545">
        <v>0.95582329317269077</v>
      </c>
      <c r="T545">
        <v>0.96385542168674698</v>
      </c>
      <c r="U545">
        <v>0.98393574297188757</v>
      </c>
      <c r="V545">
        <v>0</v>
      </c>
      <c r="W545">
        <v>0.58232931726907633</v>
      </c>
      <c r="X545">
        <v>0.92369477911646591</v>
      </c>
      <c r="Y545">
        <v>0.15261044176706828</v>
      </c>
      <c r="Z545">
        <v>0.89156626506024095</v>
      </c>
      <c r="AA545">
        <v>0</v>
      </c>
      <c r="AB545">
        <v>0.34538152610441769</v>
      </c>
      <c r="AC545">
        <v>0.69076305220883538</v>
      </c>
      <c r="AD545">
        <v>0.54618473895582331</v>
      </c>
      <c r="AE545">
        <v>0.3534136546184739</v>
      </c>
      <c r="AF545">
        <v>0</v>
      </c>
      <c r="AG545">
        <v>9.6385542168674704E-2</v>
      </c>
      <c r="AH545">
        <v>0.43373493975903615</v>
      </c>
      <c r="AI545">
        <v>0.11244979919678715</v>
      </c>
      <c r="AJ545">
        <v>0.37751004016064255</v>
      </c>
      <c r="AL545" s="1">
        <v>0.51807228915662651</v>
      </c>
      <c r="AN545" t="s">
        <v>70</v>
      </c>
      <c r="AO545">
        <v>17</v>
      </c>
      <c r="AP545" s="2">
        <v>0.55666666666666664</v>
      </c>
      <c r="AQ545">
        <v>134</v>
      </c>
      <c r="AT545" s="1">
        <v>0.76305220883534142</v>
      </c>
      <c r="AU545" s="1">
        <v>0.82730923694779113</v>
      </c>
    </row>
    <row r="546" spans="1:47" x14ac:dyDescent="0.3">
      <c r="A546" t="s">
        <v>177</v>
      </c>
      <c r="B546">
        <v>0</v>
      </c>
      <c r="C546" s="1">
        <v>0.29317269076305219</v>
      </c>
      <c r="D546">
        <v>0.46184738955823296</v>
      </c>
      <c r="E546">
        <v>0.16867469879518071</v>
      </c>
      <c r="F546">
        <v>0.39759036144578314</v>
      </c>
      <c r="G546">
        <v>0</v>
      </c>
      <c r="H546">
        <v>0.41767068273092367</v>
      </c>
      <c r="I546">
        <v>0.82329317269076308</v>
      </c>
      <c r="J546">
        <v>0.56224899598393574</v>
      </c>
      <c r="K546">
        <v>0.75903614457831325</v>
      </c>
      <c r="L546">
        <v>0</v>
      </c>
      <c r="M546">
        <v>8.8353413654618476E-2</v>
      </c>
      <c r="N546">
        <v>0.14056224899598393</v>
      </c>
      <c r="O546">
        <v>5.2208835341365459E-2</v>
      </c>
      <c r="P546">
        <v>0.10441767068273092</v>
      </c>
      <c r="Q546">
        <v>0</v>
      </c>
      <c r="R546">
        <v>0.53413654618473894</v>
      </c>
      <c r="S546">
        <v>0.77108433734939763</v>
      </c>
      <c r="T546">
        <v>0.52208835341365467</v>
      </c>
      <c r="U546">
        <v>0.67068273092369479</v>
      </c>
      <c r="V546">
        <v>0</v>
      </c>
      <c r="W546">
        <v>0.63052208835341361</v>
      </c>
      <c r="X546">
        <v>0.36144578313253012</v>
      </c>
      <c r="Y546">
        <v>0.29317269076305219</v>
      </c>
      <c r="Z546">
        <v>0.46586345381526106</v>
      </c>
      <c r="AA546">
        <v>0</v>
      </c>
      <c r="AB546">
        <v>0.30120481927710846</v>
      </c>
      <c r="AC546">
        <v>0.55823293172690758</v>
      </c>
      <c r="AD546">
        <v>0.20481927710843373</v>
      </c>
      <c r="AE546">
        <v>8.8353413654618476E-2</v>
      </c>
      <c r="AF546">
        <v>0</v>
      </c>
      <c r="AG546">
        <v>0.15261044176706828</v>
      </c>
      <c r="AH546">
        <v>0.27309236947791166</v>
      </c>
      <c r="AI546">
        <v>5.6224899598393573E-2</v>
      </c>
      <c r="AJ546">
        <v>0.18072289156626506</v>
      </c>
      <c r="AL546" s="1">
        <v>0.3534136546184739</v>
      </c>
      <c r="AN546" t="s">
        <v>74</v>
      </c>
      <c r="AO546">
        <v>51</v>
      </c>
      <c r="AP546" s="2">
        <v>0.44333333333333336</v>
      </c>
      <c r="AQ546">
        <v>168</v>
      </c>
      <c r="AT546" s="1">
        <v>0.51004016064257029</v>
      </c>
      <c r="AU546" s="1">
        <v>0.42971887550200805</v>
      </c>
    </row>
    <row r="547" spans="1:47" x14ac:dyDescent="0.3">
      <c r="A547" t="s">
        <v>178</v>
      </c>
      <c r="B547">
        <v>0</v>
      </c>
      <c r="C547" s="1">
        <v>6.4257028112449793E-2</v>
      </c>
      <c r="D547">
        <v>0.30923694779116467</v>
      </c>
      <c r="E547">
        <v>0.15261044176706828</v>
      </c>
      <c r="F547">
        <v>0.46184738955823296</v>
      </c>
      <c r="G547">
        <v>0</v>
      </c>
      <c r="H547">
        <v>0.6987951807228916</v>
      </c>
      <c r="I547">
        <v>8.0321285140562249E-2</v>
      </c>
      <c r="J547">
        <v>4.0160642570281121E-3</v>
      </c>
      <c r="K547">
        <v>0.14056224899598393</v>
      </c>
      <c r="L547">
        <v>0</v>
      </c>
      <c r="M547">
        <v>6.8273092369477914E-2</v>
      </c>
      <c r="N547">
        <v>0.40160642570281124</v>
      </c>
      <c r="O547">
        <v>0.15261044176706828</v>
      </c>
      <c r="P547">
        <v>0.56224899598393574</v>
      </c>
      <c r="Q547">
        <v>0</v>
      </c>
      <c r="R547">
        <v>0.41365461847389556</v>
      </c>
      <c r="S547">
        <v>0.3253012048192771</v>
      </c>
      <c r="T547">
        <v>0.33734939759036142</v>
      </c>
      <c r="U547">
        <v>0.65863453815261042</v>
      </c>
      <c r="V547">
        <v>0</v>
      </c>
      <c r="W547">
        <v>4.8192771084337352E-2</v>
      </c>
      <c r="X547">
        <v>4.8192771084337352E-2</v>
      </c>
      <c r="Y547">
        <v>2.4096385542168676E-2</v>
      </c>
      <c r="Z547">
        <v>0.43373493975903615</v>
      </c>
      <c r="AA547">
        <v>0</v>
      </c>
      <c r="AB547">
        <v>0.24899598393574296</v>
      </c>
      <c r="AC547">
        <v>0.22489959839357429</v>
      </c>
      <c r="AD547">
        <v>0.40160642570281124</v>
      </c>
      <c r="AE547">
        <v>0.27309236947791166</v>
      </c>
      <c r="AF547">
        <v>0</v>
      </c>
      <c r="AG547">
        <v>4.8192771084337352E-2</v>
      </c>
      <c r="AH547">
        <v>0.31325301204819278</v>
      </c>
      <c r="AI547">
        <v>9.2369477911646583E-2</v>
      </c>
      <c r="AJ547">
        <v>0.47791164658634538</v>
      </c>
      <c r="AL547" s="1">
        <v>0.22088353413654618</v>
      </c>
      <c r="AN547" t="s">
        <v>71</v>
      </c>
      <c r="AO547">
        <v>17</v>
      </c>
      <c r="AP547" s="2">
        <v>0.33333333333333331</v>
      </c>
      <c r="AQ547">
        <v>201</v>
      </c>
      <c r="AT547" s="1">
        <v>0.49397590361445781</v>
      </c>
      <c r="AU547" s="1">
        <v>4.0160642570281121E-3</v>
      </c>
    </row>
    <row r="548" spans="1:47" x14ac:dyDescent="0.3">
      <c r="A548" t="s">
        <v>179</v>
      </c>
      <c r="B548">
        <v>0</v>
      </c>
      <c r="C548" s="1">
        <v>0.96385542168674698</v>
      </c>
      <c r="D548">
        <v>0.93574297188755018</v>
      </c>
      <c r="E548">
        <v>0.91967871485943775</v>
      </c>
      <c r="F548">
        <v>0.91164658634538154</v>
      </c>
      <c r="G548">
        <v>0</v>
      </c>
      <c r="H548">
        <v>0.94377510040160639</v>
      </c>
      <c r="I548">
        <v>0.73895582329317266</v>
      </c>
      <c r="J548">
        <v>0.92369477911646591</v>
      </c>
      <c r="K548">
        <v>0.89558232931726911</v>
      </c>
      <c r="L548">
        <v>0</v>
      </c>
      <c r="M548">
        <v>0.49799196787148592</v>
      </c>
      <c r="N548">
        <v>0.13253012048192772</v>
      </c>
      <c r="O548">
        <v>0.40963855421686746</v>
      </c>
      <c r="P548">
        <v>0.22088353413654618</v>
      </c>
      <c r="Q548">
        <v>0</v>
      </c>
      <c r="R548">
        <v>0.64257028112449799</v>
      </c>
      <c r="S548">
        <v>0.55421686746987953</v>
      </c>
      <c r="T548">
        <v>0.73092369477911645</v>
      </c>
      <c r="U548">
        <v>0.55020080321285136</v>
      </c>
      <c r="V548">
        <v>0</v>
      </c>
      <c r="W548">
        <v>0.56224899598393574</v>
      </c>
      <c r="X548">
        <v>0.13654618473895583</v>
      </c>
      <c r="Y548">
        <v>0.30923694779116467</v>
      </c>
      <c r="Z548">
        <v>0.12449799196787148</v>
      </c>
      <c r="AA548">
        <v>0</v>
      </c>
      <c r="AB548">
        <v>0.8875502008032129</v>
      </c>
      <c r="AC548">
        <v>0.57028112449799195</v>
      </c>
      <c r="AD548">
        <v>0.57429718875502012</v>
      </c>
      <c r="AE548">
        <v>0.54216867469879515</v>
      </c>
      <c r="AF548">
        <v>0</v>
      </c>
      <c r="AG548">
        <v>0.86345381526104414</v>
      </c>
      <c r="AH548">
        <v>0.60642570281124497</v>
      </c>
      <c r="AI548">
        <v>0.7269076305220884</v>
      </c>
      <c r="AJ548">
        <v>0.65461847389558236</v>
      </c>
      <c r="AL548" s="1">
        <v>0.73895582329317266</v>
      </c>
      <c r="AN548" t="s">
        <v>57</v>
      </c>
      <c r="AO548">
        <v>82</v>
      </c>
      <c r="AP548" s="2">
        <v>0.89333333333333331</v>
      </c>
      <c r="AQ548">
        <v>33</v>
      </c>
      <c r="AT548" s="1">
        <v>0.60240963855421692</v>
      </c>
      <c r="AU548" s="1">
        <v>0.35742971887550201</v>
      </c>
    </row>
    <row r="549" spans="1:47" x14ac:dyDescent="0.3">
      <c r="A549" t="s">
        <v>180</v>
      </c>
      <c r="B549">
        <v>0</v>
      </c>
      <c r="C549" s="1">
        <v>4.4176706827309238E-2</v>
      </c>
      <c r="D549">
        <v>6.4257028112449793E-2</v>
      </c>
      <c r="E549">
        <v>4.8192771084337352E-2</v>
      </c>
      <c r="F549">
        <v>2.4096385542168676E-2</v>
      </c>
      <c r="G549">
        <v>0</v>
      </c>
      <c r="H549">
        <v>0.27710843373493976</v>
      </c>
      <c r="I549">
        <v>0.77911646586345384</v>
      </c>
      <c r="J549">
        <v>0.65461847389558236</v>
      </c>
      <c r="K549">
        <v>0.67068273092369479</v>
      </c>
      <c r="L549">
        <v>0</v>
      </c>
      <c r="M549">
        <v>0.55020080321285136</v>
      </c>
      <c r="N549">
        <v>9.6385542168674704E-2</v>
      </c>
      <c r="O549">
        <v>6.0240963855421686E-2</v>
      </c>
      <c r="P549">
        <v>0.37751004016064255</v>
      </c>
      <c r="Q549">
        <v>0</v>
      </c>
      <c r="R549">
        <v>0.21686746987951808</v>
      </c>
      <c r="S549">
        <v>0.37349397590361444</v>
      </c>
      <c r="T549">
        <v>0.24899598393574296</v>
      </c>
      <c r="U549">
        <v>0.18875502008032127</v>
      </c>
      <c r="V549">
        <v>0</v>
      </c>
      <c r="W549">
        <v>0.57831325301204817</v>
      </c>
      <c r="X549">
        <v>8.8353413654618476E-2</v>
      </c>
      <c r="Y549">
        <v>0.10843373493975904</v>
      </c>
      <c r="Z549">
        <v>0.42168674698795183</v>
      </c>
      <c r="AA549">
        <v>0</v>
      </c>
      <c r="AB549">
        <v>0.20883534136546184</v>
      </c>
      <c r="AC549">
        <v>0.86345381526104414</v>
      </c>
      <c r="AD549">
        <v>7.2289156626506021E-2</v>
      </c>
      <c r="AE549">
        <v>8.0321285140562242E-3</v>
      </c>
      <c r="AF549">
        <v>0</v>
      </c>
      <c r="AG549">
        <v>0.16867469879518071</v>
      </c>
      <c r="AH549">
        <v>4.8192771084337352E-2</v>
      </c>
      <c r="AI549">
        <v>2.4096385542168676E-2</v>
      </c>
      <c r="AJ549">
        <v>9.6385542168674704E-2</v>
      </c>
      <c r="AL549" s="1">
        <v>0.16867469879518071</v>
      </c>
      <c r="AN549" t="s">
        <v>52</v>
      </c>
      <c r="AO549">
        <v>36</v>
      </c>
      <c r="AP549" s="2">
        <v>0.31</v>
      </c>
      <c r="AQ549">
        <v>208</v>
      </c>
      <c r="AT549" s="1">
        <v>0.13654618473895583</v>
      </c>
      <c r="AU549" s="1">
        <v>5.2208835341365459E-2</v>
      </c>
    </row>
    <row r="550" spans="1:47" x14ac:dyDescent="0.3">
      <c r="A550" t="s">
        <v>181</v>
      </c>
      <c r="B550">
        <v>0</v>
      </c>
      <c r="C550" s="1">
        <v>0.80722891566265065</v>
      </c>
      <c r="D550">
        <v>0.75903614457831325</v>
      </c>
      <c r="E550">
        <v>0.94377510040160639</v>
      </c>
      <c r="F550">
        <v>0.81526104417670686</v>
      </c>
      <c r="G550">
        <v>0</v>
      </c>
      <c r="H550">
        <v>0.72289156626506024</v>
      </c>
      <c r="I550">
        <v>0.87951807228915657</v>
      </c>
      <c r="J550">
        <v>0.88353413654618473</v>
      </c>
      <c r="K550">
        <v>0.87148594377510036</v>
      </c>
      <c r="L550">
        <v>0</v>
      </c>
      <c r="M550">
        <v>0.81526104417670686</v>
      </c>
      <c r="N550">
        <v>0.73092369477911645</v>
      </c>
      <c r="O550">
        <v>0.97590361445783136</v>
      </c>
      <c r="P550">
        <v>0.86345381526104414</v>
      </c>
      <c r="Q550">
        <v>0</v>
      </c>
      <c r="R550">
        <v>0.8393574297188755</v>
      </c>
      <c r="S550">
        <v>0.68674698795180722</v>
      </c>
      <c r="T550">
        <v>0.75100401606425704</v>
      </c>
      <c r="U550">
        <v>0.84738955823293172</v>
      </c>
      <c r="V550">
        <v>0</v>
      </c>
      <c r="W550">
        <v>0.70682730923694781</v>
      </c>
      <c r="X550">
        <v>0.54618473895582331</v>
      </c>
      <c r="Y550">
        <v>0.73092369477911645</v>
      </c>
      <c r="Z550">
        <v>0.71084337349397586</v>
      </c>
      <c r="AA550">
        <v>0</v>
      </c>
      <c r="AB550">
        <v>0.73895582329317266</v>
      </c>
      <c r="AC550">
        <v>0.34538152610441769</v>
      </c>
      <c r="AD550">
        <v>0.81927710843373491</v>
      </c>
      <c r="AE550">
        <v>0.9718875502008032</v>
      </c>
      <c r="AF550">
        <v>0</v>
      </c>
      <c r="AG550">
        <v>0.87550200803212852</v>
      </c>
      <c r="AH550">
        <v>0.80722891566265065</v>
      </c>
      <c r="AI550">
        <v>0.98795180722891562</v>
      </c>
      <c r="AJ550">
        <v>0.90763052208835338</v>
      </c>
      <c r="AL550" s="1">
        <v>0.96385542168674698</v>
      </c>
      <c r="AN550" t="s">
        <v>51</v>
      </c>
      <c r="AO550">
        <v>80</v>
      </c>
      <c r="AP550" s="2">
        <v>0.96</v>
      </c>
      <c r="AQ550">
        <v>13</v>
      </c>
      <c r="AT550" s="1">
        <v>0.38152610441767071</v>
      </c>
      <c r="AU550" s="1">
        <v>0.68273092369477917</v>
      </c>
    </row>
    <row r="551" spans="1:47" x14ac:dyDescent="0.3">
      <c r="A551" t="s">
        <v>182</v>
      </c>
      <c r="B551">
        <v>0</v>
      </c>
      <c r="C551" s="1">
        <v>0.19277108433734941</v>
      </c>
      <c r="D551">
        <v>0.35742971887550201</v>
      </c>
      <c r="E551">
        <v>1.2048192771084338E-2</v>
      </c>
      <c r="F551">
        <v>0.26506024096385544</v>
      </c>
      <c r="G551">
        <v>0</v>
      </c>
      <c r="H551">
        <v>4.0160642570281121E-3</v>
      </c>
      <c r="I551">
        <v>3.614457831325301E-2</v>
      </c>
      <c r="J551">
        <v>4.0160642570281121E-3</v>
      </c>
      <c r="K551">
        <v>1.6064257028112448E-2</v>
      </c>
      <c r="L551">
        <v>0</v>
      </c>
      <c r="M551">
        <v>0.54216867469879515</v>
      </c>
      <c r="N551">
        <v>0.99196787148594379</v>
      </c>
      <c r="O551">
        <v>0.28915662650602408</v>
      </c>
      <c r="P551">
        <v>0.8875502008032129</v>
      </c>
      <c r="Q551">
        <v>0</v>
      </c>
      <c r="R551">
        <v>8.8353413654618476E-2</v>
      </c>
      <c r="S551">
        <v>1.2048192771084338E-2</v>
      </c>
      <c r="T551">
        <v>4.0160642570281121E-3</v>
      </c>
      <c r="U551">
        <v>3.614457831325301E-2</v>
      </c>
      <c r="V551">
        <v>0</v>
      </c>
      <c r="W551">
        <v>0.33333333333333331</v>
      </c>
      <c r="X551">
        <v>0.9718875502008032</v>
      </c>
      <c r="Y551">
        <v>0.12048192771084337</v>
      </c>
      <c r="Z551">
        <v>0.8112449799196787</v>
      </c>
      <c r="AA551">
        <v>0</v>
      </c>
      <c r="AB551">
        <v>5.2208835341365459E-2</v>
      </c>
      <c r="AC551">
        <v>0.63453815261044177</v>
      </c>
      <c r="AD551">
        <v>8.0321285140562242E-3</v>
      </c>
      <c r="AE551">
        <v>2.0080321285140562E-2</v>
      </c>
      <c r="AF551">
        <v>0</v>
      </c>
      <c r="AG551">
        <v>0.28915662650602408</v>
      </c>
      <c r="AH551">
        <v>0.89156626506024095</v>
      </c>
      <c r="AI551">
        <v>1.2048192771084338E-2</v>
      </c>
      <c r="AJ551">
        <v>0.55823293172690758</v>
      </c>
      <c r="AL551" s="1">
        <v>0.14859437751004015</v>
      </c>
      <c r="AN551" t="s">
        <v>60</v>
      </c>
      <c r="AO551">
        <v>29</v>
      </c>
      <c r="AP551" s="2">
        <v>0.24</v>
      </c>
      <c r="AQ551">
        <v>229</v>
      </c>
      <c r="AT551" s="1">
        <v>0.71887550200803207</v>
      </c>
      <c r="AU551" s="1">
        <v>0.9718875502008032</v>
      </c>
    </row>
    <row r="552" spans="1:47" x14ac:dyDescent="0.3">
      <c r="A552" t="s">
        <v>183</v>
      </c>
      <c r="B552">
        <v>0</v>
      </c>
      <c r="C552" s="1">
        <v>0.59839357429718876</v>
      </c>
      <c r="D552">
        <v>0.64658634538152615</v>
      </c>
      <c r="E552">
        <v>0.81927710843373491</v>
      </c>
      <c r="F552">
        <v>0.66666666666666663</v>
      </c>
      <c r="G552">
        <v>0</v>
      </c>
      <c r="H552">
        <v>0.41767068273092367</v>
      </c>
      <c r="I552">
        <v>0.36144578313253012</v>
      </c>
      <c r="J552">
        <v>0.1646586345381526</v>
      </c>
      <c r="K552">
        <v>0.32128514056224899</v>
      </c>
      <c r="L552">
        <v>0</v>
      </c>
      <c r="M552">
        <v>0.30522088353413657</v>
      </c>
      <c r="N552">
        <v>0.10040160642570281</v>
      </c>
      <c r="O552">
        <v>6.4257028112449793E-2</v>
      </c>
      <c r="P552">
        <v>0.19678714859437751</v>
      </c>
      <c r="Q552">
        <v>0</v>
      </c>
      <c r="R552">
        <v>0.48995983935742971</v>
      </c>
      <c r="S552">
        <v>0.75100401606425704</v>
      </c>
      <c r="T552">
        <v>0.33734939759036142</v>
      </c>
      <c r="U552">
        <v>0.54216867469879515</v>
      </c>
      <c r="V552">
        <v>0</v>
      </c>
      <c r="W552">
        <v>0.44176706827309237</v>
      </c>
      <c r="X552">
        <v>0.2971887550200803</v>
      </c>
      <c r="Y552">
        <v>0.14056224899598393</v>
      </c>
      <c r="Z552">
        <v>0.46586345381526106</v>
      </c>
      <c r="AA552">
        <v>0</v>
      </c>
      <c r="AB552">
        <v>0.89558232931726911</v>
      </c>
      <c r="AC552">
        <v>0.48995983935742971</v>
      </c>
      <c r="AD552">
        <v>0.8112449799196787</v>
      </c>
      <c r="AE552">
        <v>0.32128514056224899</v>
      </c>
      <c r="AF552">
        <v>0</v>
      </c>
      <c r="AG552">
        <v>0.47791164658634538</v>
      </c>
      <c r="AH552">
        <v>0.35742971887550201</v>
      </c>
      <c r="AI552">
        <v>0.30923694779116467</v>
      </c>
      <c r="AJ552">
        <v>0.42971887550200805</v>
      </c>
      <c r="AL552" s="1">
        <v>0.39357429718875503</v>
      </c>
      <c r="AN552" t="s">
        <v>63</v>
      </c>
      <c r="AO552">
        <v>60</v>
      </c>
      <c r="AP552" s="2">
        <v>0.60666666666666669</v>
      </c>
      <c r="AQ552">
        <v>119</v>
      </c>
      <c r="AT552" s="1">
        <v>0.43775100401606426</v>
      </c>
      <c r="AU552" s="1">
        <v>0.14056224899598393</v>
      </c>
    </row>
    <row r="553" spans="1:47" x14ac:dyDescent="0.3">
      <c r="A553" t="s">
        <v>184</v>
      </c>
      <c r="B553">
        <v>0</v>
      </c>
      <c r="C553" s="1">
        <v>0.47791164658634538</v>
      </c>
      <c r="D553">
        <v>0.8875502008032129</v>
      </c>
      <c r="E553">
        <v>0.47791164658634538</v>
      </c>
      <c r="F553">
        <v>0.58634538152610438</v>
      </c>
      <c r="G553">
        <v>0</v>
      </c>
      <c r="H553">
        <v>0.33333333333333331</v>
      </c>
      <c r="I553">
        <v>0.33333333333333331</v>
      </c>
      <c r="J553">
        <v>0.59036144578313254</v>
      </c>
      <c r="K553">
        <v>0.30120481927710846</v>
      </c>
      <c r="L553">
        <v>0</v>
      </c>
      <c r="M553">
        <v>0.87550200803212852</v>
      </c>
      <c r="N553">
        <v>0.94779116465863456</v>
      </c>
      <c r="O553">
        <v>0.6506024096385542</v>
      </c>
      <c r="P553">
        <v>0.88353413654618473</v>
      </c>
      <c r="Q553">
        <v>0</v>
      </c>
      <c r="R553">
        <v>0.18875502008032127</v>
      </c>
      <c r="S553">
        <v>0.52208835341365467</v>
      </c>
      <c r="T553">
        <v>0.3493975903614458</v>
      </c>
      <c r="U553">
        <v>0.19678714859437751</v>
      </c>
      <c r="V553">
        <v>0</v>
      </c>
      <c r="W553">
        <v>0.91967871485943775</v>
      </c>
      <c r="X553">
        <v>0.96385542168674698</v>
      </c>
      <c r="Y553">
        <v>0.67469879518072284</v>
      </c>
      <c r="Z553">
        <v>0.92369477911646591</v>
      </c>
      <c r="AA553">
        <v>0</v>
      </c>
      <c r="AB553">
        <v>0.54216867469879515</v>
      </c>
      <c r="AC553">
        <v>0.24899598393574296</v>
      </c>
      <c r="AD553">
        <v>0.57831325301204817</v>
      </c>
      <c r="AE553">
        <v>0.54216867469879515</v>
      </c>
      <c r="AF553">
        <v>0</v>
      </c>
      <c r="AG553">
        <v>0.68674698795180722</v>
      </c>
      <c r="AH553">
        <v>0.96787148594377514</v>
      </c>
      <c r="AI553">
        <v>0.59437751004016059</v>
      </c>
      <c r="AJ553">
        <v>0.81927710843373491</v>
      </c>
      <c r="AL553" s="1">
        <v>0.65863453815261042</v>
      </c>
      <c r="AN553" t="s">
        <v>60</v>
      </c>
      <c r="AO553">
        <v>78</v>
      </c>
      <c r="AP553" s="2">
        <v>0.72</v>
      </c>
      <c r="AQ553">
        <v>85</v>
      </c>
      <c r="AT553" s="1">
        <v>7.6305220883534142E-2</v>
      </c>
      <c r="AU553" s="1">
        <v>0.25301204819277107</v>
      </c>
    </row>
    <row r="554" spans="1:47" x14ac:dyDescent="0.3">
      <c r="A554" t="s">
        <v>185</v>
      </c>
      <c r="B554">
        <v>0</v>
      </c>
      <c r="C554" s="1">
        <v>4.4176706827309238E-2</v>
      </c>
      <c r="D554">
        <v>0.26907630522088355</v>
      </c>
      <c r="E554">
        <v>0.24899598393574296</v>
      </c>
      <c r="F554">
        <v>4.8192771084337352E-2</v>
      </c>
      <c r="G554">
        <v>0</v>
      </c>
      <c r="H554">
        <v>0.27710843373493976</v>
      </c>
      <c r="I554">
        <v>0.63453815261044177</v>
      </c>
      <c r="J554">
        <v>0.36144578313253012</v>
      </c>
      <c r="K554">
        <v>0.51405622489959835</v>
      </c>
      <c r="L554">
        <v>0</v>
      </c>
      <c r="M554">
        <v>8.0321285140562242E-3</v>
      </c>
      <c r="N554">
        <v>8.0321285140562242E-3</v>
      </c>
      <c r="O554">
        <v>0.1646586345381526</v>
      </c>
      <c r="P554">
        <v>8.0321285140562242E-3</v>
      </c>
      <c r="Q554">
        <v>0</v>
      </c>
      <c r="R554">
        <v>0.24497991967871485</v>
      </c>
      <c r="S554">
        <v>0.82730923694779113</v>
      </c>
      <c r="T554">
        <v>0.43373493975903615</v>
      </c>
      <c r="U554">
        <v>0.30120481927710846</v>
      </c>
      <c r="V554">
        <v>0</v>
      </c>
      <c r="W554">
        <v>1.2048192771084338E-2</v>
      </c>
      <c r="X554">
        <v>1.2048192771084338E-2</v>
      </c>
      <c r="Y554">
        <v>0.48192771084337349</v>
      </c>
      <c r="Z554">
        <v>1.2048192771084338E-2</v>
      </c>
      <c r="AA554">
        <v>0</v>
      </c>
      <c r="AB554">
        <v>0.24497991967871485</v>
      </c>
      <c r="AC554">
        <v>0.91164658634538154</v>
      </c>
      <c r="AD554">
        <v>0.61847389558232935</v>
      </c>
      <c r="AE554">
        <v>0.6224899598393574</v>
      </c>
      <c r="AF554">
        <v>0</v>
      </c>
      <c r="AG554">
        <v>1.2048192771084338E-2</v>
      </c>
      <c r="AH554">
        <v>1.6064257028112448E-2</v>
      </c>
      <c r="AI554">
        <v>0.15261044176706828</v>
      </c>
      <c r="AJ554">
        <v>4.0160642570281121E-3</v>
      </c>
      <c r="AL554" s="1">
        <v>3.614457831325301E-2</v>
      </c>
      <c r="AN554" t="s">
        <v>70</v>
      </c>
      <c r="AO554">
        <v>35</v>
      </c>
      <c r="AP554" s="2">
        <v>0.19666666666666666</v>
      </c>
      <c r="AQ554">
        <v>242</v>
      </c>
      <c r="AT554" s="1">
        <v>0.76305220883534142</v>
      </c>
      <c r="AU554" s="1">
        <v>5.2208835341365459E-2</v>
      </c>
    </row>
    <row r="555" spans="1:47" x14ac:dyDescent="0.3">
      <c r="A555" t="s">
        <v>186</v>
      </c>
      <c r="B555">
        <v>0</v>
      </c>
      <c r="C555" s="1">
        <v>0.26907630522088355</v>
      </c>
      <c r="D555">
        <v>0.24096385542168675</v>
      </c>
      <c r="E555">
        <v>0.2289156626506024</v>
      </c>
      <c r="F555">
        <v>0.38152610441767071</v>
      </c>
      <c r="G555">
        <v>0</v>
      </c>
      <c r="H555">
        <v>0.16867469879518071</v>
      </c>
      <c r="I555">
        <v>0.59437751004016059</v>
      </c>
      <c r="J555">
        <v>0.46184738955823296</v>
      </c>
      <c r="K555">
        <v>0.38152610441767071</v>
      </c>
      <c r="L555">
        <v>0</v>
      </c>
      <c r="M555">
        <v>0.40562248995983935</v>
      </c>
      <c r="N555">
        <v>0.33333333333333331</v>
      </c>
      <c r="O555">
        <v>0.44578313253012047</v>
      </c>
      <c r="P555">
        <v>0.1646586345381526</v>
      </c>
      <c r="Q555">
        <v>0</v>
      </c>
      <c r="R555">
        <v>0.10441767068273092</v>
      </c>
      <c r="S555">
        <v>9.2369477911646583E-2</v>
      </c>
      <c r="T555">
        <v>6.4257028112449793E-2</v>
      </c>
      <c r="U555">
        <v>0.13654618473895583</v>
      </c>
      <c r="V555">
        <v>0</v>
      </c>
      <c r="W555">
        <v>0.52610441767068272</v>
      </c>
      <c r="X555">
        <v>0.79919678714859432</v>
      </c>
      <c r="Y555">
        <v>0.88353413654618473</v>
      </c>
      <c r="Z555">
        <v>0.40562248995983935</v>
      </c>
      <c r="AA555">
        <v>0</v>
      </c>
      <c r="AB555">
        <v>9.6385542168674704E-2</v>
      </c>
      <c r="AC555">
        <v>0.20883534136546184</v>
      </c>
      <c r="AD555">
        <v>0.30120481927710846</v>
      </c>
      <c r="AE555">
        <v>0.42570281124497994</v>
      </c>
      <c r="AF555">
        <v>0</v>
      </c>
      <c r="AG555">
        <v>0.30923694779116467</v>
      </c>
      <c r="AH555">
        <v>0.25301204819277107</v>
      </c>
      <c r="AI555">
        <v>0.28112449799196787</v>
      </c>
      <c r="AJ555">
        <v>0.26104417670682734</v>
      </c>
      <c r="AL555" s="1">
        <v>0.15261044176706828</v>
      </c>
      <c r="AN555" t="s">
        <v>63</v>
      </c>
      <c r="AO555">
        <v>68</v>
      </c>
      <c r="AP555" s="2">
        <v>0.27</v>
      </c>
      <c r="AQ555">
        <v>220</v>
      </c>
      <c r="AT555" s="1">
        <v>0.14056224899598393</v>
      </c>
      <c r="AU555" s="1">
        <v>0.6987951807228916</v>
      </c>
    </row>
    <row r="556" spans="1:47" x14ac:dyDescent="0.3">
      <c r="A556" t="s">
        <v>187</v>
      </c>
      <c r="B556">
        <v>0</v>
      </c>
      <c r="C556" s="1">
        <v>0.10843373493975904</v>
      </c>
      <c r="D556">
        <v>0.26506024096385544</v>
      </c>
      <c r="E556">
        <v>0.33734939759036142</v>
      </c>
      <c r="F556">
        <v>0.13253012048192772</v>
      </c>
      <c r="G556">
        <v>0</v>
      </c>
      <c r="H556">
        <v>0.72289156626506024</v>
      </c>
      <c r="I556">
        <v>0.92369477911646591</v>
      </c>
      <c r="J556">
        <v>0.88353413654618473</v>
      </c>
      <c r="K556">
        <v>0.91967871485943775</v>
      </c>
      <c r="L556">
        <v>0</v>
      </c>
      <c r="M556">
        <v>6.4257028112449793E-2</v>
      </c>
      <c r="N556">
        <v>6.4257028112449793E-2</v>
      </c>
      <c r="O556">
        <v>4.0160642570281121E-3</v>
      </c>
      <c r="P556">
        <v>2.0080321285140562E-2</v>
      </c>
      <c r="Q556">
        <v>0</v>
      </c>
      <c r="R556">
        <v>0.46586345381526106</v>
      </c>
      <c r="S556">
        <v>0.91164658634538154</v>
      </c>
      <c r="T556">
        <v>0.51004016064257029</v>
      </c>
      <c r="U556">
        <v>0.73092369477911645</v>
      </c>
      <c r="V556">
        <v>0</v>
      </c>
      <c r="W556">
        <v>0.28514056224899598</v>
      </c>
      <c r="X556">
        <v>0.13253012048192772</v>
      </c>
      <c r="Y556">
        <v>4.0160642570281121E-3</v>
      </c>
      <c r="Z556">
        <v>3.614457831325301E-2</v>
      </c>
      <c r="AA556">
        <v>0</v>
      </c>
      <c r="AB556">
        <v>0.28514056224899598</v>
      </c>
      <c r="AC556">
        <v>4.8192771084337352E-2</v>
      </c>
      <c r="AD556">
        <v>0.68273092369477917</v>
      </c>
      <c r="AE556">
        <v>3.2128514056224897E-2</v>
      </c>
      <c r="AF556">
        <v>0</v>
      </c>
      <c r="AG556">
        <v>5.6224899598393573E-2</v>
      </c>
      <c r="AH556">
        <v>9.2369477911646583E-2</v>
      </c>
      <c r="AI556">
        <v>3.2128514056224897E-2</v>
      </c>
      <c r="AJ556">
        <v>1.6064257028112448E-2</v>
      </c>
      <c r="AL556" s="1">
        <v>0.22489959839357429</v>
      </c>
      <c r="AN556" t="s">
        <v>70</v>
      </c>
      <c r="AO556">
        <v>16</v>
      </c>
      <c r="AP556" s="2">
        <v>0.34333333333333332</v>
      </c>
      <c r="AQ556">
        <v>198</v>
      </c>
      <c r="AT556" s="1">
        <v>0.94377510040160639</v>
      </c>
      <c r="AU556" s="1">
        <v>0.58634538152610438</v>
      </c>
    </row>
    <row r="557" spans="1:47" x14ac:dyDescent="0.3">
      <c r="A557" t="s">
        <v>188</v>
      </c>
      <c r="B557">
        <v>0</v>
      </c>
      <c r="C557" s="1">
        <v>0.27309236947791166</v>
      </c>
      <c r="D557">
        <v>0.2971887550200803</v>
      </c>
      <c r="E557">
        <v>0.27710843373493976</v>
      </c>
      <c r="F557">
        <v>0.27710843373493976</v>
      </c>
      <c r="G557">
        <v>0</v>
      </c>
      <c r="H557">
        <v>0.5381526104417671</v>
      </c>
      <c r="I557">
        <v>0.30522088353413657</v>
      </c>
      <c r="J557">
        <v>0.26104417670682734</v>
      </c>
      <c r="K557">
        <v>0.34136546184738958</v>
      </c>
      <c r="L557">
        <v>0</v>
      </c>
      <c r="M557">
        <v>0.46586345381526106</v>
      </c>
      <c r="N557">
        <v>0.24899598393574296</v>
      </c>
      <c r="O557">
        <v>0.22489959839357429</v>
      </c>
      <c r="P557">
        <v>0.27710843373493976</v>
      </c>
      <c r="Q557">
        <v>0</v>
      </c>
      <c r="R557">
        <v>0.28514056224899598</v>
      </c>
      <c r="S557">
        <v>0.34136546184738958</v>
      </c>
      <c r="T557">
        <v>0.46987951807228917</v>
      </c>
      <c r="U557">
        <v>0.46987951807228917</v>
      </c>
      <c r="V557">
        <v>0</v>
      </c>
      <c r="W557">
        <v>0.55421686746987953</v>
      </c>
      <c r="X557">
        <v>0.12449799196787148</v>
      </c>
      <c r="Y557">
        <v>0.10441767068273092</v>
      </c>
      <c r="Z557">
        <v>0.14859437751004015</v>
      </c>
      <c r="AA557">
        <v>0</v>
      </c>
      <c r="AB557">
        <v>0.90763052208835338</v>
      </c>
      <c r="AC557">
        <v>0.40562248995983935</v>
      </c>
      <c r="AD557">
        <v>0.42971887550200805</v>
      </c>
      <c r="AE557">
        <v>0.20883534136546184</v>
      </c>
      <c r="AF557">
        <v>0</v>
      </c>
      <c r="AG557">
        <v>0.32931726907630521</v>
      </c>
      <c r="AH557">
        <v>0.21285140562248997</v>
      </c>
      <c r="AI557">
        <v>0.20481927710843373</v>
      </c>
      <c r="AJ557">
        <v>0.24899598393574296</v>
      </c>
      <c r="AL557" s="1">
        <v>0.24497991967871485</v>
      </c>
      <c r="AN557" t="s">
        <v>85</v>
      </c>
      <c r="AO557">
        <v>82</v>
      </c>
      <c r="AP557" s="2">
        <v>0.45333333333333331</v>
      </c>
      <c r="AQ557">
        <v>165</v>
      </c>
      <c r="AT557" s="1">
        <v>0.81526104417670686</v>
      </c>
      <c r="AU557" s="1">
        <v>0.17269076305220885</v>
      </c>
    </row>
    <row r="558" spans="1:47" x14ac:dyDescent="0.3">
      <c r="A558" t="s">
        <v>189</v>
      </c>
      <c r="B558">
        <v>0</v>
      </c>
      <c r="C558" s="1">
        <v>3.614457831325301E-2</v>
      </c>
      <c r="D558">
        <v>0.22088353413654618</v>
      </c>
      <c r="E558">
        <v>0.32931726907630521</v>
      </c>
      <c r="F558">
        <v>0.10441767068273092</v>
      </c>
      <c r="G558">
        <v>0</v>
      </c>
      <c r="H558">
        <v>0.33333333333333331</v>
      </c>
      <c r="I558">
        <v>0.63453815261044177</v>
      </c>
      <c r="J558">
        <v>0.59036144578313254</v>
      </c>
      <c r="K558">
        <v>0.55823293172690758</v>
      </c>
      <c r="L558">
        <v>0</v>
      </c>
      <c r="M558">
        <v>0.24096385542168675</v>
      </c>
      <c r="N558">
        <v>0.44578313253012047</v>
      </c>
      <c r="O558">
        <v>0.27710843373493976</v>
      </c>
      <c r="P558">
        <v>0.39759036144578314</v>
      </c>
      <c r="Q558">
        <v>0</v>
      </c>
      <c r="R558">
        <v>0.20080321285140562</v>
      </c>
      <c r="S558">
        <v>0.6224899598393574</v>
      </c>
      <c r="T558">
        <v>0.53413654618473894</v>
      </c>
      <c r="U558">
        <v>0.45381526104417669</v>
      </c>
      <c r="V558">
        <v>0</v>
      </c>
      <c r="W558">
        <v>0.57429718875502012</v>
      </c>
      <c r="X558">
        <v>0.72289156626506024</v>
      </c>
      <c r="Y558">
        <v>0.41365461847389556</v>
      </c>
      <c r="Z558">
        <v>0.67871485943775101</v>
      </c>
      <c r="AA558">
        <v>0</v>
      </c>
      <c r="AB558">
        <v>0.40562248995983935</v>
      </c>
      <c r="AC558">
        <v>8.0321285140562249E-2</v>
      </c>
      <c r="AD558">
        <v>0.85140562248995988</v>
      </c>
      <c r="AE558">
        <v>0.67871485943775101</v>
      </c>
      <c r="AF558">
        <v>0</v>
      </c>
      <c r="AG558">
        <v>8.0321285140562249E-2</v>
      </c>
      <c r="AH558">
        <v>0.28112449799196787</v>
      </c>
      <c r="AI558">
        <v>0.27710843373493976</v>
      </c>
      <c r="AJ558">
        <v>0.17269076305220885</v>
      </c>
      <c r="AL558" s="1">
        <v>0.19678714859437751</v>
      </c>
      <c r="AN558" t="s">
        <v>73</v>
      </c>
      <c r="AO558">
        <v>82</v>
      </c>
      <c r="AP558" s="2">
        <v>0.35333333333333333</v>
      </c>
      <c r="AQ558">
        <v>195</v>
      </c>
      <c r="AT558" s="1">
        <v>0.47791164658634538</v>
      </c>
      <c r="AU558" s="1">
        <v>0.52610441767068272</v>
      </c>
    </row>
    <row r="559" spans="1:47" x14ac:dyDescent="0.3">
      <c r="A559" t="s">
        <v>190</v>
      </c>
      <c r="B559">
        <v>0</v>
      </c>
      <c r="C559" s="1">
        <v>0.99598393574297184</v>
      </c>
      <c r="D559">
        <v>0.95180722891566261</v>
      </c>
      <c r="E559">
        <v>0.55020080321285136</v>
      </c>
      <c r="F559">
        <v>0.9718875502008032</v>
      </c>
      <c r="G559">
        <v>0</v>
      </c>
      <c r="H559">
        <v>0.49397590361445781</v>
      </c>
      <c r="I559">
        <v>0.66265060240963858</v>
      </c>
      <c r="J559">
        <v>0.63052208835341361</v>
      </c>
      <c r="K559">
        <v>0.61847389558232935</v>
      </c>
      <c r="L559">
        <v>0</v>
      </c>
      <c r="M559">
        <v>0.96385542168674698</v>
      </c>
      <c r="N559">
        <v>0.93574297188755018</v>
      </c>
      <c r="O559">
        <v>0.79116465863453811</v>
      </c>
      <c r="P559">
        <v>0.97590361445783136</v>
      </c>
      <c r="Q559">
        <v>0</v>
      </c>
      <c r="R559">
        <v>0.7831325301204819</v>
      </c>
      <c r="S559">
        <v>0.66265060240963858</v>
      </c>
      <c r="T559">
        <v>0.51004016064257029</v>
      </c>
      <c r="U559">
        <v>0.67068273092369479</v>
      </c>
      <c r="V559">
        <v>0</v>
      </c>
      <c r="W559">
        <v>0.32128514056224899</v>
      </c>
      <c r="X559">
        <v>0.67871485943775101</v>
      </c>
      <c r="Y559">
        <v>0.41365461847389556</v>
      </c>
      <c r="Z559">
        <v>0.58232931726907633</v>
      </c>
      <c r="AA559">
        <v>0</v>
      </c>
      <c r="AB559">
        <v>0.85943775100401609</v>
      </c>
      <c r="AC559">
        <v>0.95180722891566261</v>
      </c>
      <c r="AD559">
        <v>0.16867469879518071</v>
      </c>
      <c r="AE559">
        <v>0.28915662650602408</v>
      </c>
      <c r="AF559">
        <v>0</v>
      </c>
      <c r="AG559">
        <v>0.98795180722891562</v>
      </c>
      <c r="AH559">
        <v>0.98393574297188757</v>
      </c>
      <c r="AI559">
        <v>0.74698795180722888</v>
      </c>
      <c r="AJ559">
        <v>0.98393574297188757</v>
      </c>
      <c r="AL559" s="1">
        <v>0.92369477911646591</v>
      </c>
      <c r="AN559" t="s">
        <v>72</v>
      </c>
      <c r="AO559">
        <v>76</v>
      </c>
      <c r="AP559" s="2">
        <v>0.95666666666666667</v>
      </c>
      <c r="AQ559">
        <v>14</v>
      </c>
      <c r="AT559" s="1">
        <v>0.98393574297188757</v>
      </c>
      <c r="AU559" s="1">
        <v>0.19678714859437751</v>
      </c>
    </row>
    <row r="560" spans="1:47" x14ac:dyDescent="0.3">
      <c r="A560" t="s">
        <v>191</v>
      </c>
      <c r="B560">
        <v>0</v>
      </c>
      <c r="C560" s="1">
        <v>6.4257028112449793E-2</v>
      </c>
      <c r="D560">
        <v>4.0160642570281121E-3</v>
      </c>
      <c r="E560">
        <v>4.4176706827309238E-2</v>
      </c>
      <c r="F560">
        <v>4.0160642570281124E-2</v>
      </c>
      <c r="G560">
        <v>0</v>
      </c>
      <c r="H560">
        <v>0.18875502008032127</v>
      </c>
      <c r="I560">
        <v>1.6064257028112448E-2</v>
      </c>
      <c r="J560">
        <v>5.2208835341365459E-2</v>
      </c>
      <c r="K560">
        <v>3.614457831325301E-2</v>
      </c>
      <c r="L560">
        <v>0</v>
      </c>
      <c r="M560">
        <v>0.16867469879518071</v>
      </c>
      <c r="N560">
        <v>0.2289156626506024</v>
      </c>
      <c r="O560">
        <v>0.4859437751004016</v>
      </c>
      <c r="P560">
        <v>0.18473895582329317</v>
      </c>
      <c r="Q560">
        <v>0</v>
      </c>
      <c r="R560">
        <v>0.15662650602409639</v>
      </c>
      <c r="S560">
        <v>6.0240963855421686E-2</v>
      </c>
      <c r="T560">
        <v>4.0160642570281124E-2</v>
      </c>
      <c r="U560">
        <v>0.14859437751004015</v>
      </c>
      <c r="V560">
        <v>0</v>
      </c>
      <c r="W560">
        <v>0.16867469879518071</v>
      </c>
      <c r="X560">
        <v>0.24096385542168675</v>
      </c>
      <c r="Y560">
        <v>0.8112449799196787</v>
      </c>
      <c r="Z560">
        <v>0.23293172690763053</v>
      </c>
      <c r="AA560">
        <v>0</v>
      </c>
      <c r="AB560">
        <v>0.62650602409638556</v>
      </c>
      <c r="AC560">
        <v>5.2208835341365459E-2</v>
      </c>
      <c r="AD560">
        <v>6.0240963855421686E-2</v>
      </c>
      <c r="AE560">
        <v>0.27309236947791166</v>
      </c>
      <c r="AF560">
        <v>0</v>
      </c>
      <c r="AG560">
        <v>7.6305220883534142E-2</v>
      </c>
      <c r="AH560">
        <v>8.0321285140562242E-3</v>
      </c>
      <c r="AI560">
        <v>0.11646586345381527</v>
      </c>
      <c r="AJ560">
        <v>6.8273092369477914E-2</v>
      </c>
      <c r="AL560" s="1">
        <v>1.6064257028112448E-2</v>
      </c>
      <c r="AN560" t="s">
        <v>105</v>
      </c>
      <c r="AO560">
        <v>83</v>
      </c>
      <c r="AP560" s="2">
        <v>0.19</v>
      </c>
      <c r="AQ560">
        <v>244</v>
      </c>
      <c r="AT560" s="1">
        <v>0.63855421686746983</v>
      </c>
      <c r="AU560" s="1">
        <v>0.47389558232931728</v>
      </c>
    </row>
    <row r="561" spans="1:47" x14ac:dyDescent="0.3">
      <c r="A561" t="s">
        <v>192</v>
      </c>
      <c r="B561">
        <v>0</v>
      </c>
      <c r="C561" s="1">
        <v>0.76706827309236947</v>
      </c>
      <c r="D561">
        <v>0.25301204819277107</v>
      </c>
      <c r="E561">
        <v>2.4096385542168676E-2</v>
      </c>
      <c r="F561">
        <v>0.32931726907630521</v>
      </c>
      <c r="G561">
        <v>0</v>
      </c>
      <c r="H561">
        <v>4.0160642570281121E-3</v>
      </c>
      <c r="I561">
        <v>5.2208835341365459E-2</v>
      </c>
      <c r="J561">
        <v>4.0160642570281121E-3</v>
      </c>
      <c r="K561">
        <v>3.2128514056224897E-2</v>
      </c>
      <c r="L561">
        <v>0</v>
      </c>
      <c r="M561">
        <v>0.45783132530120479</v>
      </c>
      <c r="N561">
        <v>0.75903614457831325</v>
      </c>
      <c r="O561">
        <v>0.71084337349397586</v>
      </c>
      <c r="P561">
        <v>0.67871485943775101</v>
      </c>
      <c r="Q561">
        <v>0</v>
      </c>
      <c r="R561">
        <v>0.14859437751004015</v>
      </c>
      <c r="S561">
        <v>8.0321285140562242E-3</v>
      </c>
      <c r="T561">
        <v>6.4257028112449793E-2</v>
      </c>
      <c r="U561">
        <v>1.2048192771084338E-2</v>
      </c>
      <c r="V561">
        <v>0</v>
      </c>
      <c r="W561">
        <v>0.12048192771084337</v>
      </c>
      <c r="X561">
        <v>0.41365461847389556</v>
      </c>
      <c r="Y561">
        <v>0.91967871485943775</v>
      </c>
      <c r="Z561">
        <v>0.33734939759036142</v>
      </c>
      <c r="AA561">
        <v>0</v>
      </c>
      <c r="AB561">
        <v>0.42168674698795183</v>
      </c>
      <c r="AC561">
        <v>0.63453815261044177</v>
      </c>
      <c r="AD561">
        <v>1.6064257028112448E-2</v>
      </c>
      <c r="AE561">
        <v>9.2369477911646583E-2</v>
      </c>
      <c r="AF561">
        <v>0</v>
      </c>
      <c r="AG561">
        <v>0.64658634538152615</v>
      </c>
      <c r="AH561">
        <v>0.42570281124497994</v>
      </c>
      <c r="AI561">
        <v>0.10441767068273092</v>
      </c>
      <c r="AJ561">
        <v>0.47389558232931728</v>
      </c>
      <c r="AL561" s="1">
        <v>0.1606425702811245</v>
      </c>
      <c r="AN561" t="s">
        <v>59</v>
      </c>
      <c r="AO561">
        <v>19</v>
      </c>
      <c r="AP561" s="2">
        <v>0.32666666666666666</v>
      </c>
      <c r="AQ561">
        <v>203</v>
      </c>
      <c r="AT561" s="1">
        <v>0.42168674698795183</v>
      </c>
      <c r="AU561" s="1">
        <v>0.13253012048192772</v>
      </c>
    </row>
    <row r="562" spans="1:47" x14ac:dyDescent="0.3">
      <c r="A562" t="s">
        <v>193</v>
      </c>
      <c r="B562">
        <v>0</v>
      </c>
      <c r="C562" s="1">
        <v>0.45783132530120479</v>
      </c>
      <c r="D562">
        <v>8.8353413654618476E-2</v>
      </c>
      <c r="E562">
        <v>0.10441767068273092</v>
      </c>
      <c r="F562">
        <v>0.28915662650602408</v>
      </c>
      <c r="G562">
        <v>0</v>
      </c>
      <c r="H562">
        <v>0.17670682730923695</v>
      </c>
      <c r="I562">
        <v>0.2289156626506024</v>
      </c>
      <c r="J562">
        <v>0.31726907630522089</v>
      </c>
      <c r="K562">
        <v>0.18072289156626506</v>
      </c>
      <c r="L562">
        <v>0</v>
      </c>
      <c r="M562">
        <v>0.48192771084337349</v>
      </c>
      <c r="N562">
        <v>0.39357429718875503</v>
      </c>
      <c r="O562">
        <v>4.0160642570281124E-2</v>
      </c>
      <c r="P562">
        <v>0.38554216867469882</v>
      </c>
      <c r="Q562">
        <v>0</v>
      </c>
      <c r="R562">
        <v>0.30120481927710846</v>
      </c>
      <c r="S562">
        <v>4.0160642570281124E-2</v>
      </c>
      <c r="T562">
        <v>2.8112449799196786E-2</v>
      </c>
      <c r="U562">
        <v>0.13654618473895583</v>
      </c>
      <c r="V562">
        <v>0</v>
      </c>
      <c r="W562">
        <v>0.40160642570281124</v>
      </c>
      <c r="X562">
        <v>0.59437751004016059</v>
      </c>
      <c r="Y562">
        <v>2.8112449799196786E-2</v>
      </c>
      <c r="Z562">
        <v>0.54216867469879515</v>
      </c>
      <c r="AA562">
        <v>0</v>
      </c>
      <c r="AB562">
        <v>0.15662650602409639</v>
      </c>
      <c r="AC562">
        <v>0.66265060240963858</v>
      </c>
      <c r="AD562">
        <v>8.4337349397590355E-2</v>
      </c>
      <c r="AE562">
        <v>8.0321285140562242E-3</v>
      </c>
      <c r="AF562">
        <v>0</v>
      </c>
      <c r="AG562">
        <v>0.44578313253012047</v>
      </c>
      <c r="AH562">
        <v>0.17269076305220885</v>
      </c>
      <c r="AI562">
        <v>3.2128514056224897E-2</v>
      </c>
      <c r="AJ562">
        <v>0.30522088353413657</v>
      </c>
      <c r="AL562" s="1">
        <v>0.18875502008032127</v>
      </c>
      <c r="AN562" t="s">
        <v>63</v>
      </c>
      <c r="AO562">
        <v>59</v>
      </c>
      <c r="AP562" s="2">
        <v>0.3</v>
      </c>
      <c r="AQ562">
        <v>211</v>
      </c>
      <c r="AT562" s="1">
        <v>0.90763052208835338</v>
      </c>
      <c r="AU562" s="1">
        <v>0.15662650602409639</v>
      </c>
    </row>
    <row r="563" spans="1:47" x14ac:dyDescent="0.3">
      <c r="A563" t="s">
        <v>194</v>
      </c>
      <c r="B563">
        <v>0</v>
      </c>
      <c r="C563" s="1">
        <v>0.56224899598393574</v>
      </c>
      <c r="D563">
        <v>0.62650602409638556</v>
      </c>
      <c r="E563">
        <v>3.614457831325301E-2</v>
      </c>
      <c r="F563">
        <v>0.5381526104417671</v>
      </c>
      <c r="G563">
        <v>0</v>
      </c>
      <c r="H563">
        <v>0.18875502008032127</v>
      </c>
      <c r="I563">
        <v>0.38152610441767071</v>
      </c>
      <c r="J563">
        <v>0.46184738955823296</v>
      </c>
      <c r="K563">
        <v>0.26104417670682734</v>
      </c>
      <c r="L563">
        <v>0</v>
      </c>
      <c r="M563">
        <v>0.43373493975903615</v>
      </c>
      <c r="N563">
        <v>0.6224899598393574</v>
      </c>
      <c r="O563">
        <v>0.38554216867469882</v>
      </c>
      <c r="P563">
        <v>0.54618473895582331</v>
      </c>
      <c r="Q563">
        <v>0</v>
      </c>
      <c r="R563">
        <v>0.54618473895582331</v>
      </c>
      <c r="S563">
        <v>0.4859437751004016</v>
      </c>
      <c r="T563">
        <v>0.10040160642570281</v>
      </c>
      <c r="U563">
        <v>0.40963855421686746</v>
      </c>
      <c r="V563">
        <v>0</v>
      </c>
      <c r="W563">
        <v>0.59839357429718876</v>
      </c>
      <c r="X563">
        <v>0.84337349397590367</v>
      </c>
      <c r="Y563">
        <v>0.32931726907630521</v>
      </c>
      <c r="Z563">
        <v>0.69477911646586343</v>
      </c>
      <c r="AA563">
        <v>0</v>
      </c>
      <c r="AB563">
        <v>2.4096385542168676E-2</v>
      </c>
      <c r="AC563">
        <v>0.17269076305220885</v>
      </c>
      <c r="AD563">
        <v>2.4096385542168676E-2</v>
      </c>
      <c r="AE563">
        <v>7.6305220883534142E-2</v>
      </c>
      <c r="AF563">
        <v>0</v>
      </c>
      <c r="AG563">
        <v>0.49397590361445781</v>
      </c>
      <c r="AH563">
        <v>0.68273092369477917</v>
      </c>
      <c r="AI563">
        <v>7.2289156626506021E-2</v>
      </c>
      <c r="AJ563">
        <v>0.54216867469879515</v>
      </c>
      <c r="AL563" s="1">
        <v>0.46987951807228917</v>
      </c>
      <c r="AN563" t="s">
        <v>87</v>
      </c>
      <c r="AO563">
        <v>58</v>
      </c>
      <c r="AP563" s="2">
        <v>0.39333333333333331</v>
      </c>
      <c r="AQ563">
        <v>183</v>
      </c>
      <c r="AT563" s="1">
        <v>0.31325301204819278</v>
      </c>
      <c r="AU563" s="1">
        <v>0.73493975903614461</v>
      </c>
    </row>
    <row r="564" spans="1:47" x14ac:dyDescent="0.3">
      <c r="A564" t="s">
        <v>195</v>
      </c>
      <c r="B564">
        <v>0</v>
      </c>
      <c r="C564" s="1">
        <v>0.58232931726907633</v>
      </c>
      <c r="D564">
        <v>0.54618473895582331</v>
      </c>
      <c r="E564">
        <v>0.6987951807228916</v>
      </c>
      <c r="F564">
        <v>0.48995983935742971</v>
      </c>
      <c r="G564">
        <v>0</v>
      </c>
      <c r="H564">
        <v>0.57028112449799195</v>
      </c>
      <c r="I564">
        <v>0.57429718875502012</v>
      </c>
      <c r="J564">
        <v>0.59036144578313254</v>
      </c>
      <c r="K564">
        <v>0.59839357429718876</v>
      </c>
      <c r="L564">
        <v>0</v>
      </c>
      <c r="M564">
        <v>0.71084337349397586</v>
      </c>
      <c r="N564">
        <v>0.26907630522088355</v>
      </c>
      <c r="O564">
        <v>0.25702811244979917</v>
      </c>
      <c r="P564">
        <v>0.41365461847389556</v>
      </c>
      <c r="Q564">
        <v>0</v>
      </c>
      <c r="R564">
        <v>0.78714859437751006</v>
      </c>
      <c r="S564">
        <v>0.59839357429718876</v>
      </c>
      <c r="T564">
        <v>0.65461847389558236</v>
      </c>
      <c r="U564">
        <v>0.64658634538152615</v>
      </c>
      <c r="V564">
        <v>0</v>
      </c>
      <c r="W564">
        <v>0.54216867469879515</v>
      </c>
      <c r="X564">
        <v>0.26506024096385544</v>
      </c>
      <c r="Y564">
        <v>4.4176706827309238E-2</v>
      </c>
      <c r="Z564">
        <v>0.40562248995983935</v>
      </c>
      <c r="AA564">
        <v>0</v>
      </c>
      <c r="AB564">
        <v>0.74698795180722888</v>
      </c>
      <c r="AC564">
        <v>0.17670682730923695</v>
      </c>
      <c r="AD564">
        <v>0.67871485943775101</v>
      </c>
      <c r="AE564">
        <v>0.32128514056224899</v>
      </c>
      <c r="AF564">
        <v>0</v>
      </c>
      <c r="AG564">
        <v>0.65863453815261042</v>
      </c>
      <c r="AH564">
        <v>0.38152610441767071</v>
      </c>
      <c r="AI564">
        <v>0.46184738955823296</v>
      </c>
      <c r="AJ564">
        <v>0.45381526104417669</v>
      </c>
      <c r="AL564" s="1">
        <v>0.63453815261044177</v>
      </c>
      <c r="AN564" t="s">
        <v>68</v>
      </c>
      <c r="AO564">
        <v>82</v>
      </c>
      <c r="AP564" s="2">
        <v>0.76</v>
      </c>
      <c r="AQ564">
        <v>73</v>
      </c>
      <c r="AT564" s="1">
        <v>0.34538152610441769</v>
      </c>
      <c r="AU564" s="1">
        <v>0.7831325301204819</v>
      </c>
    </row>
    <row r="565" spans="1:47" x14ac:dyDescent="0.3">
      <c r="A565" t="s">
        <v>196</v>
      </c>
      <c r="B565">
        <v>0</v>
      </c>
      <c r="C565" s="1">
        <v>0.21285140562248997</v>
      </c>
      <c r="D565">
        <v>2.8112449799196786E-2</v>
      </c>
      <c r="E565">
        <v>0.20481927710843373</v>
      </c>
      <c r="F565">
        <v>9.6385542168674704E-2</v>
      </c>
      <c r="G565">
        <v>0</v>
      </c>
      <c r="H565">
        <v>4.0160642570281121E-3</v>
      </c>
      <c r="I565">
        <v>0.33333333333333331</v>
      </c>
      <c r="J565">
        <v>0.18875502008032127</v>
      </c>
      <c r="K565">
        <v>0.18072289156626506</v>
      </c>
      <c r="L565">
        <v>0</v>
      </c>
      <c r="M565">
        <v>0.21285140562248997</v>
      </c>
      <c r="N565">
        <v>0.56224899598393574</v>
      </c>
      <c r="O565">
        <v>0.28915662650602408</v>
      </c>
      <c r="P565">
        <v>0.56224899598393574</v>
      </c>
      <c r="Q565">
        <v>0</v>
      </c>
      <c r="R565">
        <v>0.59036144578313254</v>
      </c>
      <c r="S565">
        <v>0.36546184738955823</v>
      </c>
      <c r="T565">
        <v>0.6987951807228916</v>
      </c>
      <c r="U565">
        <v>0.53413654618473894</v>
      </c>
      <c r="V565">
        <v>0</v>
      </c>
      <c r="W565">
        <v>0.93975903614457834</v>
      </c>
      <c r="X565">
        <v>0.90763052208835338</v>
      </c>
      <c r="Y565">
        <v>0.88353413654618473</v>
      </c>
      <c r="Z565">
        <v>0.96787148594377514</v>
      </c>
      <c r="AA565">
        <v>0</v>
      </c>
      <c r="AB565">
        <v>0.24096385542168675</v>
      </c>
      <c r="AC565">
        <v>0.7269076305220884</v>
      </c>
      <c r="AD565">
        <v>0.32931726907630521</v>
      </c>
      <c r="AE565">
        <v>0.25702811244979917</v>
      </c>
      <c r="AF565">
        <v>0</v>
      </c>
      <c r="AG565">
        <v>0.20883534136546184</v>
      </c>
      <c r="AH565">
        <v>0.14457831325301204</v>
      </c>
      <c r="AI565">
        <v>0.21686746987951808</v>
      </c>
      <c r="AJ565">
        <v>0.22088353413654618</v>
      </c>
      <c r="AL565" s="1">
        <v>0.32128514056224899</v>
      </c>
      <c r="AN565" t="s">
        <v>74</v>
      </c>
      <c r="AO565">
        <v>24</v>
      </c>
      <c r="AP565" s="2">
        <v>0.40333333333333332</v>
      </c>
      <c r="AQ565">
        <v>180</v>
      </c>
      <c r="AT565" s="1">
        <v>0.87550200803212852</v>
      </c>
      <c r="AU565" s="1">
        <v>0.79116465863453811</v>
      </c>
    </row>
    <row r="566" spans="1:47" x14ac:dyDescent="0.3">
      <c r="A566" t="s">
        <v>197</v>
      </c>
      <c r="B566">
        <v>0</v>
      </c>
      <c r="C566" s="1">
        <v>0.44578313253012047</v>
      </c>
      <c r="D566">
        <v>0.44979919678714858</v>
      </c>
      <c r="E566">
        <v>0.73493975903614461</v>
      </c>
      <c r="F566">
        <v>0.40963855421686746</v>
      </c>
      <c r="G566">
        <v>0</v>
      </c>
      <c r="H566">
        <v>0.33333333333333331</v>
      </c>
      <c r="I566">
        <v>0.78714859437751006</v>
      </c>
      <c r="J566">
        <v>0.74698795180722888</v>
      </c>
      <c r="K566">
        <v>0.69477911646586343</v>
      </c>
      <c r="L566">
        <v>0</v>
      </c>
      <c r="M566">
        <v>0.49397590361445781</v>
      </c>
      <c r="N566">
        <v>0.38152610441767071</v>
      </c>
      <c r="O566">
        <v>0.73092369477911645</v>
      </c>
      <c r="P566">
        <v>0.38955823293172692</v>
      </c>
      <c r="Q566">
        <v>0</v>
      </c>
      <c r="R566">
        <v>0.89558232931726911</v>
      </c>
      <c r="S566">
        <v>0.89156626506024095</v>
      </c>
      <c r="T566">
        <v>0.95180722891566261</v>
      </c>
      <c r="U566">
        <v>0.87951807228915657</v>
      </c>
      <c r="V566">
        <v>0</v>
      </c>
      <c r="W566">
        <v>0.89558232931726911</v>
      </c>
      <c r="X566">
        <v>0.78714859437751006</v>
      </c>
      <c r="Y566">
        <v>0.97991967871485941</v>
      </c>
      <c r="Z566">
        <v>0.89959839357429716</v>
      </c>
      <c r="AA566">
        <v>0</v>
      </c>
      <c r="AB566">
        <v>0.66666666666666663</v>
      </c>
      <c r="AC566">
        <v>0.40562248995983935</v>
      </c>
      <c r="AD566">
        <v>0.85943775100401609</v>
      </c>
      <c r="AE566">
        <v>0.90361445783132532</v>
      </c>
      <c r="AF566">
        <v>0</v>
      </c>
      <c r="AG566">
        <v>0.44979919678714858</v>
      </c>
      <c r="AH566">
        <v>0.37751004016064255</v>
      </c>
      <c r="AI566">
        <v>0.82329317269076308</v>
      </c>
      <c r="AJ566">
        <v>0.36546184738955823</v>
      </c>
      <c r="AL566" s="1">
        <v>0.66265060240963858</v>
      </c>
      <c r="AN566" t="s">
        <v>86</v>
      </c>
      <c r="AO566">
        <v>76</v>
      </c>
      <c r="AP566" s="2">
        <v>0.75666666666666671</v>
      </c>
      <c r="AQ566">
        <v>74</v>
      </c>
      <c r="AT566" s="1">
        <v>0.40160642570281124</v>
      </c>
      <c r="AU566" s="1">
        <v>0.75903614457831325</v>
      </c>
    </row>
    <row r="567" spans="1:47" x14ac:dyDescent="0.3">
      <c r="A567" t="s">
        <v>198</v>
      </c>
      <c r="B567">
        <v>0</v>
      </c>
      <c r="C567" s="1">
        <v>0.36947791164658633</v>
      </c>
      <c r="D567">
        <v>0.38955823293172692</v>
      </c>
      <c r="E567">
        <v>0.2289156626506024</v>
      </c>
      <c r="F567">
        <v>0.27710843373493976</v>
      </c>
      <c r="G567">
        <v>0</v>
      </c>
      <c r="H567">
        <v>0.33333333333333331</v>
      </c>
      <c r="I567">
        <v>0.28915662650602408</v>
      </c>
      <c r="J567">
        <v>0.31726907630522089</v>
      </c>
      <c r="K567">
        <v>0.26104417670682734</v>
      </c>
      <c r="L567">
        <v>0</v>
      </c>
      <c r="M567">
        <v>0.53012048192771088</v>
      </c>
      <c r="N567">
        <v>0.86746987951807231</v>
      </c>
      <c r="O567">
        <v>0.91164658634538154</v>
      </c>
      <c r="P567">
        <v>0.74297188755020083</v>
      </c>
      <c r="Q567">
        <v>0</v>
      </c>
      <c r="R567">
        <v>0.32128514056224899</v>
      </c>
      <c r="S567">
        <v>0.61044176706827313</v>
      </c>
      <c r="T567">
        <v>0.52208835341365467</v>
      </c>
      <c r="U567">
        <v>0.44578313253012047</v>
      </c>
      <c r="V567">
        <v>0</v>
      </c>
      <c r="W567">
        <v>0.36144578313253012</v>
      </c>
      <c r="X567">
        <v>0.57831325301204817</v>
      </c>
      <c r="Y567">
        <v>0.67871485943775101</v>
      </c>
      <c r="Z567">
        <v>0.55823293172690758</v>
      </c>
      <c r="AA567">
        <v>0</v>
      </c>
      <c r="AB567">
        <v>0.58232931726907633</v>
      </c>
      <c r="AC567">
        <v>0.23694779116465864</v>
      </c>
      <c r="AD567">
        <v>0.40963855421686746</v>
      </c>
      <c r="AE567">
        <v>0.79116465863453811</v>
      </c>
      <c r="AF567">
        <v>0</v>
      </c>
      <c r="AG567">
        <v>0.40160642570281124</v>
      </c>
      <c r="AH567">
        <v>0.59437751004016059</v>
      </c>
      <c r="AI567">
        <v>0.6224899598393574</v>
      </c>
      <c r="AJ567">
        <v>0.46586345381526106</v>
      </c>
      <c r="AL567" s="1">
        <v>0.34538152610441769</v>
      </c>
      <c r="AN567" t="s">
        <v>75</v>
      </c>
      <c r="AO567">
        <v>79</v>
      </c>
      <c r="AP567" s="2">
        <v>0.5033333333333333</v>
      </c>
      <c r="AQ567">
        <v>150</v>
      </c>
      <c r="AT567" s="1">
        <v>0.25301204819277107</v>
      </c>
      <c r="AU567" s="1">
        <v>0.57028112449799195</v>
      </c>
    </row>
    <row r="568" spans="1:47" x14ac:dyDescent="0.3">
      <c r="A568" t="s">
        <v>199</v>
      </c>
      <c r="B568">
        <v>0</v>
      </c>
      <c r="C568" s="1">
        <v>0.85140562248995988</v>
      </c>
      <c r="D568">
        <v>0.72289156626506024</v>
      </c>
      <c r="E568">
        <v>0.3534136546184739</v>
      </c>
      <c r="F568">
        <v>0.67871485943775101</v>
      </c>
      <c r="G568">
        <v>0</v>
      </c>
      <c r="H568">
        <v>0.22489959839357429</v>
      </c>
      <c r="I568">
        <v>0.45783132530120479</v>
      </c>
      <c r="J568">
        <v>0.65461847389558236</v>
      </c>
      <c r="K568">
        <v>0.34136546184738958</v>
      </c>
      <c r="L568">
        <v>0</v>
      </c>
      <c r="M568">
        <v>0.39357429718875503</v>
      </c>
      <c r="N568">
        <v>0.53012048192771088</v>
      </c>
      <c r="O568">
        <v>0.30923694779116467</v>
      </c>
      <c r="P568">
        <v>0.38955823293172692</v>
      </c>
      <c r="Q568">
        <v>0</v>
      </c>
      <c r="R568">
        <v>0.64257028112449799</v>
      </c>
      <c r="S568">
        <v>0.63453815261044177</v>
      </c>
      <c r="T568">
        <v>0.56224899598393574</v>
      </c>
      <c r="U568">
        <v>0.4859437751004016</v>
      </c>
      <c r="V568">
        <v>0</v>
      </c>
      <c r="W568">
        <v>0.22088353413654618</v>
      </c>
      <c r="X568">
        <v>0.57028112449799195</v>
      </c>
      <c r="Y568">
        <v>0.51004016064257029</v>
      </c>
      <c r="Z568">
        <v>0.36144578313253012</v>
      </c>
      <c r="AA568">
        <v>0</v>
      </c>
      <c r="AB568">
        <v>0.41365461847389556</v>
      </c>
      <c r="AC568">
        <v>0.31325301204819278</v>
      </c>
      <c r="AD568">
        <v>0.15261044176706828</v>
      </c>
      <c r="AE568">
        <v>0.17269076305220885</v>
      </c>
      <c r="AF568">
        <v>0</v>
      </c>
      <c r="AG568">
        <v>0.69477911646586343</v>
      </c>
      <c r="AH568">
        <v>0.66265060240963858</v>
      </c>
      <c r="AI568">
        <v>0.31325301204819278</v>
      </c>
      <c r="AJ568">
        <v>0.56224899598393574</v>
      </c>
      <c r="AL568" s="1">
        <v>0.47389558232931728</v>
      </c>
      <c r="AN568" t="s">
        <v>59</v>
      </c>
      <c r="AO568">
        <v>77</v>
      </c>
      <c r="AP568" s="2">
        <v>0.53666666666666663</v>
      </c>
      <c r="AQ568">
        <v>140</v>
      </c>
      <c r="AT568" s="1">
        <v>0.94377510040160639</v>
      </c>
      <c r="AU568" s="1">
        <v>0.75903614457831325</v>
      </c>
    </row>
    <row r="569" spans="1:47" x14ac:dyDescent="0.3">
      <c r="A569" t="s">
        <v>200</v>
      </c>
      <c r="B569">
        <v>0</v>
      </c>
      <c r="C569" s="1">
        <v>0.44578313253012047</v>
      </c>
      <c r="D569">
        <v>0.30120481927710846</v>
      </c>
      <c r="E569">
        <v>0.53413654618473894</v>
      </c>
      <c r="F569">
        <v>0.39759036144578314</v>
      </c>
      <c r="G569">
        <v>0</v>
      </c>
      <c r="H569">
        <v>0.94377510040160639</v>
      </c>
      <c r="I569">
        <v>0.13253012048192772</v>
      </c>
      <c r="J569">
        <v>0.13654618473895583</v>
      </c>
      <c r="K569">
        <v>0.48995983935742971</v>
      </c>
      <c r="L569">
        <v>0</v>
      </c>
      <c r="M569">
        <v>0.84738955823293172</v>
      </c>
      <c r="N569">
        <v>0.89558232931726911</v>
      </c>
      <c r="O569">
        <v>0.71485943775100402</v>
      </c>
      <c r="P569">
        <v>0.91566265060240959</v>
      </c>
      <c r="Q569">
        <v>0</v>
      </c>
      <c r="R569">
        <v>0.87148594377510036</v>
      </c>
      <c r="S569">
        <v>0.67871485943775101</v>
      </c>
      <c r="T569">
        <v>0.84738955823293172</v>
      </c>
      <c r="U569">
        <v>0.83534136546184734</v>
      </c>
      <c r="V569">
        <v>0</v>
      </c>
      <c r="W569">
        <v>0.85542168674698793</v>
      </c>
      <c r="X569">
        <v>0.98795180722891562</v>
      </c>
      <c r="Y569">
        <v>0.93975903614457834</v>
      </c>
      <c r="Z569">
        <v>0.91967871485943775</v>
      </c>
      <c r="AA569">
        <v>0</v>
      </c>
      <c r="AB569">
        <v>0.55020080321285136</v>
      </c>
      <c r="AC569">
        <v>0.24096385542168675</v>
      </c>
      <c r="AD569">
        <v>0.62650602409638556</v>
      </c>
      <c r="AE569">
        <v>0.54216867469879515</v>
      </c>
      <c r="AF569">
        <v>0</v>
      </c>
      <c r="AG569">
        <v>0.63855421686746983</v>
      </c>
      <c r="AH569">
        <v>0.54216867469879515</v>
      </c>
      <c r="AI569">
        <v>0.65863453815261042</v>
      </c>
      <c r="AJ569">
        <v>0.6987951807228916</v>
      </c>
      <c r="AL569" s="1">
        <v>0.84337349397590367</v>
      </c>
      <c r="AN569" t="s">
        <v>52</v>
      </c>
      <c r="AO569">
        <v>63</v>
      </c>
      <c r="AP569" s="2">
        <v>0.86</v>
      </c>
      <c r="AQ569">
        <v>43</v>
      </c>
      <c r="AT569" s="1">
        <v>0.20883534136546184</v>
      </c>
      <c r="AU569" s="1">
        <v>0.85943775100401609</v>
      </c>
    </row>
    <row r="570" spans="1:47" x14ac:dyDescent="0.3">
      <c r="A570" t="s">
        <v>201</v>
      </c>
      <c r="B570">
        <v>0</v>
      </c>
      <c r="C570" s="1">
        <v>0.73895582329317266</v>
      </c>
      <c r="D570">
        <v>0.50602409638554213</v>
      </c>
      <c r="E570">
        <v>0.90361445783132532</v>
      </c>
      <c r="F570">
        <v>0.51807228915662651</v>
      </c>
      <c r="G570">
        <v>0</v>
      </c>
      <c r="H570">
        <v>0.77510040160642568</v>
      </c>
      <c r="I570">
        <v>0.98795180722891562</v>
      </c>
      <c r="J570">
        <v>0.63052208835341361</v>
      </c>
      <c r="K570">
        <v>0.95582329317269077</v>
      </c>
      <c r="L570">
        <v>0</v>
      </c>
      <c r="M570">
        <v>0.46184738955823296</v>
      </c>
      <c r="N570">
        <v>0.1606425702811245</v>
      </c>
      <c r="O570">
        <v>0.46586345381526106</v>
      </c>
      <c r="P570">
        <v>0.27710843373493976</v>
      </c>
      <c r="Q570">
        <v>0</v>
      </c>
      <c r="R570">
        <v>0.99196787148594379</v>
      </c>
      <c r="S570">
        <v>0.84337349397590367</v>
      </c>
      <c r="T570">
        <v>0.95582329317269077</v>
      </c>
      <c r="U570">
        <v>0.8875502008032129</v>
      </c>
      <c r="V570">
        <v>0</v>
      </c>
      <c r="W570">
        <v>0.81526104417670686</v>
      </c>
      <c r="X570">
        <v>0.46987951807228917</v>
      </c>
      <c r="Y570">
        <v>0.57028112449799195</v>
      </c>
      <c r="Z570">
        <v>0.58232931726907633</v>
      </c>
      <c r="AA570">
        <v>0</v>
      </c>
      <c r="AB570">
        <v>0.8393574297188755</v>
      </c>
      <c r="AC570">
        <v>0.59036144578313254</v>
      </c>
      <c r="AD570">
        <v>0.89558232931726911</v>
      </c>
      <c r="AE570">
        <v>0.79116465863453811</v>
      </c>
      <c r="AF570">
        <v>0</v>
      </c>
      <c r="AG570">
        <v>0.61044176706827313</v>
      </c>
      <c r="AH570">
        <v>0.28915662650602408</v>
      </c>
      <c r="AI570">
        <v>0.77108433734939763</v>
      </c>
      <c r="AJ570">
        <v>0.37349397590361444</v>
      </c>
      <c r="AL570" s="1">
        <v>0.8393574297188755</v>
      </c>
      <c r="AN570" t="s">
        <v>202</v>
      </c>
      <c r="AO570">
        <v>48</v>
      </c>
      <c r="AP570" s="2">
        <v>0.91333333333333333</v>
      </c>
      <c r="AQ570">
        <v>27</v>
      </c>
      <c r="AT570" s="1">
        <v>0.55020080321285136</v>
      </c>
      <c r="AU570" s="1">
        <v>0.22489959839357429</v>
      </c>
    </row>
    <row r="571" spans="1:47" x14ac:dyDescent="0.3">
      <c r="A571" t="s">
        <v>203</v>
      </c>
      <c r="B571">
        <v>0</v>
      </c>
      <c r="C571" s="1">
        <v>0.52208835341365467</v>
      </c>
      <c r="D571">
        <v>0.40562248995983935</v>
      </c>
      <c r="E571">
        <v>0.58634538152610438</v>
      </c>
      <c r="F571">
        <v>0.38152610441767071</v>
      </c>
      <c r="G571">
        <v>0</v>
      </c>
      <c r="H571">
        <v>0.65863453815261042</v>
      </c>
      <c r="I571">
        <v>0.63453815261044177</v>
      </c>
      <c r="J571">
        <v>0.36144578313253012</v>
      </c>
      <c r="K571">
        <v>0.67068273092369479</v>
      </c>
      <c r="L571">
        <v>0</v>
      </c>
      <c r="M571">
        <v>0.29317269076305219</v>
      </c>
      <c r="N571">
        <v>0.45381526104417669</v>
      </c>
      <c r="O571">
        <v>0.18473895582329317</v>
      </c>
      <c r="P571">
        <v>0.61445783132530118</v>
      </c>
      <c r="Q571">
        <v>0</v>
      </c>
      <c r="R571">
        <v>0.27309236947791166</v>
      </c>
      <c r="S571">
        <v>0.10040160642570281</v>
      </c>
      <c r="T571">
        <v>0.12449799196787148</v>
      </c>
      <c r="U571">
        <v>0.12449799196787148</v>
      </c>
      <c r="V571">
        <v>0</v>
      </c>
      <c r="W571">
        <v>0.3534136546184739</v>
      </c>
      <c r="X571">
        <v>0.15662650602409639</v>
      </c>
      <c r="Y571">
        <v>1.6064257028112448E-2</v>
      </c>
      <c r="Z571">
        <v>0.38955823293172692</v>
      </c>
      <c r="AA571">
        <v>0</v>
      </c>
      <c r="AB571">
        <v>4.4176706827309238E-2</v>
      </c>
      <c r="AC571">
        <v>0.70281124497991965</v>
      </c>
      <c r="AD571">
        <v>0.49397590361445781</v>
      </c>
      <c r="AE571">
        <v>0.38955823293172692</v>
      </c>
      <c r="AF571">
        <v>0</v>
      </c>
      <c r="AG571">
        <v>0.40562248995983935</v>
      </c>
      <c r="AH571">
        <v>0.40963855421686746</v>
      </c>
      <c r="AI571">
        <v>0.32128514056224899</v>
      </c>
      <c r="AJ571">
        <v>0.46586345381526106</v>
      </c>
      <c r="AL571" s="1">
        <v>0.38152610441767071</v>
      </c>
      <c r="AN571" t="s">
        <v>51</v>
      </c>
      <c r="AO571">
        <v>22</v>
      </c>
      <c r="AP571" s="2">
        <v>0.35666666666666669</v>
      </c>
      <c r="AQ571">
        <v>194</v>
      </c>
      <c r="AT571" s="1">
        <v>0.53012048192771088</v>
      </c>
      <c r="AU571" s="1">
        <v>0.82730923694779113</v>
      </c>
    </row>
    <row r="572" spans="1:47" x14ac:dyDescent="0.3">
      <c r="A572" t="s">
        <v>204</v>
      </c>
      <c r="B572">
        <v>0</v>
      </c>
      <c r="C572" s="1">
        <v>0.91164658634538154</v>
      </c>
      <c r="D572">
        <v>0.90763052208835338</v>
      </c>
      <c r="E572">
        <v>0.74698795180722888</v>
      </c>
      <c r="F572">
        <v>0.90763052208835338</v>
      </c>
      <c r="G572">
        <v>0</v>
      </c>
      <c r="H572">
        <v>0.80321285140562249</v>
      </c>
      <c r="I572">
        <v>0.17269076305220885</v>
      </c>
      <c r="J572">
        <v>0.36144578313253012</v>
      </c>
      <c r="K572">
        <v>0.32128514056224899</v>
      </c>
      <c r="L572">
        <v>0</v>
      </c>
      <c r="M572">
        <v>0.99196787148594379</v>
      </c>
      <c r="N572">
        <v>0.89959839357429716</v>
      </c>
      <c r="O572">
        <v>0.92771084337349397</v>
      </c>
      <c r="P572">
        <v>0.99196787148594379</v>
      </c>
      <c r="Q572">
        <v>0</v>
      </c>
      <c r="R572">
        <v>0.1646586345381526</v>
      </c>
      <c r="S572">
        <v>0.37751004016064255</v>
      </c>
      <c r="T572">
        <v>0.69076305220883538</v>
      </c>
      <c r="U572">
        <v>0.40963855421686746</v>
      </c>
      <c r="V572">
        <v>0</v>
      </c>
      <c r="W572">
        <v>0.87148594377510036</v>
      </c>
      <c r="X572">
        <v>0.58634538152610438</v>
      </c>
      <c r="Y572">
        <v>0.7269076305220884</v>
      </c>
      <c r="Z572">
        <v>0.73895582329317266</v>
      </c>
      <c r="AA572">
        <v>0</v>
      </c>
      <c r="AB572">
        <v>0.11646586345381527</v>
      </c>
      <c r="AC572">
        <v>0.81526104417670686</v>
      </c>
      <c r="AD572">
        <v>0.57831325301204817</v>
      </c>
      <c r="AE572">
        <v>0.59839357429718876</v>
      </c>
      <c r="AF572">
        <v>0</v>
      </c>
      <c r="AG572">
        <v>0.99196787148594379</v>
      </c>
      <c r="AH572">
        <v>0.95983935742971882</v>
      </c>
      <c r="AI572">
        <v>0.93975903614457834</v>
      </c>
      <c r="AJ572">
        <v>0.99196787148594379</v>
      </c>
      <c r="AL572" s="1">
        <v>0.89156626506024095</v>
      </c>
      <c r="AN572" t="s">
        <v>72</v>
      </c>
      <c r="AO572">
        <v>78</v>
      </c>
      <c r="AP572" s="2">
        <v>0.75</v>
      </c>
      <c r="AQ572">
        <v>76</v>
      </c>
      <c r="AT572" s="1">
        <v>0.36144578313253012</v>
      </c>
      <c r="AU572" s="1">
        <v>0.25301204819277107</v>
      </c>
    </row>
    <row r="573" spans="1:47" x14ac:dyDescent="0.3">
      <c r="A573" t="s">
        <v>205</v>
      </c>
      <c r="B573">
        <v>0</v>
      </c>
      <c r="C573" s="1">
        <v>0.63855421686746983</v>
      </c>
      <c r="D573">
        <v>0.34538152610441769</v>
      </c>
      <c r="E573">
        <v>0.78714859437751006</v>
      </c>
      <c r="F573">
        <v>0.44176706827309237</v>
      </c>
      <c r="G573">
        <v>0</v>
      </c>
      <c r="H573">
        <v>0.86746987951807231</v>
      </c>
      <c r="I573">
        <v>0.66265060240963858</v>
      </c>
      <c r="J573">
        <v>0.51004016064257029</v>
      </c>
      <c r="K573">
        <v>0.82329317269076308</v>
      </c>
      <c r="L573">
        <v>0</v>
      </c>
      <c r="M573">
        <v>0.87148594377510036</v>
      </c>
      <c r="N573">
        <v>0.69477911646586343</v>
      </c>
      <c r="O573">
        <v>0.45783132530120479</v>
      </c>
      <c r="P573">
        <v>0.75903614457831325</v>
      </c>
      <c r="Q573">
        <v>0</v>
      </c>
      <c r="R573">
        <v>0.54216867469879515</v>
      </c>
      <c r="S573">
        <v>0.66265060240963858</v>
      </c>
      <c r="T573">
        <v>0.20883534136546184</v>
      </c>
      <c r="U573">
        <v>0.4859437751004016</v>
      </c>
      <c r="V573">
        <v>0</v>
      </c>
      <c r="W573">
        <v>0.45381526104417669</v>
      </c>
      <c r="X573">
        <v>0.46586345381526106</v>
      </c>
      <c r="Y573">
        <v>0.32931726907630521</v>
      </c>
      <c r="Z573">
        <v>0.44979919678714858</v>
      </c>
      <c r="AA573">
        <v>0</v>
      </c>
      <c r="AB573">
        <v>0.5381526104417671</v>
      </c>
      <c r="AC573">
        <v>7.6305220883534142E-2</v>
      </c>
      <c r="AD573">
        <v>0.77510040160642568</v>
      </c>
      <c r="AE573">
        <v>0.36546184738955823</v>
      </c>
      <c r="AF573">
        <v>0</v>
      </c>
      <c r="AG573">
        <v>0.82329317269076308</v>
      </c>
      <c r="AH573">
        <v>0.4859437751004016</v>
      </c>
      <c r="AI573">
        <v>0.63052208835341361</v>
      </c>
      <c r="AJ573">
        <v>0.60240963855421692</v>
      </c>
      <c r="AL573" s="1">
        <v>0.74698795180722888</v>
      </c>
      <c r="AN573" t="s">
        <v>64</v>
      </c>
      <c r="AO573">
        <v>75</v>
      </c>
      <c r="AP573" s="2">
        <v>0.79</v>
      </c>
      <c r="AQ573">
        <v>64</v>
      </c>
      <c r="AT573" s="1">
        <v>0.2289156626506024</v>
      </c>
      <c r="AU573" s="1">
        <v>0.4859437751004016</v>
      </c>
    </row>
    <row r="574" spans="1:47" x14ac:dyDescent="0.3">
      <c r="A574" t="s">
        <v>206</v>
      </c>
      <c r="B574">
        <v>0</v>
      </c>
      <c r="C574" s="1">
        <v>0.4859437751004016</v>
      </c>
      <c r="D574">
        <v>0.55421686746987953</v>
      </c>
      <c r="E574">
        <v>0.19277108433734941</v>
      </c>
      <c r="F574">
        <v>0.47791164658634538</v>
      </c>
      <c r="G574">
        <v>0</v>
      </c>
      <c r="H574">
        <v>0.59036144578313254</v>
      </c>
      <c r="I574">
        <v>0.14056224899598393</v>
      </c>
      <c r="J574">
        <v>4.0160642570281121E-3</v>
      </c>
      <c r="K574">
        <v>0.2289156626506024</v>
      </c>
      <c r="L574">
        <v>0</v>
      </c>
      <c r="M574">
        <v>0.44578313253012047</v>
      </c>
      <c r="N574">
        <v>0.54618473895582331</v>
      </c>
      <c r="O574">
        <v>0.63453815261044177</v>
      </c>
      <c r="P574">
        <v>0.61445783132530118</v>
      </c>
      <c r="Q574">
        <v>0</v>
      </c>
      <c r="R574">
        <v>0.13654618473895583</v>
      </c>
      <c r="S574">
        <v>0.14457831325301204</v>
      </c>
      <c r="T574">
        <v>7.6305220883534142E-2</v>
      </c>
      <c r="U574">
        <v>8.0321285140562249E-2</v>
      </c>
      <c r="V574">
        <v>0</v>
      </c>
      <c r="W574">
        <v>0.46586345381526106</v>
      </c>
      <c r="X574">
        <v>0.33734939759036142</v>
      </c>
      <c r="Y574">
        <v>0.73895582329317266</v>
      </c>
      <c r="Z574">
        <v>0.43373493975903615</v>
      </c>
      <c r="AA574">
        <v>0</v>
      </c>
      <c r="AB574">
        <v>0.26907630522088355</v>
      </c>
      <c r="AC574">
        <v>0.27309236947791166</v>
      </c>
      <c r="AD574">
        <v>0.1646586345381526</v>
      </c>
      <c r="AE574">
        <v>0.40160642570281124</v>
      </c>
      <c r="AF574">
        <v>0</v>
      </c>
      <c r="AG574">
        <v>0.44176706827309237</v>
      </c>
      <c r="AH574">
        <v>0.53012048192771088</v>
      </c>
      <c r="AI574">
        <v>0.35742971887550201</v>
      </c>
      <c r="AJ574">
        <v>0.5381526104417671</v>
      </c>
      <c r="AL574" s="1">
        <v>0.31726907630522089</v>
      </c>
      <c r="AN574" t="s">
        <v>79</v>
      </c>
      <c r="AO574">
        <v>56</v>
      </c>
      <c r="AP574" s="2">
        <v>0.40666666666666668</v>
      </c>
      <c r="AQ574">
        <v>179</v>
      </c>
      <c r="AT574" s="1">
        <v>0.17670682730923695</v>
      </c>
      <c r="AU574" s="1">
        <v>0.37349397590361444</v>
      </c>
    </row>
    <row r="575" spans="1:47" x14ac:dyDescent="0.3">
      <c r="A575" t="s">
        <v>207</v>
      </c>
      <c r="B575">
        <v>0</v>
      </c>
      <c r="C575" s="1">
        <v>0.24096385542168675</v>
      </c>
      <c r="D575">
        <v>0.57831325301204817</v>
      </c>
      <c r="E575">
        <v>0.38955823293172692</v>
      </c>
      <c r="F575">
        <v>0.45381526104417669</v>
      </c>
      <c r="G575">
        <v>0</v>
      </c>
      <c r="H575">
        <v>0.65863453815261042</v>
      </c>
      <c r="I575">
        <v>0.19277108433734941</v>
      </c>
      <c r="J575">
        <v>0.2289156626506024</v>
      </c>
      <c r="K575">
        <v>0.27710843373493976</v>
      </c>
      <c r="L575">
        <v>0</v>
      </c>
      <c r="M575">
        <v>0.3253012048192771</v>
      </c>
      <c r="N575">
        <v>0.58634538152610438</v>
      </c>
      <c r="O575">
        <v>0.55020080321285136</v>
      </c>
      <c r="P575">
        <v>0.52610441767068272</v>
      </c>
      <c r="Q575">
        <v>0</v>
      </c>
      <c r="R575">
        <v>0.10843373493975904</v>
      </c>
      <c r="S575">
        <v>0.42570281124497994</v>
      </c>
      <c r="T575">
        <v>0.26506024096385544</v>
      </c>
      <c r="U575">
        <v>0.33333333333333331</v>
      </c>
      <c r="V575">
        <v>0</v>
      </c>
      <c r="W575">
        <v>0.14457831325301204</v>
      </c>
      <c r="X575">
        <v>0.25301204819277107</v>
      </c>
      <c r="Y575">
        <v>0.19277108433734941</v>
      </c>
      <c r="Z575">
        <v>0.19277108433734941</v>
      </c>
      <c r="AA575">
        <v>0</v>
      </c>
      <c r="AB575">
        <v>0.47389558232931728</v>
      </c>
      <c r="AC575">
        <v>2.0080321285140562E-2</v>
      </c>
      <c r="AD575">
        <v>0.51004016064257029</v>
      </c>
      <c r="AE575">
        <v>0.6224899598393574</v>
      </c>
      <c r="AF575">
        <v>0</v>
      </c>
      <c r="AG575">
        <v>0.28112449799196787</v>
      </c>
      <c r="AH575">
        <v>0.58232931726907633</v>
      </c>
      <c r="AI575">
        <v>0.46987951807228917</v>
      </c>
      <c r="AJ575">
        <v>0.45783132530120479</v>
      </c>
      <c r="AL575" s="1">
        <v>0.20481927710843373</v>
      </c>
      <c r="AN575" t="s">
        <v>84</v>
      </c>
      <c r="AO575">
        <v>82</v>
      </c>
      <c r="AP575" s="2">
        <v>0.36666666666666664</v>
      </c>
      <c r="AQ575">
        <v>191</v>
      </c>
      <c r="AT575" s="1">
        <v>0.14056224899598393</v>
      </c>
      <c r="AU575" s="1">
        <v>0.80722891566265065</v>
      </c>
    </row>
    <row r="576" spans="1:47" x14ac:dyDescent="0.3">
      <c r="A576" t="s">
        <v>208</v>
      </c>
      <c r="B576">
        <v>0</v>
      </c>
      <c r="C576" s="1">
        <v>0.69477911646586343</v>
      </c>
      <c r="D576">
        <v>0.57831325301204817</v>
      </c>
      <c r="E576">
        <v>0.6224899598393574</v>
      </c>
      <c r="F576">
        <v>0.51807228915662651</v>
      </c>
      <c r="G576">
        <v>0</v>
      </c>
      <c r="H576">
        <v>0.91967871485943775</v>
      </c>
      <c r="I576">
        <v>0.52610441767068272</v>
      </c>
      <c r="J576">
        <v>0.57028112449799195</v>
      </c>
      <c r="K576">
        <v>0.79919678714859432</v>
      </c>
      <c r="L576">
        <v>0</v>
      </c>
      <c r="M576">
        <v>0.72289156626506024</v>
      </c>
      <c r="N576">
        <v>0.9718875502008032</v>
      </c>
      <c r="O576">
        <v>0.96385542168674698</v>
      </c>
      <c r="P576">
        <v>0.94779116465863456</v>
      </c>
      <c r="Q576">
        <v>0</v>
      </c>
      <c r="R576">
        <v>0.77108433734939763</v>
      </c>
      <c r="S576">
        <v>0.89959839357429716</v>
      </c>
      <c r="T576">
        <v>0.89959839357429716</v>
      </c>
      <c r="U576">
        <v>0.79116465863453811</v>
      </c>
      <c r="V576">
        <v>0</v>
      </c>
      <c r="W576">
        <v>0.67469879518072284</v>
      </c>
      <c r="X576">
        <v>0.86345381526104414</v>
      </c>
      <c r="Y576">
        <v>0.91967871485943775</v>
      </c>
      <c r="Z576">
        <v>0.8393574297188755</v>
      </c>
      <c r="AA576">
        <v>0</v>
      </c>
      <c r="AB576">
        <v>0.5662650602409639</v>
      </c>
      <c r="AC576">
        <v>0.37751004016064255</v>
      </c>
      <c r="AD576">
        <v>0.59036144578313254</v>
      </c>
      <c r="AE576">
        <v>0.93975903614457834</v>
      </c>
      <c r="AF576">
        <v>0</v>
      </c>
      <c r="AG576">
        <v>0.74698795180722888</v>
      </c>
      <c r="AH576">
        <v>0.92771084337349397</v>
      </c>
      <c r="AI576">
        <v>0.95983935742971882</v>
      </c>
      <c r="AJ576">
        <v>0.82730923694779113</v>
      </c>
      <c r="AL576" s="1">
        <v>0.8875502008032129</v>
      </c>
      <c r="AN576" t="s">
        <v>75</v>
      </c>
      <c r="AO576">
        <v>79</v>
      </c>
      <c r="AP576" s="2">
        <v>0.90333333333333332</v>
      </c>
      <c r="AQ576">
        <v>30</v>
      </c>
      <c r="AT576" s="1">
        <v>0.89156626506024095</v>
      </c>
      <c r="AU576" s="1">
        <v>0.17269076305220885</v>
      </c>
    </row>
    <row r="577" spans="1:47" x14ac:dyDescent="0.3">
      <c r="A577" t="s">
        <v>209</v>
      </c>
      <c r="B577">
        <v>0</v>
      </c>
      <c r="C577" s="1">
        <v>4.0160642570281121E-3</v>
      </c>
      <c r="D577">
        <v>1.2048192771084338E-2</v>
      </c>
      <c r="E577">
        <v>2.8112449799196786E-2</v>
      </c>
      <c r="F577">
        <v>8.0321285140562242E-3</v>
      </c>
      <c r="G577">
        <v>0</v>
      </c>
      <c r="H577">
        <v>0.51807228915662651</v>
      </c>
      <c r="I577">
        <v>0.38152610441767071</v>
      </c>
      <c r="J577">
        <v>0.2289156626506024</v>
      </c>
      <c r="K577">
        <v>0.37349397590361444</v>
      </c>
      <c r="L577">
        <v>0</v>
      </c>
      <c r="M577">
        <v>0.27710843373493976</v>
      </c>
      <c r="N577">
        <v>0.85943775100401609</v>
      </c>
      <c r="O577">
        <v>0.13654618473895583</v>
      </c>
      <c r="P577">
        <v>0.58232931726907633</v>
      </c>
      <c r="Q577">
        <v>0</v>
      </c>
      <c r="R577">
        <v>6.0240963855421686E-2</v>
      </c>
      <c r="S577">
        <v>0.43373493975903615</v>
      </c>
      <c r="T577">
        <v>0.30120481927710846</v>
      </c>
      <c r="U577">
        <v>0.11646586345381527</v>
      </c>
      <c r="V577">
        <v>0</v>
      </c>
      <c r="W577">
        <v>0.63855421686746983</v>
      </c>
      <c r="X577">
        <v>0.95180722891566261</v>
      </c>
      <c r="Y577">
        <v>0.23694779116465864</v>
      </c>
      <c r="Z577">
        <v>0.86746987951807231</v>
      </c>
      <c r="AA577">
        <v>0</v>
      </c>
      <c r="AB577">
        <v>0.30522088353413657</v>
      </c>
      <c r="AC577">
        <v>1.6064257028112448E-2</v>
      </c>
      <c r="AD577">
        <v>0.20481927710843373</v>
      </c>
      <c r="AE577">
        <v>0.10843373493975904</v>
      </c>
      <c r="AF577">
        <v>0</v>
      </c>
      <c r="AG577">
        <v>2.4096385542168676E-2</v>
      </c>
      <c r="AH577">
        <v>0.19277108433734941</v>
      </c>
      <c r="AI577">
        <v>2.0080321285140562E-2</v>
      </c>
      <c r="AJ577">
        <v>5.6224899598393573E-2</v>
      </c>
      <c r="AL577" s="1">
        <v>0.13253012048192772</v>
      </c>
      <c r="AN577" t="s">
        <v>70</v>
      </c>
      <c r="AO577">
        <v>44</v>
      </c>
      <c r="AP577" s="2">
        <v>0.28666666666666668</v>
      </c>
      <c r="AQ577">
        <v>215</v>
      </c>
      <c r="AT577" s="1">
        <v>0.25301204819277107</v>
      </c>
      <c r="AU577" s="1">
        <v>0.95582329317269077</v>
      </c>
    </row>
    <row r="578" spans="1:47" x14ac:dyDescent="0.3">
      <c r="A578" t="s">
        <v>210</v>
      </c>
      <c r="B578">
        <v>0</v>
      </c>
      <c r="C578" s="1">
        <v>0.75100401606425704</v>
      </c>
      <c r="D578">
        <v>0.85140562248995988</v>
      </c>
      <c r="E578">
        <v>0.8393574297188755</v>
      </c>
      <c r="F578">
        <v>0.80722891566265065</v>
      </c>
      <c r="G578">
        <v>0</v>
      </c>
      <c r="H578">
        <v>0.16867469879518071</v>
      </c>
      <c r="I578">
        <v>0.43373493975903615</v>
      </c>
      <c r="J578">
        <v>0.39759036144578314</v>
      </c>
      <c r="K578">
        <v>0.27710843373493976</v>
      </c>
      <c r="L578">
        <v>0</v>
      </c>
      <c r="M578">
        <v>0.89156626506024095</v>
      </c>
      <c r="N578">
        <v>0.81526104417670686</v>
      </c>
      <c r="O578">
        <v>0.24096385542168675</v>
      </c>
      <c r="P578">
        <v>0.68273092369477917</v>
      </c>
      <c r="Q578">
        <v>0</v>
      </c>
      <c r="R578">
        <v>0.93172690763052213</v>
      </c>
      <c r="S578">
        <v>0.67871485943775101</v>
      </c>
      <c r="T578">
        <v>0.86345381526104414</v>
      </c>
      <c r="U578">
        <v>0.79919678714859432</v>
      </c>
      <c r="V578">
        <v>0</v>
      </c>
      <c r="W578">
        <v>0.93172690763052213</v>
      </c>
      <c r="X578">
        <v>0.63453815261044177</v>
      </c>
      <c r="Y578">
        <v>0.61445783132530118</v>
      </c>
      <c r="Z578">
        <v>0.55823293172690758</v>
      </c>
      <c r="AA578">
        <v>0</v>
      </c>
      <c r="AB578">
        <v>0.67068273092369479</v>
      </c>
      <c r="AC578">
        <v>0.68273092369477917</v>
      </c>
      <c r="AD578">
        <v>0.70682730923694781</v>
      </c>
      <c r="AE578">
        <v>0.22489959839357429</v>
      </c>
      <c r="AF578">
        <v>0</v>
      </c>
      <c r="AG578">
        <v>0.89558232931726911</v>
      </c>
      <c r="AH578">
        <v>0.91164658634538154</v>
      </c>
      <c r="AI578">
        <v>0.50200803212851408</v>
      </c>
      <c r="AJ578">
        <v>0.85542168674698793</v>
      </c>
      <c r="AL578" s="1">
        <v>0.82730923694779113</v>
      </c>
      <c r="AN578" t="s">
        <v>211</v>
      </c>
      <c r="AO578">
        <v>54</v>
      </c>
      <c r="AP578" s="2">
        <v>0.8833333333333333</v>
      </c>
      <c r="AQ578">
        <v>36</v>
      </c>
      <c r="AT578" s="1">
        <v>0.71887550200803207</v>
      </c>
      <c r="AU578" s="1">
        <v>0.30120481927710846</v>
      </c>
    </row>
    <row r="579" spans="1:47" x14ac:dyDescent="0.3">
      <c r="A579" t="s">
        <v>212</v>
      </c>
      <c r="B579">
        <v>0</v>
      </c>
      <c r="C579" s="1">
        <v>0.8875502008032129</v>
      </c>
      <c r="D579">
        <v>0.75903614457831325</v>
      </c>
      <c r="E579">
        <v>0.82730923694779113</v>
      </c>
      <c r="F579">
        <v>0.90361445783132532</v>
      </c>
      <c r="G579">
        <v>0</v>
      </c>
      <c r="H579">
        <v>0.45783132530120479</v>
      </c>
      <c r="I579">
        <v>0.84738955823293172</v>
      </c>
      <c r="J579">
        <v>0.49799196787148592</v>
      </c>
      <c r="K579">
        <v>0.81526104417670686</v>
      </c>
      <c r="L579">
        <v>0</v>
      </c>
      <c r="M579">
        <v>0.42168674698795183</v>
      </c>
      <c r="N579">
        <v>0.51807228915662651</v>
      </c>
      <c r="O579">
        <v>0.27710843373493976</v>
      </c>
      <c r="P579">
        <v>0.48995983935742971</v>
      </c>
      <c r="Q579">
        <v>0</v>
      </c>
      <c r="R579">
        <v>0.51405622489959835</v>
      </c>
      <c r="S579">
        <v>0.13654618473895583</v>
      </c>
      <c r="T579">
        <v>0.6987951807228916</v>
      </c>
      <c r="U579">
        <v>0.40963855421686746</v>
      </c>
      <c r="V579">
        <v>0</v>
      </c>
      <c r="W579">
        <v>0.44176706827309237</v>
      </c>
      <c r="X579">
        <v>0.53413654618473894</v>
      </c>
      <c r="Y579">
        <v>0.20080321285140562</v>
      </c>
      <c r="Z579">
        <v>0.49397590361445781</v>
      </c>
      <c r="AA579">
        <v>0</v>
      </c>
      <c r="AB579">
        <v>0.6987951807228916</v>
      </c>
      <c r="AC579">
        <v>0.2971887550200803</v>
      </c>
      <c r="AD579">
        <v>0.55421686746987953</v>
      </c>
      <c r="AE579">
        <v>0.45783132530120479</v>
      </c>
      <c r="AF579">
        <v>0</v>
      </c>
      <c r="AG579">
        <v>0.75100401606425704</v>
      </c>
      <c r="AH579">
        <v>0.69076305220883538</v>
      </c>
      <c r="AI579">
        <v>0.5662650602409639</v>
      </c>
      <c r="AJ579">
        <v>0.84337349397590367</v>
      </c>
      <c r="AL579" s="1">
        <v>0.71084337349397586</v>
      </c>
      <c r="AN579" t="s">
        <v>79</v>
      </c>
      <c r="AO579">
        <v>61</v>
      </c>
      <c r="AP579" s="2">
        <v>0.80666666666666664</v>
      </c>
      <c r="AQ579">
        <v>59</v>
      </c>
      <c r="AT579" s="1">
        <v>0.83132530120481929</v>
      </c>
      <c r="AU579" s="1">
        <v>5.2208835341365459E-2</v>
      </c>
    </row>
    <row r="580" spans="1:47" x14ac:dyDescent="0.3">
      <c r="A580" t="s">
        <v>213</v>
      </c>
      <c r="B580">
        <v>0</v>
      </c>
      <c r="C580" s="1">
        <v>0.21686746987951808</v>
      </c>
      <c r="D580">
        <v>0.20481927710843373</v>
      </c>
      <c r="E580">
        <v>7.6305220883534142E-2</v>
      </c>
      <c r="F580">
        <v>0.2289156626506024</v>
      </c>
      <c r="G580">
        <v>0</v>
      </c>
      <c r="H580">
        <v>0.51807228915662651</v>
      </c>
      <c r="I580">
        <v>0.20883534136546184</v>
      </c>
      <c r="J580">
        <v>6.4257028112449793E-2</v>
      </c>
      <c r="K580">
        <v>0.25702811244979917</v>
      </c>
      <c r="L580">
        <v>0</v>
      </c>
      <c r="M580">
        <v>0.18875502008032127</v>
      </c>
      <c r="N580">
        <v>0.23694779116465864</v>
      </c>
      <c r="O580">
        <v>0.50200803212851408</v>
      </c>
      <c r="P580">
        <v>0.19678714859437751</v>
      </c>
      <c r="Q580">
        <v>0</v>
      </c>
      <c r="R580">
        <v>0.18473895582329317</v>
      </c>
      <c r="S580">
        <v>0.10040160642570281</v>
      </c>
      <c r="T580">
        <v>0.12851405622489959</v>
      </c>
      <c r="U580">
        <v>0.10040160642570281</v>
      </c>
      <c r="V580">
        <v>0</v>
      </c>
      <c r="W580">
        <v>0.47389558232931728</v>
      </c>
      <c r="X580">
        <v>0.34538152610441769</v>
      </c>
      <c r="Y580">
        <v>0.23694779116465864</v>
      </c>
      <c r="Z580">
        <v>0.48192771084337349</v>
      </c>
      <c r="AA580">
        <v>0</v>
      </c>
      <c r="AB580">
        <v>0.22489959839357429</v>
      </c>
      <c r="AC580">
        <v>0.13654618473895583</v>
      </c>
      <c r="AD580">
        <v>0.15662650602409639</v>
      </c>
      <c r="AE580">
        <v>0.38955823293172692</v>
      </c>
      <c r="AF580">
        <v>0</v>
      </c>
      <c r="AG580">
        <v>0.18473895582329317</v>
      </c>
      <c r="AH580">
        <v>0.18473895582329317</v>
      </c>
      <c r="AI580">
        <v>0.18875502008032127</v>
      </c>
      <c r="AJ580">
        <v>0.16867469879518071</v>
      </c>
      <c r="AL580" s="1">
        <v>0.10040160642570281</v>
      </c>
      <c r="AN580" t="s">
        <v>80</v>
      </c>
      <c r="AO580">
        <v>67</v>
      </c>
      <c r="AP580" s="2">
        <v>0.24333333333333335</v>
      </c>
      <c r="AQ580">
        <v>228</v>
      </c>
      <c r="AT580" s="1">
        <v>6.8273092369477914E-2</v>
      </c>
      <c r="AU580" s="1">
        <v>0.8875502008032129</v>
      </c>
    </row>
    <row r="581" spans="1:47" x14ac:dyDescent="0.3">
      <c r="A581" t="s">
        <v>214</v>
      </c>
      <c r="B581">
        <v>0</v>
      </c>
      <c r="C581" s="1">
        <v>0.12851405622489959</v>
      </c>
      <c r="D581">
        <v>0.37349397590361444</v>
      </c>
      <c r="E581">
        <v>0.30120481927710846</v>
      </c>
      <c r="F581">
        <v>0.17269076305220885</v>
      </c>
      <c r="G581">
        <v>0</v>
      </c>
      <c r="H581">
        <v>0.31325301204819278</v>
      </c>
      <c r="I581">
        <v>0.14859437751004015</v>
      </c>
      <c r="J581">
        <v>6.4257028112449793E-2</v>
      </c>
      <c r="K581">
        <v>0.15662650602409639</v>
      </c>
      <c r="L581">
        <v>0</v>
      </c>
      <c r="M581">
        <v>0.12449799196787148</v>
      </c>
      <c r="N581">
        <v>8.4337349397590355E-2</v>
      </c>
      <c r="O581">
        <v>8.0321285140562242E-3</v>
      </c>
      <c r="P581">
        <v>8.4337349397590355E-2</v>
      </c>
      <c r="Q581">
        <v>0</v>
      </c>
      <c r="R581">
        <v>0.44979919678714858</v>
      </c>
      <c r="S581">
        <v>0.82730923694779113</v>
      </c>
      <c r="T581">
        <v>0.41767068273092367</v>
      </c>
      <c r="U581">
        <v>0.4859437751004016</v>
      </c>
      <c r="V581">
        <v>0</v>
      </c>
      <c r="W581">
        <v>0.21686746987951808</v>
      </c>
      <c r="X581">
        <v>0.21285140562248997</v>
      </c>
      <c r="Y581">
        <v>8.0321285140562242E-3</v>
      </c>
      <c r="Z581">
        <v>0.33734939759036142</v>
      </c>
      <c r="AA581">
        <v>0</v>
      </c>
      <c r="AB581">
        <v>0.46987951807228917</v>
      </c>
      <c r="AC581">
        <v>0.28514056224899598</v>
      </c>
      <c r="AD581">
        <v>0.49397590361445781</v>
      </c>
      <c r="AE581">
        <v>8.0321285140562242E-3</v>
      </c>
      <c r="AF581">
        <v>0</v>
      </c>
      <c r="AG581">
        <v>9.6385542168674704E-2</v>
      </c>
      <c r="AH581">
        <v>0.16867469879518071</v>
      </c>
      <c r="AI581">
        <v>4.0160642570281124E-2</v>
      </c>
      <c r="AJ581">
        <v>9.2369477911646583E-2</v>
      </c>
      <c r="AL581" s="1">
        <v>5.6224899598393573E-2</v>
      </c>
      <c r="AN581" t="s">
        <v>58</v>
      </c>
      <c r="AO581">
        <v>61</v>
      </c>
      <c r="AP581" s="2">
        <v>0.22666666666666666</v>
      </c>
      <c r="AQ581">
        <v>233</v>
      </c>
      <c r="AT581" s="1">
        <v>0.30923694779116467</v>
      </c>
      <c r="AU581" s="1">
        <v>0.79116465863453811</v>
      </c>
    </row>
    <row r="582" spans="1:47" x14ac:dyDescent="0.3">
      <c r="A582" t="s">
        <v>215</v>
      </c>
      <c r="B582">
        <v>0</v>
      </c>
      <c r="C582" s="1">
        <v>0.14457831325301204</v>
      </c>
      <c r="D582">
        <v>0.28514056224899598</v>
      </c>
      <c r="E582">
        <v>0.39759036144578314</v>
      </c>
      <c r="F582">
        <v>4.0160642570281124E-2</v>
      </c>
      <c r="G582">
        <v>0</v>
      </c>
      <c r="H582">
        <v>4.0160642570281121E-3</v>
      </c>
      <c r="I582">
        <v>0.1606425702811245</v>
      </c>
      <c r="J582">
        <v>0.26104417670682734</v>
      </c>
      <c r="K582">
        <v>8.0321285140562249E-2</v>
      </c>
      <c r="L582">
        <v>0</v>
      </c>
      <c r="M582">
        <v>0.98795180722891562</v>
      </c>
      <c r="N582">
        <v>1</v>
      </c>
      <c r="O582">
        <v>0.9718875502008032</v>
      </c>
      <c r="P582">
        <v>1</v>
      </c>
      <c r="Q582">
        <v>0</v>
      </c>
      <c r="R582">
        <v>7.6305220883534142E-2</v>
      </c>
      <c r="S582">
        <v>6.8273092369477914E-2</v>
      </c>
      <c r="T582">
        <v>9.2369477911646583E-2</v>
      </c>
      <c r="U582">
        <v>1.6064257028112448E-2</v>
      </c>
      <c r="V582">
        <v>0</v>
      </c>
      <c r="W582">
        <v>0.98393574297188757</v>
      </c>
      <c r="X582">
        <v>0.99598393574297184</v>
      </c>
      <c r="Y582">
        <v>0.96385542168674698</v>
      </c>
      <c r="Z582">
        <v>0.99598393574297184</v>
      </c>
      <c r="AA582">
        <v>0</v>
      </c>
      <c r="AB582">
        <v>4.8192771084337352E-2</v>
      </c>
      <c r="AC582">
        <v>0.53012048192771088</v>
      </c>
      <c r="AD582">
        <v>0.76305220883534142</v>
      </c>
      <c r="AE582">
        <v>0.87148594377510036</v>
      </c>
      <c r="AF582">
        <v>0</v>
      </c>
      <c r="AG582">
        <v>0.75502008032128509</v>
      </c>
      <c r="AH582">
        <v>0.97991967871485941</v>
      </c>
      <c r="AI582">
        <v>0.93172690763052213</v>
      </c>
      <c r="AJ582">
        <v>0.77108433734939763</v>
      </c>
      <c r="AL582" s="1">
        <v>0.43373493975903615</v>
      </c>
      <c r="AN582" t="s">
        <v>84</v>
      </c>
      <c r="AO582">
        <v>26</v>
      </c>
      <c r="AP582" s="2">
        <v>0.39666666666666667</v>
      </c>
      <c r="AQ582">
        <v>182</v>
      </c>
      <c r="AT582" s="1">
        <v>0.12048192771084337</v>
      </c>
      <c r="AU582" s="1">
        <v>0.42971887550200805</v>
      </c>
    </row>
    <row r="583" spans="1:47" x14ac:dyDescent="0.3">
      <c r="A583" t="s">
        <v>216</v>
      </c>
      <c r="B583">
        <v>0</v>
      </c>
      <c r="C583" s="1">
        <v>0.93975903614457834</v>
      </c>
      <c r="D583">
        <v>0.69477911646586343</v>
      </c>
      <c r="E583">
        <v>0.75903614457831325</v>
      </c>
      <c r="F583">
        <v>0.92771084337349397</v>
      </c>
      <c r="G583">
        <v>0</v>
      </c>
      <c r="H583">
        <v>0.75903614457831325</v>
      </c>
      <c r="I583">
        <v>0.63453815261044177</v>
      </c>
      <c r="J583">
        <v>0.78714859437751006</v>
      </c>
      <c r="K583">
        <v>0.69477911646586343</v>
      </c>
      <c r="L583">
        <v>0</v>
      </c>
      <c r="M583">
        <v>0.27309236947791166</v>
      </c>
      <c r="N583">
        <v>0.24497991967871485</v>
      </c>
      <c r="O583">
        <v>0.21285140562248997</v>
      </c>
      <c r="P583">
        <v>0.19678714859437751</v>
      </c>
      <c r="Q583">
        <v>0</v>
      </c>
      <c r="R583">
        <v>1</v>
      </c>
      <c r="S583">
        <v>0.93172690763052213</v>
      </c>
      <c r="T583">
        <v>0.83534136546184734</v>
      </c>
      <c r="U583">
        <v>0.98795180722891562</v>
      </c>
      <c r="V583">
        <v>0</v>
      </c>
      <c r="W583">
        <v>0.39357429718875503</v>
      </c>
      <c r="X583">
        <v>8.4337349397590355E-2</v>
      </c>
      <c r="Y583">
        <v>4.8192771084337352E-2</v>
      </c>
      <c r="Z583">
        <v>8.4337349397590355E-2</v>
      </c>
      <c r="AA583">
        <v>0</v>
      </c>
      <c r="AB583">
        <v>0.63453815261044177</v>
      </c>
      <c r="AC583">
        <v>0.90763052208835338</v>
      </c>
      <c r="AD583">
        <v>0.41767068273092367</v>
      </c>
      <c r="AE583">
        <v>0.20883534136546184</v>
      </c>
      <c r="AF583">
        <v>0</v>
      </c>
      <c r="AG583">
        <v>0.77510040160642568</v>
      </c>
      <c r="AH583">
        <v>0.46586345381526106</v>
      </c>
      <c r="AI583">
        <v>0.43373493975903615</v>
      </c>
      <c r="AJ583">
        <v>0.66265060240963858</v>
      </c>
      <c r="AL583" s="1">
        <v>0.82329317269076308</v>
      </c>
      <c r="AN583" t="s">
        <v>62</v>
      </c>
      <c r="AO583">
        <v>40</v>
      </c>
      <c r="AP583" s="2">
        <v>0.87333333333333329</v>
      </c>
      <c r="AQ583">
        <v>39</v>
      </c>
      <c r="AT583" s="1">
        <v>0.80722891566265065</v>
      </c>
      <c r="AU583" s="1">
        <v>0.4859437751004016</v>
      </c>
    </row>
    <row r="584" spans="1:47" x14ac:dyDescent="0.3">
      <c r="A584" t="s">
        <v>217</v>
      </c>
      <c r="B584">
        <v>0</v>
      </c>
      <c r="C584" s="1">
        <v>0.32931726907630521</v>
      </c>
      <c r="D584">
        <v>0.44578313253012047</v>
      </c>
      <c r="E584">
        <v>0.34538152610441769</v>
      </c>
      <c r="F584">
        <v>0.34538152610441769</v>
      </c>
      <c r="G584">
        <v>0</v>
      </c>
      <c r="H584">
        <v>0.8393574297188755</v>
      </c>
      <c r="I584">
        <v>0.59437751004016059</v>
      </c>
      <c r="J584">
        <v>0.89156626506024095</v>
      </c>
      <c r="K584">
        <v>0.71485943775100402</v>
      </c>
      <c r="L584">
        <v>0</v>
      </c>
      <c r="M584">
        <v>1.6064257028112448E-2</v>
      </c>
      <c r="N584">
        <v>4.0160642570281121E-3</v>
      </c>
      <c r="O584">
        <v>0.10441767068273092</v>
      </c>
      <c r="P584">
        <v>4.0160642570281121E-3</v>
      </c>
      <c r="Q584">
        <v>0</v>
      </c>
      <c r="R584">
        <v>0.57831325301204817</v>
      </c>
      <c r="S584">
        <v>0.73493975903614461</v>
      </c>
      <c r="T584">
        <v>0.64257028112449799</v>
      </c>
      <c r="U584">
        <v>0.63855421686746983</v>
      </c>
      <c r="V584">
        <v>0</v>
      </c>
      <c r="W584">
        <v>0.28915662650602408</v>
      </c>
      <c r="X584">
        <v>3.614457831325301E-2</v>
      </c>
      <c r="Y584">
        <v>0.26104417670682734</v>
      </c>
      <c r="Z584">
        <v>2.0080321285140562E-2</v>
      </c>
      <c r="AA584">
        <v>0</v>
      </c>
      <c r="AB584">
        <v>0.68273092369477917</v>
      </c>
      <c r="AC584">
        <v>0.6506024096385542</v>
      </c>
      <c r="AD584">
        <v>0.47791164658634538</v>
      </c>
      <c r="AE584">
        <v>0.57831325301204817</v>
      </c>
      <c r="AF584">
        <v>0</v>
      </c>
      <c r="AG584">
        <v>7.2289156626506021E-2</v>
      </c>
      <c r="AH584">
        <v>3.2128514056224897E-2</v>
      </c>
      <c r="AI584">
        <v>0.1646586345381526</v>
      </c>
      <c r="AJ584">
        <v>3.614457831325301E-2</v>
      </c>
      <c r="AL584" s="1">
        <v>0.27309236947791166</v>
      </c>
      <c r="AN584" t="s">
        <v>218</v>
      </c>
      <c r="AO584">
        <v>67</v>
      </c>
      <c r="AP584" s="2">
        <v>0.43333333333333335</v>
      </c>
      <c r="AQ584">
        <v>171</v>
      </c>
      <c r="AT584" s="1">
        <v>0.50200803212851408</v>
      </c>
      <c r="AU584" s="1">
        <v>0.21285140562248997</v>
      </c>
    </row>
    <row r="585" spans="1:47" x14ac:dyDescent="0.3">
      <c r="A585" t="s">
        <v>219</v>
      </c>
      <c r="B585">
        <v>0</v>
      </c>
      <c r="C585" s="1">
        <v>0.57831325301204817</v>
      </c>
      <c r="D585">
        <v>0.63453815261044177</v>
      </c>
      <c r="E585">
        <v>0.42168674698795183</v>
      </c>
      <c r="F585">
        <v>0.67871485943775101</v>
      </c>
      <c r="G585">
        <v>0</v>
      </c>
      <c r="H585">
        <v>0.14859437751004015</v>
      </c>
      <c r="I585">
        <v>0.52610441767068272</v>
      </c>
      <c r="J585">
        <v>0.90763052208835338</v>
      </c>
      <c r="K585">
        <v>0.34136546184738958</v>
      </c>
      <c r="L585">
        <v>0</v>
      </c>
      <c r="M585">
        <v>0.90763052208835338</v>
      </c>
      <c r="N585">
        <v>0.93975903614457834</v>
      </c>
      <c r="O585">
        <v>0.84738955823293172</v>
      </c>
      <c r="P585">
        <v>0.84738955823293172</v>
      </c>
      <c r="Q585">
        <v>0</v>
      </c>
      <c r="R585">
        <v>2.4096385542168676E-2</v>
      </c>
      <c r="S585">
        <v>2.0080321285140562E-2</v>
      </c>
      <c r="T585">
        <v>9.2369477911646583E-2</v>
      </c>
      <c r="U585">
        <v>2.8112449799196786E-2</v>
      </c>
      <c r="V585">
        <v>0</v>
      </c>
      <c r="W585">
        <v>0.6224899598393574</v>
      </c>
      <c r="X585">
        <v>0.43373493975903615</v>
      </c>
      <c r="Y585">
        <v>0.74698795180722888</v>
      </c>
      <c r="Z585">
        <v>0.38955823293172692</v>
      </c>
      <c r="AA585">
        <v>0</v>
      </c>
      <c r="AB585">
        <v>0.70682730923694781</v>
      </c>
      <c r="AC585">
        <v>0.32128514056224899</v>
      </c>
      <c r="AD585">
        <v>0.35742971887550201</v>
      </c>
      <c r="AE585">
        <v>0.47389558232931728</v>
      </c>
      <c r="AF585">
        <v>0</v>
      </c>
      <c r="AG585">
        <v>0.82730923694779113</v>
      </c>
      <c r="AH585">
        <v>0.87951807228915657</v>
      </c>
      <c r="AI585">
        <v>0.71887550200803207</v>
      </c>
      <c r="AJ585">
        <v>0.85943775100401609</v>
      </c>
      <c r="AL585" s="1">
        <v>0.49397590361445781</v>
      </c>
      <c r="AN585" t="s">
        <v>83</v>
      </c>
      <c r="AO585">
        <v>64</v>
      </c>
      <c r="AP585" s="2">
        <v>0.64333333333333331</v>
      </c>
      <c r="AQ585">
        <v>108</v>
      </c>
      <c r="AT585" s="1">
        <v>0.74297188755020083</v>
      </c>
      <c r="AU585" s="1">
        <v>0.30120481927710846</v>
      </c>
    </row>
    <row r="586" spans="1:47" x14ac:dyDescent="0.3">
      <c r="A586" t="s">
        <v>220</v>
      </c>
      <c r="B586">
        <v>0</v>
      </c>
      <c r="C586" s="1">
        <v>0.31726907630522089</v>
      </c>
      <c r="D586">
        <v>0.21686746987951808</v>
      </c>
      <c r="E586">
        <v>0.6224899598393574</v>
      </c>
      <c r="F586">
        <v>0.46586345381526106</v>
      </c>
      <c r="G586">
        <v>0</v>
      </c>
      <c r="H586">
        <v>0.37349397590361444</v>
      </c>
      <c r="I586">
        <v>0.48192771084337349</v>
      </c>
      <c r="J586">
        <v>0.53413654618473894</v>
      </c>
      <c r="K586">
        <v>0.39357429718875503</v>
      </c>
      <c r="L586">
        <v>0</v>
      </c>
      <c r="M586">
        <v>0.55421686746987953</v>
      </c>
      <c r="N586">
        <v>0.34538152610441769</v>
      </c>
      <c r="O586">
        <v>0.37349397590361444</v>
      </c>
      <c r="P586">
        <v>0.37751004016064255</v>
      </c>
      <c r="Q586">
        <v>0</v>
      </c>
      <c r="R586">
        <v>0.74698795180722888</v>
      </c>
      <c r="S586">
        <v>0.53413654618473894</v>
      </c>
      <c r="T586">
        <v>0.77510040160642568</v>
      </c>
      <c r="U586">
        <v>0.8875502008032129</v>
      </c>
      <c r="V586">
        <v>0</v>
      </c>
      <c r="W586">
        <v>0.76305220883534142</v>
      </c>
      <c r="X586">
        <v>0.83534136546184734</v>
      </c>
      <c r="Y586">
        <v>0.75903614457831325</v>
      </c>
      <c r="Z586">
        <v>0.87951807228915657</v>
      </c>
      <c r="AA586">
        <v>0</v>
      </c>
      <c r="AB586">
        <v>0.40160642570281124</v>
      </c>
      <c r="AC586">
        <v>0.31726907630522089</v>
      </c>
      <c r="AD586">
        <v>0.80722891566265065</v>
      </c>
      <c r="AE586">
        <v>0.66666666666666663</v>
      </c>
      <c r="AF586">
        <v>0</v>
      </c>
      <c r="AG586">
        <v>0.37349397590361444</v>
      </c>
      <c r="AH586">
        <v>0.23293172690763053</v>
      </c>
      <c r="AI586">
        <v>0.49397590361445781</v>
      </c>
      <c r="AJ586">
        <v>0.40963855421686746</v>
      </c>
      <c r="AL586" s="1">
        <v>0.57831325301204817</v>
      </c>
      <c r="AN586" t="s">
        <v>58</v>
      </c>
      <c r="AO586">
        <v>77</v>
      </c>
      <c r="AP586" s="2">
        <v>0.63</v>
      </c>
      <c r="AQ586">
        <v>112</v>
      </c>
      <c r="AT586" s="1">
        <v>0.57831325301204817</v>
      </c>
      <c r="AU586" s="1">
        <v>0.6987951807228916</v>
      </c>
    </row>
    <row r="587" spans="1:47" x14ac:dyDescent="0.3">
      <c r="A587" t="s">
        <v>221</v>
      </c>
      <c r="B587">
        <v>0</v>
      </c>
      <c r="C587" s="1">
        <v>0.27710843373493976</v>
      </c>
      <c r="D587">
        <v>4.8192771084337352E-2</v>
      </c>
      <c r="E587">
        <v>0.22088353413654618</v>
      </c>
      <c r="F587">
        <v>0.14859437751004015</v>
      </c>
      <c r="G587">
        <v>0</v>
      </c>
      <c r="H587">
        <v>0.27710843373493976</v>
      </c>
      <c r="I587">
        <v>0.3493975903614458</v>
      </c>
      <c r="J587">
        <v>0.51004016064257029</v>
      </c>
      <c r="K587">
        <v>0.27710843373493976</v>
      </c>
      <c r="L587">
        <v>0</v>
      </c>
      <c r="M587">
        <v>0.33734939759036142</v>
      </c>
      <c r="N587">
        <v>0.8875502008032129</v>
      </c>
      <c r="O587">
        <v>0.63855421686746983</v>
      </c>
      <c r="P587">
        <v>0.70281124497991965</v>
      </c>
      <c r="Q587">
        <v>0</v>
      </c>
      <c r="R587">
        <v>0.20481927710843373</v>
      </c>
      <c r="S587">
        <v>8.0321285140562249E-2</v>
      </c>
      <c r="T587">
        <v>0.53413654618473894</v>
      </c>
      <c r="U587">
        <v>0.18072289156626506</v>
      </c>
      <c r="V587">
        <v>0</v>
      </c>
      <c r="W587">
        <v>0.25301204819277107</v>
      </c>
      <c r="X587">
        <v>0.57028112449799195</v>
      </c>
      <c r="Y587">
        <v>0.17670682730923695</v>
      </c>
      <c r="Z587">
        <v>0.52610441767068272</v>
      </c>
      <c r="AA587">
        <v>0</v>
      </c>
      <c r="AB587">
        <v>0.19678714859437751</v>
      </c>
      <c r="AC587">
        <v>0.80321285140562249</v>
      </c>
      <c r="AD587">
        <v>0.38554216867469882</v>
      </c>
      <c r="AE587">
        <v>0.6224899598393574</v>
      </c>
      <c r="AF587">
        <v>0</v>
      </c>
      <c r="AG587">
        <v>0.2971887550200803</v>
      </c>
      <c r="AH587">
        <v>0.31726907630522089</v>
      </c>
      <c r="AI587">
        <v>0.38554216867469882</v>
      </c>
      <c r="AJ587">
        <v>0.33333333333333331</v>
      </c>
      <c r="AL587" s="1">
        <v>0.17269076305220885</v>
      </c>
      <c r="AN587" t="s">
        <v>75</v>
      </c>
      <c r="AO587">
        <v>73</v>
      </c>
      <c r="AP587" s="2">
        <v>0.32</v>
      </c>
      <c r="AQ587">
        <v>205</v>
      </c>
      <c r="AT587" s="1">
        <v>0.20883534136546184</v>
      </c>
      <c r="AU587" s="1">
        <v>0.52610441767068272</v>
      </c>
    </row>
    <row r="588" spans="1:47" x14ac:dyDescent="0.3">
      <c r="A588" t="s">
        <v>222</v>
      </c>
      <c r="B588">
        <v>0</v>
      </c>
      <c r="C588" s="1">
        <v>0.61847389558232935</v>
      </c>
      <c r="D588">
        <v>0.39357429718875503</v>
      </c>
      <c r="E588">
        <v>0.36144578313253012</v>
      </c>
      <c r="F588">
        <v>0.40963855421686746</v>
      </c>
      <c r="G588">
        <v>0</v>
      </c>
      <c r="H588">
        <v>0.26506024096385544</v>
      </c>
      <c r="I588">
        <v>0.20883534136546184</v>
      </c>
      <c r="J588">
        <v>6.4257028112449793E-2</v>
      </c>
      <c r="K588">
        <v>0.20481927710843373</v>
      </c>
      <c r="L588">
        <v>0</v>
      </c>
      <c r="M588">
        <v>0.73493975903614461</v>
      </c>
      <c r="N588">
        <v>0.87951807228915657</v>
      </c>
      <c r="O588">
        <v>0.95180722891566261</v>
      </c>
      <c r="P588">
        <v>0.75100401606425704</v>
      </c>
      <c r="Q588">
        <v>0</v>
      </c>
      <c r="R588">
        <v>0.75903614457831325</v>
      </c>
      <c r="S588">
        <v>0.7269076305220884</v>
      </c>
      <c r="T588">
        <v>0.83132530120481929</v>
      </c>
      <c r="U588">
        <v>0.74698795180722888</v>
      </c>
      <c r="V588">
        <v>0</v>
      </c>
      <c r="W588">
        <v>0.77911646586345384</v>
      </c>
      <c r="X588">
        <v>0.55823293172690758</v>
      </c>
      <c r="Y588">
        <v>0.86345381526104414</v>
      </c>
      <c r="Z588">
        <v>0.55823293172690758</v>
      </c>
      <c r="AA588">
        <v>0</v>
      </c>
      <c r="AB588">
        <v>0.82730923694779113</v>
      </c>
      <c r="AC588">
        <v>0.44176706827309237</v>
      </c>
      <c r="AD588">
        <v>0.39357429718875503</v>
      </c>
      <c r="AE588">
        <v>0.83132530120481929</v>
      </c>
      <c r="AF588">
        <v>0</v>
      </c>
      <c r="AG588">
        <v>0.67871485943775101</v>
      </c>
      <c r="AH588">
        <v>0.60240963855421692</v>
      </c>
      <c r="AI588">
        <v>0.85943775100401609</v>
      </c>
      <c r="AJ588">
        <v>0.57429718875502012</v>
      </c>
      <c r="AL588" s="1">
        <v>0.62650602409638556</v>
      </c>
      <c r="AN588" t="s">
        <v>75</v>
      </c>
      <c r="AO588">
        <v>60</v>
      </c>
      <c r="AP588" s="2">
        <v>0.77666666666666662</v>
      </c>
      <c r="AQ588">
        <v>68</v>
      </c>
      <c r="AT588" s="1">
        <v>0.40963855421686746</v>
      </c>
      <c r="AU588" s="1">
        <v>0.40160642570281124</v>
      </c>
    </row>
    <row r="589" spans="1:47" x14ac:dyDescent="0.3">
      <c r="A589" t="s">
        <v>223</v>
      </c>
      <c r="B589">
        <v>0</v>
      </c>
      <c r="C589" s="1">
        <v>0.91967871485943775</v>
      </c>
      <c r="D589">
        <v>0.8112449799196787</v>
      </c>
      <c r="E589">
        <v>0.95983935742971882</v>
      </c>
      <c r="F589">
        <v>0.79919678714859432</v>
      </c>
      <c r="G589">
        <v>0</v>
      </c>
      <c r="H589">
        <v>0.31325301204819278</v>
      </c>
      <c r="I589">
        <v>0.59437751004016059</v>
      </c>
      <c r="J589">
        <v>0.51004016064257029</v>
      </c>
      <c r="K589">
        <v>0.47791164658634538</v>
      </c>
      <c r="L589">
        <v>0</v>
      </c>
      <c r="M589">
        <v>0.59839357429718876</v>
      </c>
      <c r="N589">
        <v>0.91164658634538154</v>
      </c>
      <c r="O589">
        <v>0.52208835341365467</v>
      </c>
      <c r="P589">
        <v>0.79919678714859432</v>
      </c>
      <c r="Q589">
        <v>0</v>
      </c>
      <c r="R589">
        <v>0.71084337349397586</v>
      </c>
      <c r="S589">
        <v>0.20080321285140562</v>
      </c>
      <c r="T589">
        <v>0.91164658634538154</v>
      </c>
      <c r="U589">
        <v>0.19678714859437751</v>
      </c>
      <c r="V589">
        <v>0</v>
      </c>
      <c r="W589">
        <v>0.20883534136546184</v>
      </c>
      <c r="X589">
        <v>0.59437751004016059</v>
      </c>
      <c r="Y589">
        <v>0.25301204819277107</v>
      </c>
      <c r="Z589">
        <v>0.62650602409638556</v>
      </c>
      <c r="AA589">
        <v>0</v>
      </c>
      <c r="AB589">
        <v>0.74297188755020083</v>
      </c>
      <c r="AC589">
        <v>0.61847389558232935</v>
      </c>
      <c r="AD589">
        <v>0.84337349397590367</v>
      </c>
      <c r="AE589">
        <v>0.73493975903614461</v>
      </c>
      <c r="AF589">
        <v>0</v>
      </c>
      <c r="AG589">
        <v>0.85140562248995988</v>
      </c>
      <c r="AH589">
        <v>0.94377510040160639</v>
      </c>
      <c r="AI589">
        <v>0.85542168674698793</v>
      </c>
      <c r="AJ589">
        <v>0.88353413654618473</v>
      </c>
      <c r="AL589" s="1">
        <v>0.69477911646586343</v>
      </c>
      <c r="AN589" t="s">
        <v>83</v>
      </c>
      <c r="AO589">
        <v>80</v>
      </c>
      <c r="AP589" s="2">
        <v>0.81333333333333335</v>
      </c>
      <c r="AQ589">
        <v>57</v>
      </c>
      <c r="AT589" s="1">
        <v>0.33734939759036142</v>
      </c>
      <c r="AU589" s="1">
        <v>0.58634538152610438</v>
      </c>
    </row>
    <row r="590" spans="1:47" x14ac:dyDescent="0.3">
      <c r="A590" t="s">
        <v>224</v>
      </c>
      <c r="B590">
        <v>0</v>
      </c>
      <c r="C590" s="1">
        <v>0.43775100401606426</v>
      </c>
      <c r="D590">
        <v>0.43775100401606426</v>
      </c>
      <c r="E590">
        <v>0.68273092369477917</v>
      </c>
      <c r="F590">
        <v>0.47791164658634538</v>
      </c>
      <c r="G590">
        <v>0</v>
      </c>
      <c r="H590">
        <v>0.95983935742971882</v>
      </c>
      <c r="I590">
        <v>4.0160642570281121E-3</v>
      </c>
      <c r="J590">
        <v>4.0160642570281121E-3</v>
      </c>
      <c r="K590">
        <v>0.14056224899598393</v>
      </c>
      <c r="L590">
        <v>0</v>
      </c>
      <c r="M590">
        <v>0.11244979919678715</v>
      </c>
      <c r="N590">
        <v>4.4176706827309238E-2</v>
      </c>
      <c r="O590">
        <v>0.22489959839357429</v>
      </c>
      <c r="P590">
        <v>8.8353413654618476E-2</v>
      </c>
      <c r="Q590">
        <v>0</v>
      </c>
      <c r="R590">
        <v>0.83132530120481929</v>
      </c>
      <c r="S590">
        <v>0.8112449799196787</v>
      </c>
      <c r="T590">
        <v>0.9718875502008032</v>
      </c>
      <c r="U590">
        <v>0.83534136546184734</v>
      </c>
      <c r="V590">
        <v>0</v>
      </c>
      <c r="W590">
        <v>5.6224899598393573E-2</v>
      </c>
      <c r="X590">
        <v>2.0080321285140562E-2</v>
      </c>
      <c r="Y590">
        <v>0.10843373493975904</v>
      </c>
      <c r="Z590">
        <v>4.4176706827309238E-2</v>
      </c>
      <c r="AA590">
        <v>0</v>
      </c>
      <c r="AB590">
        <v>0.53413654618473894</v>
      </c>
      <c r="AC590">
        <v>0.97590361445783136</v>
      </c>
      <c r="AD590">
        <v>0.92771084337349397</v>
      </c>
      <c r="AE590">
        <v>0.76706827309236947</v>
      </c>
      <c r="AF590">
        <v>0</v>
      </c>
      <c r="AG590">
        <v>0.24096385542168675</v>
      </c>
      <c r="AH590">
        <v>0.13253012048192772</v>
      </c>
      <c r="AI590">
        <v>0.40160642570281124</v>
      </c>
      <c r="AJ590">
        <v>0.21285140562248997</v>
      </c>
      <c r="AL590" s="1">
        <v>0.30120481927710846</v>
      </c>
      <c r="AN590" t="s">
        <v>80</v>
      </c>
      <c r="AO590">
        <v>15</v>
      </c>
      <c r="AP590" s="2">
        <v>0.44</v>
      </c>
      <c r="AQ590">
        <v>169</v>
      </c>
      <c r="AT590" s="1">
        <v>0.95180722891566261</v>
      </c>
      <c r="AU590" s="1">
        <v>0.97590361445783136</v>
      </c>
    </row>
    <row r="591" spans="1:47" x14ac:dyDescent="0.3">
      <c r="A591" t="s">
        <v>225</v>
      </c>
      <c r="B591">
        <v>0</v>
      </c>
      <c r="C591" s="1">
        <v>0.18875502008032127</v>
      </c>
      <c r="D591">
        <v>0.32128514056224899</v>
      </c>
      <c r="E591">
        <v>0.54216867469879515</v>
      </c>
      <c r="F591">
        <v>0.38152610441767071</v>
      </c>
      <c r="G591">
        <v>0</v>
      </c>
      <c r="H591">
        <v>0.59036144578313254</v>
      </c>
      <c r="I591">
        <v>0.52610441767068272</v>
      </c>
      <c r="J591">
        <v>0.42971887550200805</v>
      </c>
      <c r="K591">
        <v>0.57429718875502012</v>
      </c>
      <c r="L591">
        <v>0</v>
      </c>
      <c r="M591">
        <v>0.41767068273092367</v>
      </c>
      <c r="N591">
        <v>0.3534136546184739</v>
      </c>
      <c r="O591">
        <v>0.44578313253012047</v>
      </c>
      <c r="P591">
        <v>0.34538152610441769</v>
      </c>
      <c r="Q591">
        <v>0</v>
      </c>
      <c r="R591">
        <v>0.55823293172690758</v>
      </c>
      <c r="S591">
        <v>0.76706827309236947</v>
      </c>
      <c r="T591">
        <v>0.63453815261044177</v>
      </c>
      <c r="U591">
        <v>0.79919678714859432</v>
      </c>
      <c r="V591">
        <v>0</v>
      </c>
      <c r="W591">
        <v>0.69076305220883538</v>
      </c>
      <c r="X591">
        <v>0.85943775100401609</v>
      </c>
      <c r="Y591">
        <v>0.7831325301204819</v>
      </c>
      <c r="Z591">
        <v>0.85542168674698793</v>
      </c>
      <c r="AA591">
        <v>0</v>
      </c>
      <c r="AB591">
        <v>0.69076305220883538</v>
      </c>
      <c r="AC591">
        <v>0.27710843373493976</v>
      </c>
      <c r="AD591">
        <v>0.79919678714859432</v>
      </c>
      <c r="AE591">
        <v>0.76706827309236947</v>
      </c>
      <c r="AF591">
        <v>0</v>
      </c>
      <c r="AG591">
        <v>0.25301204819277107</v>
      </c>
      <c r="AH591">
        <v>0.2971887550200803</v>
      </c>
      <c r="AI591">
        <v>0.48995983935742971</v>
      </c>
      <c r="AJ591">
        <v>0.34538152610441769</v>
      </c>
      <c r="AL591" s="1">
        <v>0.52208835341365467</v>
      </c>
      <c r="AN591" t="s">
        <v>58</v>
      </c>
      <c r="AO591">
        <v>65</v>
      </c>
      <c r="AP591" s="2">
        <v>0.65333333333333332</v>
      </c>
      <c r="AQ591">
        <v>105</v>
      </c>
      <c r="AT591" s="1">
        <v>0.58634538152610438</v>
      </c>
      <c r="AU591" s="1">
        <v>0.30120481927710846</v>
      </c>
    </row>
    <row r="592" spans="1:47" x14ac:dyDescent="0.3">
      <c r="A592" t="s">
        <v>226</v>
      </c>
      <c r="B592">
        <v>0</v>
      </c>
      <c r="C592" s="1">
        <v>9.2369477911646583E-2</v>
      </c>
      <c r="D592">
        <v>7.2289156626506021E-2</v>
      </c>
      <c r="E592">
        <v>9.6385542168674704E-2</v>
      </c>
      <c r="F592">
        <v>0.11244979919678715</v>
      </c>
      <c r="G592">
        <v>0</v>
      </c>
      <c r="H592">
        <v>0.37349397590361444</v>
      </c>
      <c r="I592">
        <v>0.57429718875502012</v>
      </c>
      <c r="J592">
        <v>0.31726907630522089</v>
      </c>
      <c r="K592">
        <v>0.51405622489959835</v>
      </c>
      <c r="L592">
        <v>0</v>
      </c>
      <c r="M592">
        <v>0.58634538152610438</v>
      </c>
      <c r="N592">
        <v>0.38955823293172692</v>
      </c>
      <c r="O592">
        <v>0.46586345381526106</v>
      </c>
      <c r="P592">
        <v>0.44979919678714858</v>
      </c>
      <c r="Q592">
        <v>0</v>
      </c>
      <c r="R592">
        <v>0.28112449799196787</v>
      </c>
      <c r="S592">
        <v>0.45783132530120479</v>
      </c>
      <c r="T592">
        <v>0.24899598393574296</v>
      </c>
      <c r="U592">
        <v>0.51004016064257029</v>
      </c>
      <c r="V592">
        <v>0</v>
      </c>
      <c r="W592">
        <v>0.36144578313253012</v>
      </c>
      <c r="X592">
        <v>0.41365461847389556</v>
      </c>
      <c r="Y592">
        <v>0.63453815261044177</v>
      </c>
      <c r="Z592">
        <v>0.21686746987951808</v>
      </c>
      <c r="AA592">
        <v>0</v>
      </c>
      <c r="AB592">
        <v>0.40963855421686746</v>
      </c>
      <c r="AC592">
        <v>0.86746987951807231</v>
      </c>
      <c r="AD592">
        <v>0.26104417670682734</v>
      </c>
      <c r="AE592">
        <v>0.3534136546184739</v>
      </c>
      <c r="AF592">
        <v>0</v>
      </c>
      <c r="AG592">
        <v>0.20481927710843373</v>
      </c>
      <c r="AH592">
        <v>0.14859437751004015</v>
      </c>
      <c r="AI592">
        <v>0.20080321285140562</v>
      </c>
      <c r="AJ592">
        <v>0.19678714859437751</v>
      </c>
      <c r="AL592" s="1">
        <v>0.24096385542168675</v>
      </c>
      <c r="AN592" t="s">
        <v>52</v>
      </c>
      <c r="AO592">
        <v>52</v>
      </c>
      <c r="AP592" s="2">
        <v>0.37333333333333335</v>
      </c>
      <c r="AQ592">
        <v>189</v>
      </c>
      <c r="AT592" s="1">
        <v>0.63855421686746983</v>
      </c>
      <c r="AU592" s="1">
        <v>0.49799196787148592</v>
      </c>
    </row>
    <row r="593" spans="1:47" x14ac:dyDescent="0.3">
      <c r="A593" t="s">
        <v>227</v>
      </c>
      <c r="B593">
        <v>0</v>
      </c>
      <c r="C593" s="1">
        <v>7.6305220883534142E-2</v>
      </c>
      <c r="D593">
        <v>0.17269076305220885</v>
      </c>
      <c r="E593">
        <v>0.5662650602409639</v>
      </c>
      <c r="F593">
        <v>8.4337349397590355E-2</v>
      </c>
      <c r="G593">
        <v>0</v>
      </c>
      <c r="H593">
        <v>0.77510040160642568</v>
      </c>
      <c r="I593">
        <v>5.2208835341365459E-2</v>
      </c>
      <c r="J593">
        <v>0.14859437751004015</v>
      </c>
      <c r="K593">
        <v>0.13253012048192772</v>
      </c>
      <c r="L593">
        <v>0</v>
      </c>
      <c r="M593">
        <v>4.4176706827309238E-2</v>
      </c>
      <c r="N593">
        <v>8.8353413654618476E-2</v>
      </c>
      <c r="O593">
        <v>4.8192771084337352E-2</v>
      </c>
      <c r="P593">
        <v>9.2369477911646583E-2</v>
      </c>
      <c r="Q593">
        <v>0</v>
      </c>
      <c r="R593">
        <v>0.31726907630522089</v>
      </c>
      <c r="S593">
        <v>0.42570281124497994</v>
      </c>
      <c r="T593">
        <v>0.77510040160642568</v>
      </c>
      <c r="U593">
        <v>0.30120481927710846</v>
      </c>
      <c r="V593">
        <v>0</v>
      </c>
      <c r="W593">
        <v>4.4176706827309238E-2</v>
      </c>
      <c r="X593">
        <v>8.0321285140562249E-2</v>
      </c>
      <c r="Y593">
        <v>3.2128514056224897E-2</v>
      </c>
      <c r="Z593">
        <v>5.6224899598393573E-2</v>
      </c>
      <c r="AA593">
        <v>0</v>
      </c>
      <c r="AB593">
        <v>8.4337349397590355E-2</v>
      </c>
      <c r="AC593">
        <v>0.22489959839357429</v>
      </c>
      <c r="AD593">
        <v>0.97991967871485941</v>
      </c>
      <c r="AE593">
        <v>0.77911646586345384</v>
      </c>
      <c r="AF593">
        <v>0</v>
      </c>
      <c r="AG593">
        <v>2.8112449799196786E-2</v>
      </c>
      <c r="AH593">
        <v>8.4337349397590355E-2</v>
      </c>
      <c r="AI593">
        <v>0.17269076305220885</v>
      </c>
      <c r="AJ593">
        <v>5.2208835341365459E-2</v>
      </c>
      <c r="AL593" s="1">
        <v>4.0160642570281124E-2</v>
      </c>
      <c r="AN593" t="s">
        <v>73</v>
      </c>
      <c r="AO593">
        <v>68</v>
      </c>
      <c r="AP593" s="2">
        <v>0.2</v>
      </c>
      <c r="AQ593">
        <v>241</v>
      </c>
      <c r="AT593" s="1">
        <v>4.4176706827309238E-2</v>
      </c>
      <c r="AU593" s="1">
        <v>0.92369477911646591</v>
      </c>
    </row>
    <row r="594" spans="1:47" x14ac:dyDescent="0.3">
      <c r="A594" t="s">
        <v>228</v>
      </c>
      <c r="B594">
        <v>0</v>
      </c>
      <c r="C594" s="1">
        <v>0.97991967871485941</v>
      </c>
      <c r="D594">
        <v>0.94377510040160639</v>
      </c>
      <c r="E594">
        <v>0.68273092369477917</v>
      </c>
      <c r="F594">
        <v>0.91164658634538154</v>
      </c>
      <c r="G594">
        <v>0</v>
      </c>
      <c r="H594">
        <v>0.59036144578313254</v>
      </c>
      <c r="I594">
        <v>0.55020080321285136</v>
      </c>
      <c r="J594">
        <v>0.77108433734939763</v>
      </c>
      <c r="K594">
        <v>0.59839357429718876</v>
      </c>
      <c r="L594">
        <v>0</v>
      </c>
      <c r="M594">
        <v>0.75502008032128509</v>
      </c>
      <c r="N594">
        <v>0.63453815261044177</v>
      </c>
      <c r="O594">
        <v>0.88353413654618473</v>
      </c>
      <c r="P594">
        <v>0.84337349397590367</v>
      </c>
      <c r="Q594">
        <v>0</v>
      </c>
      <c r="R594">
        <v>0.68674698795180722</v>
      </c>
      <c r="S594">
        <v>0.57831325301204817</v>
      </c>
      <c r="T594">
        <v>0.28514056224899598</v>
      </c>
      <c r="U594">
        <v>0.55020080321285136</v>
      </c>
      <c r="V594">
        <v>0</v>
      </c>
      <c r="W594">
        <v>0.85140562248995988</v>
      </c>
      <c r="X594">
        <v>0.92771084337349397</v>
      </c>
      <c r="Y594">
        <v>0.91164658634538154</v>
      </c>
      <c r="Z594">
        <v>0.95180722891566261</v>
      </c>
      <c r="AA594">
        <v>0</v>
      </c>
      <c r="AB594">
        <v>0.14056224899598393</v>
      </c>
      <c r="AC594">
        <v>0.78714859437751006</v>
      </c>
      <c r="AD594">
        <v>0.28514056224899598</v>
      </c>
      <c r="AE594">
        <v>0.65461847389558236</v>
      </c>
      <c r="AF594">
        <v>0</v>
      </c>
      <c r="AG594">
        <v>0.93975903614457834</v>
      </c>
      <c r="AH594">
        <v>0.93172690763052213</v>
      </c>
      <c r="AI594">
        <v>0.88353413654618473</v>
      </c>
      <c r="AJ594">
        <v>0.94377510040160639</v>
      </c>
      <c r="AL594" s="1">
        <v>0.93172690763052213</v>
      </c>
      <c r="AN594" t="s">
        <v>57</v>
      </c>
      <c r="AO594">
        <v>82</v>
      </c>
      <c r="AP594" s="2">
        <v>0.8</v>
      </c>
      <c r="AQ594">
        <v>61</v>
      </c>
      <c r="AT594" s="1">
        <v>0.42168674698795183</v>
      </c>
      <c r="AU594" s="1">
        <v>0.55421686746987953</v>
      </c>
    </row>
    <row r="595" spans="1:47" x14ac:dyDescent="0.3">
      <c r="A595" t="s">
        <v>229</v>
      </c>
      <c r="B595">
        <v>0</v>
      </c>
      <c r="C595" s="1">
        <v>0.51004016064257029</v>
      </c>
      <c r="D595">
        <v>0.28915662650602408</v>
      </c>
      <c r="E595">
        <v>0.95983935742971882</v>
      </c>
      <c r="F595">
        <v>0.17269076305220885</v>
      </c>
      <c r="G595">
        <v>0</v>
      </c>
      <c r="H595">
        <v>0.80321285140562249</v>
      </c>
      <c r="I595">
        <v>0.98393574297188757</v>
      </c>
      <c r="J595">
        <v>0.99598393574297184</v>
      </c>
      <c r="K595">
        <v>0.95582329317269077</v>
      </c>
      <c r="L595">
        <v>0</v>
      </c>
      <c r="M595">
        <v>0.47389558232931728</v>
      </c>
      <c r="N595">
        <v>0.31726907630522089</v>
      </c>
      <c r="O595">
        <v>0.96787148594377514</v>
      </c>
      <c r="P595">
        <v>0.26907630522088355</v>
      </c>
      <c r="Q595">
        <v>0</v>
      </c>
      <c r="R595">
        <v>0.60240963855421692</v>
      </c>
      <c r="S595">
        <v>0.24899598393574296</v>
      </c>
      <c r="T595">
        <v>0.94779116465863456</v>
      </c>
      <c r="U595">
        <v>0.27309236947791166</v>
      </c>
      <c r="V595">
        <v>0</v>
      </c>
      <c r="W595">
        <v>0.63453815261044177</v>
      </c>
      <c r="X595">
        <v>0.54618473895582331</v>
      </c>
      <c r="Y595">
        <v>0.79518072289156627</v>
      </c>
      <c r="Z595">
        <v>0.17269076305220885</v>
      </c>
      <c r="AA595">
        <v>0</v>
      </c>
      <c r="AB595">
        <v>0.39357429718875503</v>
      </c>
      <c r="AC595">
        <v>0.46184738955823296</v>
      </c>
      <c r="AD595">
        <v>0.9718875502008032</v>
      </c>
      <c r="AE595">
        <v>0.99196787148594379</v>
      </c>
      <c r="AF595">
        <v>0</v>
      </c>
      <c r="AG595">
        <v>0.47389558232931728</v>
      </c>
      <c r="AH595">
        <v>0.26104417670682734</v>
      </c>
      <c r="AI595">
        <v>0.98393574297188757</v>
      </c>
      <c r="AJ595">
        <v>0.1646586345381526</v>
      </c>
      <c r="AL595" s="1">
        <v>0.50602409638554213</v>
      </c>
      <c r="AN595" t="s">
        <v>61</v>
      </c>
      <c r="AO595">
        <v>27</v>
      </c>
      <c r="AP595" s="2">
        <v>0.56999999999999995</v>
      </c>
      <c r="AQ595">
        <v>130</v>
      </c>
      <c r="AT595" s="1">
        <v>8.0321285140562242E-3</v>
      </c>
      <c r="AU595" s="1">
        <v>0.99196787148594379</v>
      </c>
    </row>
    <row r="596" spans="1:47" x14ac:dyDescent="0.3">
      <c r="A596" t="s">
        <v>230</v>
      </c>
      <c r="B596">
        <v>0</v>
      </c>
      <c r="C596" s="1">
        <v>0.7831325301204819</v>
      </c>
      <c r="D596">
        <v>0.73092369477911645</v>
      </c>
      <c r="E596">
        <v>0.87550200803212852</v>
      </c>
      <c r="F596">
        <v>0.82730923694779113</v>
      </c>
      <c r="G596">
        <v>0</v>
      </c>
      <c r="H596">
        <v>0.95582329317269077</v>
      </c>
      <c r="I596">
        <v>0.97590361445783136</v>
      </c>
      <c r="J596">
        <v>0.99196787148594379</v>
      </c>
      <c r="K596">
        <v>0.99196787148594379</v>
      </c>
      <c r="L596">
        <v>0</v>
      </c>
      <c r="M596">
        <v>0.43775100401606426</v>
      </c>
      <c r="N596">
        <v>0.3534136546184739</v>
      </c>
      <c r="O596">
        <v>0.52208835341365467</v>
      </c>
      <c r="P596">
        <v>0.23293172690763053</v>
      </c>
      <c r="Q596">
        <v>0</v>
      </c>
      <c r="R596">
        <v>0.75100401606425704</v>
      </c>
      <c r="S596">
        <v>0.71485943775100402</v>
      </c>
      <c r="T596">
        <v>0.97590361445783136</v>
      </c>
      <c r="U596">
        <v>0.79919678714859432</v>
      </c>
      <c r="V596">
        <v>0</v>
      </c>
      <c r="W596">
        <v>0.20481927710843373</v>
      </c>
      <c r="X596">
        <v>0.11244979919678715</v>
      </c>
      <c r="Y596">
        <v>0.18473895582329317</v>
      </c>
      <c r="Z596">
        <v>4.8192771084337352E-2</v>
      </c>
      <c r="AA596">
        <v>0</v>
      </c>
      <c r="AB596">
        <v>0.95582329317269077</v>
      </c>
      <c r="AC596">
        <v>0.85542168674698793</v>
      </c>
      <c r="AD596">
        <v>0.82329317269076308</v>
      </c>
      <c r="AE596">
        <v>0.81526104417670686</v>
      </c>
      <c r="AF596">
        <v>0</v>
      </c>
      <c r="AG596">
        <v>0.64658634538152615</v>
      </c>
      <c r="AH596">
        <v>0.55020080321285136</v>
      </c>
      <c r="AI596">
        <v>0.75903614457831325</v>
      </c>
      <c r="AJ596">
        <v>0.5662650602409639</v>
      </c>
      <c r="AL596" s="1">
        <v>0.73493975903614461</v>
      </c>
      <c r="AN596" t="s">
        <v>54</v>
      </c>
      <c r="AO596">
        <v>78</v>
      </c>
      <c r="AP596" s="2">
        <v>0.9</v>
      </c>
      <c r="AQ596">
        <v>31</v>
      </c>
      <c r="AT596" s="1">
        <v>0.56224899598393574</v>
      </c>
      <c r="AU596" s="1">
        <v>0.68273092369477917</v>
      </c>
    </row>
    <row r="597" spans="1:47" x14ac:dyDescent="0.3">
      <c r="A597" t="s">
        <v>231</v>
      </c>
      <c r="B597">
        <v>0</v>
      </c>
      <c r="C597" s="1">
        <v>0.10040160642570281</v>
      </c>
      <c r="D597">
        <v>0.14457831325301204</v>
      </c>
      <c r="E597">
        <v>0.88353413654618473</v>
      </c>
      <c r="F597">
        <v>0.13253012048192772</v>
      </c>
      <c r="G597">
        <v>0</v>
      </c>
      <c r="H597">
        <v>0.57028112449799195</v>
      </c>
      <c r="I597">
        <v>0.93975903614457834</v>
      </c>
      <c r="J597">
        <v>0.90361445783132532</v>
      </c>
      <c r="K597">
        <v>0.89558232931726911</v>
      </c>
      <c r="L597">
        <v>0</v>
      </c>
      <c r="M597">
        <v>0.44176706827309237</v>
      </c>
      <c r="N597">
        <v>5.2208835341365459E-2</v>
      </c>
      <c r="O597">
        <v>6.8273092369477914E-2</v>
      </c>
      <c r="P597">
        <v>9.6385542168674704E-2</v>
      </c>
      <c r="Q597">
        <v>0</v>
      </c>
      <c r="R597">
        <v>0.39357429718875503</v>
      </c>
      <c r="S597">
        <v>0.35742971887550201</v>
      </c>
      <c r="T597">
        <v>0.93975903614457834</v>
      </c>
      <c r="U597">
        <v>0.3534136546184739</v>
      </c>
      <c r="V597">
        <v>0</v>
      </c>
      <c r="W597">
        <v>0.93574297188755018</v>
      </c>
      <c r="X597">
        <v>0.53413654618473894</v>
      </c>
      <c r="Y597">
        <v>0.25301204819277107</v>
      </c>
      <c r="Z597">
        <v>0.75502008032128509</v>
      </c>
      <c r="AA597">
        <v>0</v>
      </c>
      <c r="AB597">
        <v>0.27309236947791166</v>
      </c>
      <c r="AC597">
        <v>0.94377510040160639</v>
      </c>
      <c r="AD597">
        <v>0.98795180722891562</v>
      </c>
      <c r="AE597">
        <v>0.6224899598393574</v>
      </c>
      <c r="AF597">
        <v>0</v>
      </c>
      <c r="AG597">
        <v>0.17670682730923695</v>
      </c>
      <c r="AH597">
        <v>2.4096385542168676E-2</v>
      </c>
      <c r="AI597">
        <v>0.36546184738955823</v>
      </c>
      <c r="AJ597">
        <v>8.0321285140562249E-2</v>
      </c>
      <c r="AL597" s="1">
        <v>0.39759036144578314</v>
      </c>
      <c r="AN597" t="s">
        <v>58</v>
      </c>
      <c r="AO597">
        <v>39</v>
      </c>
      <c r="AP597" s="2">
        <v>0.46333333333333332</v>
      </c>
      <c r="AQ597">
        <v>162</v>
      </c>
      <c r="AT597" s="1">
        <v>0.30522088353413657</v>
      </c>
      <c r="AU597" s="1">
        <v>0.73092369477911645</v>
      </c>
    </row>
    <row r="598" spans="1:47" x14ac:dyDescent="0.3">
      <c r="A598" t="s">
        <v>232</v>
      </c>
      <c r="B598">
        <v>0</v>
      </c>
      <c r="C598" s="1">
        <v>0.34538152610441769</v>
      </c>
      <c r="D598">
        <v>8.8353413654618476E-2</v>
      </c>
      <c r="E598">
        <v>0.12851405622489959</v>
      </c>
      <c r="F598">
        <v>0.13253012048192772</v>
      </c>
      <c r="G598">
        <v>0</v>
      </c>
      <c r="H598">
        <v>4.0160642570281121E-3</v>
      </c>
      <c r="I598">
        <v>3.614457831325301E-2</v>
      </c>
      <c r="J598">
        <v>0.18875502008032127</v>
      </c>
      <c r="K598">
        <v>1.6064257028112448E-2</v>
      </c>
      <c r="L598">
        <v>0</v>
      </c>
      <c r="M598">
        <v>0.35742971887550201</v>
      </c>
      <c r="N598">
        <v>0.71887550200803207</v>
      </c>
      <c r="O598">
        <v>0.72289156626506024</v>
      </c>
      <c r="P598">
        <v>0.82730923694779113</v>
      </c>
      <c r="Q598">
        <v>0</v>
      </c>
      <c r="R598">
        <v>0.3493975903614458</v>
      </c>
      <c r="S598">
        <v>0.15261044176706828</v>
      </c>
      <c r="T598">
        <v>0.37349397590361444</v>
      </c>
      <c r="U598">
        <v>0.2289156626506024</v>
      </c>
      <c r="V598">
        <v>0</v>
      </c>
      <c r="W598">
        <v>0.37349397590361444</v>
      </c>
      <c r="X598">
        <v>0.76305220883534142</v>
      </c>
      <c r="Y598">
        <v>0.82730923694779113</v>
      </c>
      <c r="Z598">
        <v>0.88353413654618473</v>
      </c>
      <c r="AA598">
        <v>0</v>
      </c>
      <c r="AB598">
        <v>0.12851405622489959</v>
      </c>
      <c r="AC598">
        <v>0.18875502008032127</v>
      </c>
      <c r="AD598">
        <v>0.13654618473895583</v>
      </c>
      <c r="AE598">
        <v>0.47389558232931728</v>
      </c>
      <c r="AF598">
        <v>0</v>
      </c>
      <c r="AG598">
        <v>0.33734939759036142</v>
      </c>
      <c r="AH598">
        <v>0.30120481927710846</v>
      </c>
      <c r="AI598">
        <v>0.36947791164658633</v>
      </c>
      <c r="AJ598">
        <v>0.36144578313253012</v>
      </c>
      <c r="AL598" s="1">
        <v>0.20080321285140562</v>
      </c>
      <c r="AN598" t="s">
        <v>85</v>
      </c>
      <c r="AO598">
        <v>51</v>
      </c>
      <c r="AP598" s="2">
        <v>0.30333333333333334</v>
      </c>
      <c r="AQ598">
        <v>210</v>
      </c>
      <c r="AT598" s="1">
        <v>0.53012048192771088</v>
      </c>
      <c r="AU598" s="1">
        <v>0.35742971887550201</v>
      </c>
    </row>
    <row r="599" spans="1:47" x14ac:dyDescent="0.3">
      <c r="A599" t="s">
        <v>233</v>
      </c>
      <c r="B599">
        <v>0</v>
      </c>
      <c r="C599" s="1">
        <v>0.41767068273092367</v>
      </c>
      <c r="D599">
        <v>0.18072289156626506</v>
      </c>
      <c r="E599">
        <v>0.86345381526104414</v>
      </c>
      <c r="F599">
        <v>0.36144578313253012</v>
      </c>
      <c r="G599">
        <v>0</v>
      </c>
      <c r="H599">
        <v>0.77510040160642568</v>
      </c>
      <c r="I599">
        <v>0.92771084337349397</v>
      </c>
      <c r="J599">
        <v>0.92369477911646591</v>
      </c>
      <c r="K599">
        <v>0.92369477911646591</v>
      </c>
      <c r="L599">
        <v>0</v>
      </c>
      <c r="M599">
        <v>8.0321285140562249E-2</v>
      </c>
      <c r="N599">
        <v>0.12449799196787148</v>
      </c>
      <c r="O599">
        <v>0.18473895582329317</v>
      </c>
      <c r="P599">
        <v>4.8192771084337352E-2</v>
      </c>
      <c r="Q599">
        <v>0</v>
      </c>
      <c r="R599">
        <v>0.83132530120481929</v>
      </c>
      <c r="S599">
        <v>0.54618473895582331</v>
      </c>
      <c r="T599">
        <v>0.87550200803212852</v>
      </c>
      <c r="U599">
        <v>0.73493975903614461</v>
      </c>
      <c r="V599">
        <v>0</v>
      </c>
      <c r="W599">
        <v>2.8112449799196786E-2</v>
      </c>
      <c r="X599">
        <v>0.10040160642570281</v>
      </c>
      <c r="Y599">
        <v>0.1606425702811245</v>
      </c>
      <c r="Z599">
        <v>2.4096385542168676E-2</v>
      </c>
      <c r="AA599">
        <v>0</v>
      </c>
      <c r="AB599">
        <v>0.88353413654618473</v>
      </c>
      <c r="AC599">
        <v>0.73092369477911645</v>
      </c>
      <c r="AD599">
        <v>0.89156626506024095</v>
      </c>
      <c r="AE599">
        <v>0.67871485943775101</v>
      </c>
      <c r="AF599">
        <v>0</v>
      </c>
      <c r="AG599">
        <v>0.19277108433734941</v>
      </c>
      <c r="AH599">
        <v>0.12851405622489959</v>
      </c>
      <c r="AI599">
        <v>0.48192771084337349</v>
      </c>
      <c r="AJ599">
        <v>0.12851405622489959</v>
      </c>
      <c r="AL599" s="1">
        <v>0.34136546184738958</v>
      </c>
      <c r="AN599" t="s">
        <v>67</v>
      </c>
      <c r="AO599">
        <v>82</v>
      </c>
      <c r="AP599" s="2">
        <v>0.57333333333333336</v>
      </c>
      <c r="AQ599">
        <v>129</v>
      </c>
      <c r="AT599" s="1">
        <v>0.69076305220883538</v>
      </c>
      <c r="AU599" s="1">
        <v>0.17269076305220885</v>
      </c>
    </row>
    <row r="600" spans="1:47" x14ac:dyDescent="0.3">
      <c r="A600" t="s">
        <v>234</v>
      </c>
      <c r="B600">
        <v>0</v>
      </c>
      <c r="C600" s="1">
        <v>0.52208835341365467</v>
      </c>
      <c r="D600">
        <v>0.68273092369477917</v>
      </c>
      <c r="E600">
        <v>0.66666666666666663</v>
      </c>
      <c r="F600">
        <v>0.66666666666666663</v>
      </c>
      <c r="G600">
        <v>0</v>
      </c>
      <c r="H600">
        <v>0.18875502008032127</v>
      </c>
      <c r="I600">
        <v>0.57429718875502012</v>
      </c>
      <c r="J600">
        <v>0.10843373493975904</v>
      </c>
      <c r="K600">
        <v>0.39357429718875503</v>
      </c>
      <c r="L600">
        <v>0</v>
      </c>
      <c r="M600">
        <v>0.75100401606425704</v>
      </c>
      <c r="N600">
        <v>0.58232931726907633</v>
      </c>
      <c r="O600">
        <v>0.59839357429718876</v>
      </c>
      <c r="P600">
        <v>0.70281124497991965</v>
      </c>
      <c r="Q600">
        <v>0</v>
      </c>
      <c r="R600">
        <v>0.32931726907630521</v>
      </c>
      <c r="S600">
        <v>0.24096385542168675</v>
      </c>
      <c r="T600">
        <v>0.57831325301204817</v>
      </c>
      <c r="U600">
        <v>0.34538152610441769</v>
      </c>
      <c r="V600">
        <v>0</v>
      </c>
      <c r="W600">
        <v>0.53413654618473894</v>
      </c>
      <c r="X600">
        <v>0.58232931726907633</v>
      </c>
      <c r="Y600">
        <v>0.20080321285140562</v>
      </c>
      <c r="Z600">
        <v>0.62650602409638556</v>
      </c>
      <c r="AA600">
        <v>0</v>
      </c>
      <c r="AB600">
        <v>0.63855421686746983</v>
      </c>
      <c r="AC600">
        <v>0.14457831325301204</v>
      </c>
      <c r="AD600">
        <v>0.72289156626506024</v>
      </c>
      <c r="AE600">
        <v>0.59839357429718876</v>
      </c>
      <c r="AF600">
        <v>0</v>
      </c>
      <c r="AG600">
        <v>0.5662650602409639</v>
      </c>
      <c r="AH600">
        <v>0.67469879518072284</v>
      </c>
      <c r="AI600">
        <v>0.6506024096385542</v>
      </c>
      <c r="AJ600">
        <v>0.75100401606425704</v>
      </c>
      <c r="AL600" s="1">
        <v>0.55421686746987953</v>
      </c>
      <c r="AN600" t="s">
        <v>66</v>
      </c>
      <c r="AO600">
        <v>80</v>
      </c>
      <c r="AP600" s="2">
        <v>0.67666666666666664</v>
      </c>
      <c r="AQ600">
        <v>98</v>
      </c>
      <c r="AT600" s="1">
        <v>0.47791164658634538</v>
      </c>
      <c r="AU600" s="1">
        <v>0.61847389558232935</v>
      </c>
    </row>
    <row r="601" spans="1:47" x14ac:dyDescent="0.3">
      <c r="A601" t="s">
        <v>235</v>
      </c>
      <c r="B601">
        <v>0</v>
      </c>
      <c r="C601" s="1">
        <v>0.39759036144578314</v>
      </c>
      <c r="D601">
        <v>0.10040160642570281</v>
      </c>
      <c r="E601">
        <v>0.64257028112449799</v>
      </c>
      <c r="F601">
        <v>0.28915662650602408</v>
      </c>
      <c r="G601">
        <v>0</v>
      </c>
      <c r="H601">
        <v>0.77510040160642568</v>
      </c>
      <c r="I601">
        <v>0.52610441767068272</v>
      </c>
      <c r="J601">
        <v>0.2971887550200803</v>
      </c>
      <c r="K601">
        <v>0.65461847389558236</v>
      </c>
      <c r="L601">
        <v>0</v>
      </c>
      <c r="M601">
        <v>0.81927710843373491</v>
      </c>
      <c r="N601">
        <v>0.7831325301204819</v>
      </c>
      <c r="O601">
        <v>0.73895582329317266</v>
      </c>
      <c r="P601">
        <v>0.69477911646586343</v>
      </c>
      <c r="Q601">
        <v>0</v>
      </c>
      <c r="R601">
        <v>0.2289156626506024</v>
      </c>
      <c r="S601">
        <v>0.1646586345381526</v>
      </c>
      <c r="T601">
        <v>0.11244979919678715</v>
      </c>
      <c r="U601">
        <v>0.22088353413654618</v>
      </c>
      <c r="V601">
        <v>0</v>
      </c>
      <c r="W601">
        <v>0.30120481927710846</v>
      </c>
      <c r="X601">
        <v>0.45783132530120479</v>
      </c>
      <c r="Y601">
        <v>0.66265060240963858</v>
      </c>
      <c r="Z601">
        <v>0.30120481927710846</v>
      </c>
      <c r="AA601">
        <v>0</v>
      </c>
      <c r="AB601">
        <v>0.3534136546184739</v>
      </c>
      <c r="AC601">
        <v>0.83534136546184734</v>
      </c>
      <c r="AD601">
        <v>0.77108433734939763</v>
      </c>
      <c r="AE601">
        <v>0.67871485943775101</v>
      </c>
      <c r="AF601">
        <v>0</v>
      </c>
      <c r="AG601">
        <v>0.55823293172690758</v>
      </c>
      <c r="AH601">
        <v>0.3253012048192771</v>
      </c>
      <c r="AI601">
        <v>0.77911646586345384</v>
      </c>
      <c r="AJ601">
        <v>0.44979919678714858</v>
      </c>
      <c r="AL601" s="1">
        <v>0.47791164658634538</v>
      </c>
      <c r="AN601" t="s">
        <v>64</v>
      </c>
      <c r="AO601">
        <v>73</v>
      </c>
      <c r="AP601" s="2">
        <v>0.53333333333333333</v>
      </c>
      <c r="AQ601">
        <v>141</v>
      </c>
      <c r="AT601" s="1">
        <v>0.23694779116465864</v>
      </c>
      <c r="AU601" s="1">
        <v>4.8192771084337352E-2</v>
      </c>
    </row>
    <row r="602" spans="1:47" x14ac:dyDescent="0.3">
      <c r="A602" t="s">
        <v>236</v>
      </c>
      <c r="B602">
        <v>0</v>
      </c>
      <c r="C602" s="1">
        <v>0.3253012048192771</v>
      </c>
      <c r="D602">
        <v>0.3493975903614458</v>
      </c>
      <c r="E602">
        <v>0.65461847389558236</v>
      </c>
      <c r="F602">
        <v>0.32931726907630521</v>
      </c>
      <c r="G602">
        <v>0</v>
      </c>
      <c r="H602">
        <v>0.22489959839357429</v>
      </c>
      <c r="I602">
        <v>0.70281124497991965</v>
      </c>
      <c r="J602">
        <v>0.53413654618473894</v>
      </c>
      <c r="K602">
        <v>0.55823293172690758</v>
      </c>
      <c r="L602">
        <v>0</v>
      </c>
      <c r="M602">
        <v>0.83534136546184734</v>
      </c>
      <c r="N602">
        <v>0.64658634538152615</v>
      </c>
      <c r="O602">
        <v>0.24899598393574296</v>
      </c>
      <c r="P602">
        <v>0.79919678714859432</v>
      </c>
      <c r="Q602">
        <v>0</v>
      </c>
      <c r="R602">
        <v>0.8112449799196787</v>
      </c>
      <c r="S602">
        <v>0.8393574297188755</v>
      </c>
      <c r="T602">
        <v>0.86345381526104414</v>
      </c>
      <c r="U602">
        <v>0.82730923694779113</v>
      </c>
      <c r="V602">
        <v>0</v>
      </c>
      <c r="W602">
        <v>0.98795180722891562</v>
      </c>
      <c r="X602">
        <v>0.91566265060240959</v>
      </c>
      <c r="Y602">
        <v>0.30522088353413657</v>
      </c>
      <c r="Z602">
        <v>0.95983935742971882</v>
      </c>
      <c r="AA602">
        <v>0</v>
      </c>
      <c r="AB602">
        <v>0.37349397590361444</v>
      </c>
      <c r="AC602">
        <v>0.18473895582329317</v>
      </c>
      <c r="AD602">
        <v>0.87148594377510036</v>
      </c>
      <c r="AE602">
        <v>0.36546184738955823</v>
      </c>
      <c r="AF602">
        <v>0</v>
      </c>
      <c r="AG602">
        <v>0.52208835341365467</v>
      </c>
      <c r="AH602">
        <v>0.46586345381526106</v>
      </c>
      <c r="AI602">
        <v>0.39759036144578314</v>
      </c>
      <c r="AJ602">
        <v>0.55421686746987953</v>
      </c>
      <c r="AL602" s="1">
        <v>0.75100401606425704</v>
      </c>
      <c r="AN602" t="s">
        <v>73</v>
      </c>
      <c r="AO602">
        <v>78</v>
      </c>
      <c r="AP602" s="2">
        <v>0.73666666666666669</v>
      </c>
      <c r="AQ602">
        <v>80</v>
      </c>
      <c r="AT602" s="1">
        <v>0.14056224899598393</v>
      </c>
      <c r="AU602" s="1">
        <v>0.57028112449799195</v>
      </c>
    </row>
    <row r="603" spans="1:47" x14ac:dyDescent="0.3">
      <c r="A603" t="s">
        <v>237</v>
      </c>
      <c r="B603">
        <v>0</v>
      </c>
      <c r="C603" s="1">
        <v>0.61445783132530118</v>
      </c>
      <c r="D603">
        <v>0.54216867469879515</v>
      </c>
      <c r="E603">
        <v>0.65863453815261042</v>
      </c>
      <c r="F603">
        <v>0.47791164658634538</v>
      </c>
      <c r="G603">
        <v>0</v>
      </c>
      <c r="H603">
        <v>0.80321285140562249</v>
      </c>
      <c r="I603">
        <v>0.89959839357429716</v>
      </c>
      <c r="J603">
        <v>0.67068273092369479</v>
      </c>
      <c r="K603">
        <v>0.8875502008032129</v>
      </c>
      <c r="L603">
        <v>0</v>
      </c>
      <c r="M603">
        <v>0.77108433734939763</v>
      </c>
      <c r="N603">
        <v>0.42971887550200805</v>
      </c>
      <c r="O603">
        <v>0.39357429718875503</v>
      </c>
      <c r="P603">
        <v>0.50200803212851408</v>
      </c>
      <c r="Q603">
        <v>0</v>
      </c>
      <c r="R603">
        <v>0.79919678714859432</v>
      </c>
      <c r="S603">
        <v>0.57429718875502012</v>
      </c>
      <c r="T603">
        <v>0.58634538152610438</v>
      </c>
      <c r="U603">
        <v>0.60240963855421692</v>
      </c>
      <c r="V603">
        <v>0</v>
      </c>
      <c r="W603">
        <v>0.59839357429718876</v>
      </c>
      <c r="X603">
        <v>0.60642570281124497</v>
      </c>
      <c r="Y603">
        <v>8.4337349397590355E-2</v>
      </c>
      <c r="Z603">
        <v>0.52610441767068272</v>
      </c>
      <c r="AA603">
        <v>0</v>
      </c>
      <c r="AB603">
        <v>0.91967871485943775</v>
      </c>
      <c r="AC603">
        <v>0.32931726907630521</v>
      </c>
      <c r="AD603">
        <v>0.61445783132530118</v>
      </c>
      <c r="AE603">
        <v>0.36546184738955823</v>
      </c>
      <c r="AF603">
        <v>0</v>
      </c>
      <c r="AG603">
        <v>0.71887550200803207</v>
      </c>
      <c r="AH603">
        <v>0.46184738955823296</v>
      </c>
      <c r="AI603">
        <v>0.52610441767068272</v>
      </c>
      <c r="AJ603">
        <v>0.4859437751004016</v>
      </c>
      <c r="AL603" s="1">
        <v>0.81927710843373491</v>
      </c>
      <c r="AN603" t="s">
        <v>68</v>
      </c>
      <c r="AO603">
        <v>79</v>
      </c>
      <c r="AP603" s="2">
        <v>0.92333333333333334</v>
      </c>
      <c r="AQ603">
        <v>24</v>
      </c>
      <c r="AT603" s="1">
        <v>0.58634538152610438</v>
      </c>
      <c r="AU603" s="1">
        <v>7.6305220883534142E-2</v>
      </c>
    </row>
    <row r="604" spans="1:47" x14ac:dyDescent="0.3">
      <c r="A604" t="s">
        <v>238</v>
      </c>
      <c r="B604">
        <v>0</v>
      </c>
      <c r="C604" s="1">
        <v>1.6064257028112448E-2</v>
      </c>
      <c r="D604">
        <v>2.8112449799196786E-2</v>
      </c>
      <c r="E604">
        <v>0.40963855421686746</v>
      </c>
      <c r="F604">
        <v>3.614457831325301E-2</v>
      </c>
      <c r="G604">
        <v>0</v>
      </c>
      <c r="H604">
        <v>0.8393574297188755</v>
      </c>
      <c r="I604">
        <v>0.8875502008032129</v>
      </c>
      <c r="J604">
        <v>0.98393574297188757</v>
      </c>
      <c r="K604">
        <v>0.89558232931726911</v>
      </c>
      <c r="L604">
        <v>0</v>
      </c>
      <c r="M604">
        <v>0.37349397590361444</v>
      </c>
      <c r="N604">
        <v>0.17670682730923695</v>
      </c>
      <c r="O604">
        <v>5.6224899598393573E-2</v>
      </c>
      <c r="P604">
        <v>0.23293172690763053</v>
      </c>
      <c r="Q604">
        <v>0</v>
      </c>
      <c r="R604">
        <v>4.0160642570281124E-2</v>
      </c>
      <c r="S604">
        <v>0.25301204819277107</v>
      </c>
      <c r="T604">
        <v>0.4859437751004016</v>
      </c>
      <c r="U604">
        <v>0.12048192771084337</v>
      </c>
      <c r="V604">
        <v>0</v>
      </c>
      <c r="W604">
        <v>0.43373493975903615</v>
      </c>
      <c r="X604">
        <v>0.59437751004016059</v>
      </c>
      <c r="Y604">
        <v>3.614457831325301E-2</v>
      </c>
      <c r="Z604">
        <v>0.64257028112449799</v>
      </c>
      <c r="AA604">
        <v>0</v>
      </c>
      <c r="AB604">
        <v>0.69477911646586343</v>
      </c>
      <c r="AC604">
        <v>0.25301204819277107</v>
      </c>
      <c r="AD604">
        <v>0.91566265060240959</v>
      </c>
      <c r="AE604">
        <v>0.20883534136546184</v>
      </c>
      <c r="AF604">
        <v>0</v>
      </c>
      <c r="AG604">
        <v>6.8273092369477914E-2</v>
      </c>
      <c r="AH604">
        <v>2.8112449799196786E-2</v>
      </c>
      <c r="AI604">
        <v>0.12851405622489959</v>
      </c>
      <c r="AJ604">
        <v>7.2289156626506021E-2</v>
      </c>
      <c r="AL604" s="1">
        <v>0.21285140562248997</v>
      </c>
      <c r="AN604" t="s">
        <v>58</v>
      </c>
      <c r="AO604">
        <v>44</v>
      </c>
      <c r="AP604" s="2">
        <v>0.41666666666666669</v>
      </c>
      <c r="AQ604">
        <v>176</v>
      </c>
      <c r="AT604" s="1">
        <v>0.44979919678714858</v>
      </c>
      <c r="AU604" s="1">
        <v>0.73493975903614461</v>
      </c>
    </row>
    <row r="605" spans="1:47" x14ac:dyDescent="0.3">
      <c r="A605" t="s">
        <v>239</v>
      </c>
      <c r="B605">
        <v>0</v>
      </c>
      <c r="C605" s="1">
        <v>0.65461847389558236</v>
      </c>
      <c r="D605">
        <v>0.59839357429718876</v>
      </c>
      <c r="E605">
        <v>0.82730923694779113</v>
      </c>
      <c r="F605">
        <v>0.8393574297188755</v>
      </c>
      <c r="G605">
        <v>0</v>
      </c>
      <c r="H605">
        <v>4.0160642570281121E-3</v>
      </c>
      <c r="I605">
        <v>0.27309236947791166</v>
      </c>
      <c r="J605">
        <v>4.0160642570281121E-3</v>
      </c>
      <c r="K605">
        <v>0.14056224899598393</v>
      </c>
      <c r="L605">
        <v>0</v>
      </c>
      <c r="M605">
        <v>0.78714859437751006</v>
      </c>
      <c r="N605">
        <v>0.20883534136546184</v>
      </c>
      <c r="O605">
        <v>0.19277108433734941</v>
      </c>
      <c r="P605">
        <v>0.42971887550200805</v>
      </c>
      <c r="Q605">
        <v>0</v>
      </c>
      <c r="R605">
        <v>0.50602409638554213</v>
      </c>
      <c r="S605">
        <v>0.85542168674698793</v>
      </c>
      <c r="T605">
        <v>0.61044176706827313</v>
      </c>
      <c r="U605">
        <v>0.79919678714859432</v>
      </c>
      <c r="V605">
        <v>0</v>
      </c>
      <c r="W605">
        <v>0.75903614457831325</v>
      </c>
      <c r="X605">
        <v>0.40963855421686746</v>
      </c>
      <c r="Y605">
        <v>0.37751004016064255</v>
      </c>
      <c r="Z605">
        <v>0.69477911646586343</v>
      </c>
      <c r="AA605">
        <v>0</v>
      </c>
      <c r="AB605">
        <v>0.3253012048192771</v>
      </c>
      <c r="AC605">
        <v>0.87550200803212852</v>
      </c>
      <c r="AD605">
        <v>0.75903614457831325</v>
      </c>
      <c r="AE605">
        <v>0.19277108433734941</v>
      </c>
      <c r="AF605">
        <v>0</v>
      </c>
      <c r="AG605">
        <v>0.77108433734939763</v>
      </c>
      <c r="AH605">
        <v>0.39357429718875503</v>
      </c>
      <c r="AI605">
        <v>0.46586345381526106</v>
      </c>
      <c r="AJ605">
        <v>0.7269076305220884</v>
      </c>
      <c r="AL605" s="1">
        <v>0.61445783132530118</v>
      </c>
      <c r="AN605" t="s">
        <v>63</v>
      </c>
      <c r="AO605">
        <v>33</v>
      </c>
      <c r="AP605" s="2">
        <v>0.62666666666666671</v>
      </c>
      <c r="AQ605">
        <v>113</v>
      </c>
      <c r="AT605" s="1">
        <v>0.28112449799196787</v>
      </c>
      <c r="AU605" s="1">
        <v>0.37349397590361444</v>
      </c>
    </row>
    <row r="606" spans="1:47" x14ac:dyDescent="0.3">
      <c r="A606" t="s">
        <v>240</v>
      </c>
      <c r="B606">
        <v>0</v>
      </c>
      <c r="C606" s="1">
        <v>0.7269076305220884</v>
      </c>
      <c r="D606">
        <v>0.99598393574297184</v>
      </c>
      <c r="E606">
        <v>0.58634538152610438</v>
      </c>
      <c r="F606">
        <v>0.98795180722891562</v>
      </c>
      <c r="G606">
        <v>0</v>
      </c>
      <c r="H606">
        <v>0.59036144578313254</v>
      </c>
      <c r="I606">
        <v>0.52610441767068272</v>
      </c>
      <c r="J606">
        <v>0.2971887550200803</v>
      </c>
      <c r="K606">
        <v>0.57429718875502012</v>
      </c>
      <c r="L606">
        <v>0</v>
      </c>
      <c r="M606">
        <v>0.85542168674698793</v>
      </c>
      <c r="N606">
        <v>0.89156626506024095</v>
      </c>
      <c r="O606">
        <v>0.75502008032128509</v>
      </c>
      <c r="P606">
        <v>0.81526104417670686</v>
      </c>
      <c r="Q606">
        <v>0</v>
      </c>
      <c r="R606">
        <v>0.3493975903614458</v>
      </c>
      <c r="S606">
        <v>0.87951807228915657</v>
      </c>
      <c r="T606">
        <v>0.42168674698795183</v>
      </c>
      <c r="U606">
        <v>0.65863453815261042</v>
      </c>
      <c r="V606">
        <v>0</v>
      </c>
      <c r="W606">
        <v>0.69477911646586343</v>
      </c>
      <c r="X606">
        <v>0.43775100401606426</v>
      </c>
      <c r="Y606">
        <v>0.68674698795180722</v>
      </c>
      <c r="Z606">
        <v>0.55823293172690758</v>
      </c>
      <c r="AA606">
        <v>0</v>
      </c>
      <c r="AB606">
        <v>0.11244979919678715</v>
      </c>
      <c r="AC606">
        <v>0.84738955823293172</v>
      </c>
      <c r="AD606">
        <v>0.53012048192771088</v>
      </c>
      <c r="AE606">
        <v>0.59839357429718876</v>
      </c>
      <c r="AF606">
        <v>0</v>
      </c>
      <c r="AG606">
        <v>0.85943775100401609</v>
      </c>
      <c r="AH606">
        <v>0.99598393574297184</v>
      </c>
      <c r="AI606">
        <v>0.73092369477911645</v>
      </c>
      <c r="AJ606">
        <v>0.96787148594377514</v>
      </c>
      <c r="AL606" s="1">
        <v>0.85943775100401609</v>
      </c>
      <c r="AN606" t="s">
        <v>83</v>
      </c>
      <c r="AO606">
        <v>42</v>
      </c>
      <c r="AP606" s="2">
        <v>0.70333333333333337</v>
      </c>
      <c r="AQ606">
        <v>90</v>
      </c>
      <c r="AT606" s="1">
        <v>0.12048192771084337</v>
      </c>
      <c r="AU606" s="1">
        <v>0.30120481927710846</v>
      </c>
    </row>
    <row r="607" spans="1:47" x14ac:dyDescent="0.3">
      <c r="A607" t="s">
        <v>241</v>
      </c>
      <c r="B607">
        <v>0</v>
      </c>
      <c r="C607" s="1">
        <v>2.4096385542168676E-2</v>
      </c>
      <c r="D607">
        <v>3.614457831325301E-2</v>
      </c>
      <c r="E607">
        <v>8.0321285140562242E-3</v>
      </c>
      <c r="F607">
        <v>1.2048192771084338E-2</v>
      </c>
      <c r="G607">
        <v>0</v>
      </c>
      <c r="H607">
        <v>4.0160642570281121E-3</v>
      </c>
      <c r="I607">
        <v>4.4176706827309238E-2</v>
      </c>
      <c r="J607">
        <v>0.26104417670682734</v>
      </c>
      <c r="K607">
        <v>2.8112449799196786E-2</v>
      </c>
      <c r="L607">
        <v>0</v>
      </c>
      <c r="M607">
        <v>0.15662650602409639</v>
      </c>
      <c r="N607">
        <v>0.83132530120481929</v>
      </c>
      <c r="O607">
        <v>0.30923694779116467</v>
      </c>
      <c r="P607">
        <v>0.36144578313253012</v>
      </c>
      <c r="Q607">
        <v>0</v>
      </c>
      <c r="R607">
        <v>0.12449799196787148</v>
      </c>
      <c r="S607">
        <v>0.21686746987951808</v>
      </c>
      <c r="T607">
        <v>2.0080321285140562E-2</v>
      </c>
      <c r="U607">
        <v>7.6305220883534142E-2</v>
      </c>
      <c r="V607">
        <v>0</v>
      </c>
      <c r="W607">
        <v>0.11244979919678715</v>
      </c>
      <c r="X607">
        <v>0.82730923694779113</v>
      </c>
      <c r="Y607">
        <v>8.8353413654618476E-2</v>
      </c>
      <c r="Z607">
        <v>0.33734939759036142</v>
      </c>
      <c r="AA607">
        <v>0</v>
      </c>
      <c r="AB607">
        <v>0.10843373493975904</v>
      </c>
      <c r="AC607">
        <v>0.38554216867469882</v>
      </c>
      <c r="AD607">
        <v>1.2048192771084338E-2</v>
      </c>
      <c r="AE607">
        <v>3.2128514056224897E-2</v>
      </c>
      <c r="AF607">
        <v>0</v>
      </c>
      <c r="AG607">
        <v>5.2208835341365459E-2</v>
      </c>
      <c r="AH607">
        <v>0.24096385542168675</v>
      </c>
      <c r="AI607">
        <v>8.0321285140562242E-3</v>
      </c>
      <c r="AJ607">
        <v>3.2128514056224897E-2</v>
      </c>
      <c r="AL607" s="1">
        <v>8.0321285140562242E-3</v>
      </c>
      <c r="AN607" t="s">
        <v>80</v>
      </c>
      <c r="AO607">
        <v>23</v>
      </c>
      <c r="AP607" s="2">
        <v>0.17666666666666667</v>
      </c>
      <c r="AQ607">
        <v>248</v>
      </c>
      <c r="AT607" s="1">
        <v>0.8393574297188755</v>
      </c>
      <c r="AU607" s="1">
        <v>0.42971887550200805</v>
      </c>
    </row>
    <row r="608" spans="1:47" x14ac:dyDescent="0.3">
      <c r="A608" t="s">
        <v>242</v>
      </c>
      <c r="B608">
        <v>0</v>
      </c>
      <c r="C608" s="1">
        <v>0.3534136546184739</v>
      </c>
      <c r="D608">
        <v>0.1606425702811245</v>
      </c>
      <c r="E608">
        <v>0.42168674698795183</v>
      </c>
      <c r="F608">
        <v>0.25301204819277107</v>
      </c>
      <c r="G608">
        <v>0</v>
      </c>
      <c r="H608">
        <v>0.37349397590361444</v>
      </c>
      <c r="I608">
        <v>0.69076305220883538</v>
      </c>
      <c r="J608">
        <v>0.65461847389558236</v>
      </c>
      <c r="K608">
        <v>0.61847389558232935</v>
      </c>
      <c r="L608">
        <v>0</v>
      </c>
      <c r="M608">
        <v>4.8192771084337352E-2</v>
      </c>
      <c r="N608">
        <v>6.8273092369477914E-2</v>
      </c>
      <c r="O608">
        <v>0.15662650602409639</v>
      </c>
      <c r="P608">
        <v>6.4257028112449793E-2</v>
      </c>
      <c r="Q608">
        <v>0</v>
      </c>
      <c r="R608">
        <v>0.8875502008032129</v>
      </c>
      <c r="S608">
        <v>0.63052208835341361</v>
      </c>
      <c r="T608">
        <v>0.80722891566265065</v>
      </c>
      <c r="U608">
        <v>0.73493975903614461</v>
      </c>
      <c r="V608">
        <v>0</v>
      </c>
      <c r="W608">
        <v>0.8393574297188755</v>
      </c>
      <c r="X608">
        <v>0.82329317269076308</v>
      </c>
      <c r="Y608">
        <v>0.71485943775100402</v>
      </c>
      <c r="Z608">
        <v>0.80321285140562249</v>
      </c>
      <c r="AA608">
        <v>0</v>
      </c>
      <c r="AB608">
        <v>0.51004016064257029</v>
      </c>
      <c r="AC608">
        <v>0.26506024096385544</v>
      </c>
      <c r="AD608">
        <v>0.49397590361445781</v>
      </c>
      <c r="AE608">
        <v>0.47389558232931728</v>
      </c>
      <c r="AF608">
        <v>0</v>
      </c>
      <c r="AG608">
        <v>0.13654618473895583</v>
      </c>
      <c r="AH608">
        <v>6.0240963855421686E-2</v>
      </c>
      <c r="AI608">
        <v>0.23293172690763053</v>
      </c>
      <c r="AJ608">
        <v>0.10843373493975904</v>
      </c>
      <c r="AL608" s="1">
        <v>0.40160642570281124</v>
      </c>
      <c r="AN608" t="s">
        <v>53</v>
      </c>
      <c r="AO608">
        <v>75</v>
      </c>
      <c r="AP608" s="2">
        <v>0.52666666666666662</v>
      </c>
      <c r="AQ608">
        <v>143</v>
      </c>
      <c r="AT608" s="1">
        <v>0.20883534136546184</v>
      </c>
      <c r="AU608" s="1">
        <v>0.11646586345381527</v>
      </c>
    </row>
    <row r="609" spans="1:47" x14ac:dyDescent="0.3">
      <c r="A609" t="s">
        <v>243</v>
      </c>
      <c r="B609">
        <v>0</v>
      </c>
      <c r="C609" s="1">
        <v>0.92771084337349397</v>
      </c>
      <c r="D609">
        <v>0.97991967871485941</v>
      </c>
      <c r="E609">
        <v>0.52208835341365467</v>
      </c>
      <c r="F609">
        <v>0.98393574297188757</v>
      </c>
      <c r="G609">
        <v>0</v>
      </c>
      <c r="H609">
        <v>0.5381526104417671</v>
      </c>
      <c r="I609">
        <v>0.41365461847389556</v>
      </c>
      <c r="J609">
        <v>0.15662650602409639</v>
      </c>
      <c r="K609">
        <v>0.41767068273092367</v>
      </c>
      <c r="L609">
        <v>0</v>
      </c>
      <c r="M609">
        <v>0.25301204819277107</v>
      </c>
      <c r="N609">
        <v>0.30522088353413657</v>
      </c>
      <c r="O609">
        <v>0.43373493975903615</v>
      </c>
      <c r="P609">
        <v>0.27710843373493976</v>
      </c>
      <c r="Q609">
        <v>0</v>
      </c>
      <c r="R609">
        <v>0.72289156626506024</v>
      </c>
      <c r="S609">
        <v>0.97590361445783136</v>
      </c>
      <c r="T609">
        <v>0.57831325301204817</v>
      </c>
      <c r="U609">
        <v>0.85943775100401609</v>
      </c>
      <c r="V609">
        <v>0</v>
      </c>
      <c r="W609">
        <v>0.22489959839357429</v>
      </c>
      <c r="X609">
        <v>0.32931726907630521</v>
      </c>
      <c r="Y609">
        <v>0.57028112449799195</v>
      </c>
      <c r="Z609">
        <v>0.21686746987951808</v>
      </c>
      <c r="AA609">
        <v>0</v>
      </c>
      <c r="AB609">
        <v>0.96385542168674698</v>
      </c>
      <c r="AC609">
        <v>0.79518072289156627</v>
      </c>
      <c r="AD609">
        <v>0.23694779116465864</v>
      </c>
      <c r="AE609">
        <v>0.44176706827309237</v>
      </c>
      <c r="AF609">
        <v>0</v>
      </c>
      <c r="AG609">
        <v>0.73493975903614461</v>
      </c>
      <c r="AH609">
        <v>0.8112449799196787</v>
      </c>
      <c r="AI609">
        <v>0.47389558232931728</v>
      </c>
      <c r="AJ609">
        <v>0.83132530120481929</v>
      </c>
      <c r="AL609" s="1">
        <v>0.61847389558232935</v>
      </c>
      <c r="AN609" t="s">
        <v>79</v>
      </c>
      <c r="AO609">
        <v>64</v>
      </c>
      <c r="AP609" s="2">
        <v>0.83333333333333337</v>
      </c>
      <c r="AQ609">
        <v>51</v>
      </c>
      <c r="AT609" s="1">
        <v>0.60642570281124497</v>
      </c>
      <c r="AU609" s="1">
        <v>0.54216867469879515</v>
      </c>
    </row>
    <row r="610" spans="1:47" x14ac:dyDescent="0.3">
      <c r="A610" t="s">
        <v>244</v>
      </c>
      <c r="B610">
        <v>0</v>
      </c>
      <c r="C610" s="1">
        <v>0.24899598393574296</v>
      </c>
      <c r="D610">
        <v>0.23694779116465864</v>
      </c>
      <c r="E610">
        <v>9.2369477911646583E-2</v>
      </c>
      <c r="F610">
        <v>0.24497991967871485</v>
      </c>
      <c r="G610">
        <v>0</v>
      </c>
      <c r="H610">
        <v>0.45783132530120479</v>
      </c>
      <c r="I610">
        <v>0.78714859437751006</v>
      </c>
      <c r="J610">
        <v>0.87550200803212852</v>
      </c>
      <c r="K610">
        <v>0.72289156626506024</v>
      </c>
      <c r="L610">
        <v>0</v>
      </c>
      <c r="M610">
        <v>0.1606425702811245</v>
      </c>
      <c r="N610">
        <v>0.17269076305220885</v>
      </c>
      <c r="O610">
        <v>0.84738955823293172</v>
      </c>
      <c r="P610">
        <v>0.27710843373493976</v>
      </c>
      <c r="Q610">
        <v>0</v>
      </c>
      <c r="R610">
        <v>6.0240963855421686E-2</v>
      </c>
      <c r="S610">
        <v>8.4337349397590355E-2</v>
      </c>
      <c r="T610">
        <v>1.6064257028112448E-2</v>
      </c>
      <c r="U610">
        <v>7.2289156626506021E-2</v>
      </c>
      <c r="V610">
        <v>0</v>
      </c>
      <c r="W610">
        <v>0.14056224899598393</v>
      </c>
      <c r="X610">
        <v>0.22489959839357429</v>
      </c>
      <c r="Y610">
        <v>0.59437751004016059</v>
      </c>
      <c r="Z610">
        <v>0.27710843373493976</v>
      </c>
      <c r="AA610">
        <v>0</v>
      </c>
      <c r="AB610">
        <v>4.0160642570281121E-3</v>
      </c>
      <c r="AC610">
        <v>0.49799196787148592</v>
      </c>
      <c r="AD610">
        <v>9.2369477911646583E-2</v>
      </c>
      <c r="AE610">
        <v>0.66666666666666663</v>
      </c>
      <c r="AF610">
        <v>0</v>
      </c>
      <c r="AG610">
        <v>0.18875502008032127</v>
      </c>
      <c r="AH610">
        <v>0.1646586345381526</v>
      </c>
      <c r="AI610">
        <v>0.40160642570281124</v>
      </c>
      <c r="AJ610">
        <v>0.2289156626506024</v>
      </c>
      <c r="AL610" s="1">
        <v>0.13654618473895583</v>
      </c>
      <c r="AN610" t="s">
        <v>61</v>
      </c>
      <c r="AO610">
        <v>44</v>
      </c>
      <c r="AP610" s="2">
        <v>0.21</v>
      </c>
      <c r="AQ610">
        <v>238</v>
      </c>
      <c r="AT610" s="1">
        <v>4.0160642570281121E-3</v>
      </c>
      <c r="AU610" s="1">
        <v>0.94377510040160639</v>
      </c>
    </row>
    <row r="611" spans="1:47" x14ac:dyDescent="0.3">
      <c r="A611" t="s">
        <v>245</v>
      </c>
      <c r="B611">
        <v>0</v>
      </c>
      <c r="C611" s="1">
        <v>0.26104417670682734</v>
      </c>
      <c r="D611">
        <v>0.46987951807228917</v>
      </c>
      <c r="E611">
        <v>5.6224899598393573E-2</v>
      </c>
      <c r="F611">
        <v>0.36144578313253012</v>
      </c>
      <c r="G611">
        <v>0</v>
      </c>
      <c r="H611">
        <v>0.41767068273092367</v>
      </c>
      <c r="I611">
        <v>2.4096385542168676E-2</v>
      </c>
      <c r="J611">
        <v>0.1646586345381526</v>
      </c>
      <c r="K611">
        <v>5.6224899598393573E-2</v>
      </c>
      <c r="L611">
        <v>0</v>
      </c>
      <c r="M611">
        <v>0.61847389558232935</v>
      </c>
      <c r="N611">
        <v>0.79919678714859432</v>
      </c>
      <c r="O611">
        <v>0.68273092369477917</v>
      </c>
      <c r="P611">
        <v>0.65461847389558236</v>
      </c>
      <c r="Q611">
        <v>0</v>
      </c>
      <c r="R611">
        <v>0.67469879518072284</v>
      </c>
      <c r="S611">
        <v>0.61445783132530118</v>
      </c>
      <c r="T611">
        <v>8.4337349397590355E-2</v>
      </c>
      <c r="U611">
        <v>0.65863453815261042</v>
      </c>
      <c r="V611">
        <v>0</v>
      </c>
      <c r="W611">
        <v>0.57028112449799195</v>
      </c>
      <c r="X611">
        <v>0.75903614457831325</v>
      </c>
      <c r="Y611">
        <v>0.81927710843373491</v>
      </c>
      <c r="Z611">
        <v>0.55823293172690758</v>
      </c>
      <c r="AA611">
        <v>0</v>
      </c>
      <c r="AB611">
        <v>0.42971887550200805</v>
      </c>
      <c r="AC611">
        <v>0.57429718875502012</v>
      </c>
      <c r="AD611">
        <v>4.4176706827309238E-2</v>
      </c>
      <c r="AE611">
        <v>0.19277108433734941</v>
      </c>
      <c r="AF611">
        <v>0</v>
      </c>
      <c r="AG611">
        <v>0.38152610441767071</v>
      </c>
      <c r="AH611">
        <v>0.59036144578313254</v>
      </c>
      <c r="AI611">
        <v>0.21686746987951808</v>
      </c>
      <c r="AJ611">
        <v>0.46184738955823296</v>
      </c>
      <c r="AL611" s="1">
        <v>0.42168674698795183</v>
      </c>
      <c r="AN611" t="s">
        <v>71</v>
      </c>
      <c r="AO611">
        <v>48</v>
      </c>
      <c r="AP611" s="2">
        <v>0.52</v>
      </c>
      <c r="AQ611">
        <v>145</v>
      </c>
      <c r="AT611" s="1">
        <v>8.0321285140562249E-2</v>
      </c>
      <c r="AU611" s="1">
        <v>0.98393574297188757</v>
      </c>
    </row>
    <row r="612" spans="1:47" x14ac:dyDescent="0.3">
      <c r="A612" t="s">
        <v>246</v>
      </c>
      <c r="B612">
        <v>0</v>
      </c>
      <c r="C612" s="1">
        <v>3.2128514056224897E-2</v>
      </c>
      <c r="D612">
        <v>0.10441767068273092</v>
      </c>
      <c r="E612">
        <v>0.1606425702811245</v>
      </c>
      <c r="F612">
        <v>3.2128514056224897E-2</v>
      </c>
      <c r="G612">
        <v>0</v>
      </c>
      <c r="H612">
        <v>0.80321285140562249</v>
      </c>
      <c r="I612">
        <v>4.0160642570281121E-3</v>
      </c>
      <c r="J612">
        <v>4.0160642570281121E-3</v>
      </c>
      <c r="K612">
        <v>4.0160642570281124E-2</v>
      </c>
      <c r="L612">
        <v>0</v>
      </c>
      <c r="M612">
        <v>0.51807228915662651</v>
      </c>
      <c r="N612">
        <v>0.99598393574297184</v>
      </c>
      <c r="O612">
        <v>0.98393574297188757</v>
      </c>
      <c r="P612">
        <v>0.94377510040160639</v>
      </c>
      <c r="Q612">
        <v>0</v>
      </c>
      <c r="R612">
        <v>1.2048192771084338E-2</v>
      </c>
      <c r="S612">
        <v>0.20883534136546184</v>
      </c>
      <c r="T612">
        <v>0.20080321285140562</v>
      </c>
      <c r="U612">
        <v>4.0160642570281124E-2</v>
      </c>
      <c r="V612">
        <v>0</v>
      </c>
      <c r="W612">
        <v>0.18072289156626506</v>
      </c>
      <c r="X612">
        <v>0.99196787148594379</v>
      </c>
      <c r="Y612">
        <v>0.95582329317269077</v>
      </c>
      <c r="Z612">
        <v>0.85542168674698793</v>
      </c>
      <c r="AA612">
        <v>0</v>
      </c>
      <c r="AB612">
        <v>0.12048192771084337</v>
      </c>
      <c r="AC612">
        <v>0.67871485943775101</v>
      </c>
      <c r="AD612">
        <v>0.32128514056224899</v>
      </c>
      <c r="AE612">
        <v>0.93975903614457834</v>
      </c>
      <c r="AF612">
        <v>0</v>
      </c>
      <c r="AG612">
        <v>0.13253012048192772</v>
      </c>
      <c r="AH612">
        <v>0.72289156626506024</v>
      </c>
      <c r="AI612">
        <v>0.8875502008032129</v>
      </c>
      <c r="AJ612">
        <v>0.30120481927710846</v>
      </c>
      <c r="AL612" s="1">
        <v>0.19277108433734941</v>
      </c>
      <c r="AN612" t="s">
        <v>68</v>
      </c>
      <c r="AO612">
        <v>16</v>
      </c>
      <c r="AP612" s="2">
        <v>0.29333333333333333</v>
      </c>
      <c r="AQ612">
        <v>213</v>
      </c>
      <c r="AT612" s="1">
        <v>0.67871485943775101</v>
      </c>
      <c r="AU612" s="1">
        <v>4.0160642570281121E-3</v>
      </c>
    </row>
    <row r="613" spans="1:47" x14ac:dyDescent="0.3">
      <c r="A613" t="s">
        <v>247</v>
      </c>
      <c r="B613">
        <v>0</v>
      </c>
      <c r="C613" s="1">
        <v>0.11646586345381527</v>
      </c>
      <c r="D613">
        <v>0.52610441767068272</v>
      </c>
      <c r="E613">
        <v>0.32128514056224899</v>
      </c>
      <c r="F613">
        <v>0.34538152610441769</v>
      </c>
      <c r="G613">
        <v>0</v>
      </c>
      <c r="H613">
        <v>0.72289156626506024</v>
      </c>
      <c r="I613">
        <v>0.28915662650602408</v>
      </c>
      <c r="J613">
        <v>0.39759036144578314</v>
      </c>
      <c r="K613">
        <v>0.39357429718875503</v>
      </c>
      <c r="L613">
        <v>0</v>
      </c>
      <c r="M613">
        <v>0.14457831325301204</v>
      </c>
      <c r="N613">
        <v>0.57831325301204817</v>
      </c>
      <c r="O613">
        <v>0.4859437751004016</v>
      </c>
      <c r="P613">
        <v>0.1646586345381526</v>
      </c>
      <c r="Q613">
        <v>0</v>
      </c>
      <c r="R613">
        <v>6.8273092369477914E-2</v>
      </c>
      <c r="S613">
        <v>0.37751004016064255</v>
      </c>
      <c r="T613">
        <v>0.32128514056224899</v>
      </c>
      <c r="U613">
        <v>0.2289156626506024</v>
      </c>
      <c r="V613">
        <v>0</v>
      </c>
      <c r="W613">
        <v>0.18875502008032127</v>
      </c>
      <c r="X613">
        <v>0.79116465863453811</v>
      </c>
      <c r="Y613">
        <v>0.28112449799196787</v>
      </c>
      <c r="Z613">
        <v>0.31325301204819278</v>
      </c>
      <c r="AA613">
        <v>0</v>
      </c>
      <c r="AB613">
        <v>7.2289156626506021E-2</v>
      </c>
      <c r="AC613">
        <v>0.71084337349397586</v>
      </c>
      <c r="AD613">
        <v>0.6987951807228916</v>
      </c>
      <c r="AE613">
        <v>0.84738955823293172</v>
      </c>
      <c r="AF613">
        <v>0</v>
      </c>
      <c r="AG613">
        <v>9.2369477911646583E-2</v>
      </c>
      <c r="AH613">
        <v>0.51807228915662651</v>
      </c>
      <c r="AI613">
        <v>0.38554216867469882</v>
      </c>
      <c r="AJ613">
        <v>0.2289156626506024</v>
      </c>
      <c r="AL613" s="1">
        <v>0.11244979919678715</v>
      </c>
      <c r="AN613" t="s">
        <v>54</v>
      </c>
      <c r="AO613">
        <v>19</v>
      </c>
      <c r="AP613" s="2">
        <v>0.23</v>
      </c>
      <c r="AQ613">
        <v>232</v>
      </c>
      <c r="AT613" s="1">
        <v>2.4096385542168676E-2</v>
      </c>
      <c r="AU613" s="1">
        <v>0.85943775100401609</v>
      </c>
    </row>
    <row r="614" spans="1:47" x14ac:dyDescent="0.3">
      <c r="A614" t="s">
        <v>248</v>
      </c>
      <c r="B614">
        <v>0</v>
      </c>
      <c r="C614" s="1">
        <v>0.23293172690763053</v>
      </c>
      <c r="D614">
        <v>0.38152610441767071</v>
      </c>
      <c r="E614">
        <v>0.76305220883534142</v>
      </c>
      <c r="F614">
        <v>0.32931726907630521</v>
      </c>
      <c r="G614">
        <v>0</v>
      </c>
      <c r="H614">
        <v>0.65863453815261042</v>
      </c>
      <c r="I614">
        <v>0.87550200803212852</v>
      </c>
      <c r="J614">
        <v>0.93975903614457834</v>
      </c>
      <c r="K614">
        <v>0.84738955823293172</v>
      </c>
      <c r="L614">
        <v>0</v>
      </c>
      <c r="M614">
        <v>0.11646586345381527</v>
      </c>
      <c r="N614">
        <v>0.18072289156626506</v>
      </c>
      <c r="O614">
        <v>0.32931726907630521</v>
      </c>
      <c r="P614">
        <v>0.17670682730923695</v>
      </c>
      <c r="Q614">
        <v>0</v>
      </c>
      <c r="R614">
        <v>0.37349397590361444</v>
      </c>
      <c r="S614">
        <v>0.3493975903614458</v>
      </c>
      <c r="T614">
        <v>0.7269076305220884</v>
      </c>
      <c r="U614">
        <v>0.37751004016064255</v>
      </c>
      <c r="V614">
        <v>0</v>
      </c>
      <c r="W614">
        <v>3.614457831325301E-2</v>
      </c>
      <c r="X614">
        <v>0.21686746987951808</v>
      </c>
      <c r="Y614">
        <v>0.64658634538152615</v>
      </c>
      <c r="Z614">
        <v>0.17269076305220885</v>
      </c>
      <c r="AA614">
        <v>0</v>
      </c>
      <c r="AB614">
        <v>0.28915662650602408</v>
      </c>
      <c r="AC614">
        <v>0.51004016064257029</v>
      </c>
      <c r="AD614">
        <v>0.94377510040160639</v>
      </c>
      <c r="AE614">
        <v>0.85943775100401609</v>
      </c>
      <c r="AF614">
        <v>0</v>
      </c>
      <c r="AG614">
        <v>0.15662650602409639</v>
      </c>
      <c r="AH614">
        <v>0.24899598393574296</v>
      </c>
      <c r="AI614">
        <v>0.57028112449799195</v>
      </c>
      <c r="AJ614">
        <v>0.22489959839357429</v>
      </c>
      <c r="AL614" s="1">
        <v>0.23694779116465864</v>
      </c>
      <c r="AN614" t="s">
        <v>249</v>
      </c>
      <c r="AO614">
        <v>70</v>
      </c>
      <c r="AP614" s="2">
        <v>0.35</v>
      </c>
      <c r="AQ614">
        <v>196</v>
      </c>
      <c r="AT614" s="1">
        <v>5.6224899598393573E-2</v>
      </c>
      <c r="AU614" s="1">
        <v>0.66666666666666663</v>
      </c>
    </row>
    <row r="615" spans="1:47" x14ac:dyDescent="0.3">
      <c r="A615" t="s">
        <v>250</v>
      </c>
      <c r="B615">
        <v>0</v>
      </c>
      <c r="C615" s="1">
        <v>0.96787148594377514</v>
      </c>
      <c r="D615">
        <v>0.51405622489959835</v>
      </c>
      <c r="E615">
        <v>0.5662650602409639</v>
      </c>
      <c r="F615">
        <v>0.80722891566265065</v>
      </c>
      <c r="G615">
        <v>0</v>
      </c>
      <c r="H615">
        <v>0.45783132530120479</v>
      </c>
      <c r="I615">
        <v>0.84337349397590367</v>
      </c>
      <c r="J615">
        <v>0.59036144578313254</v>
      </c>
      <c r="K615">
        <v>0.80722891566265065</v>
      </c>
      <c r="L615">
        <v>0</v>
      </c>
      <c r="M615">
        <v>0.99598393574297184</v>
      </c>
      <c r="N615">
        <v>0.91566265060240959</v>
      </c>
      <c r="O615">
        <v>0.87148594377510036</v>
      </c>
      <c r="P615">
        <v>0.97991967871485941</v>
      </c>
      <c r="Q615">
        <v>0</v>
      </c>
      <c r="R615">
        <v>0.61445783132530118</v>
      </c>
      <c r="S615">
        <v>0.26506024096385544</v>
      </c>
      <c r="T615">
        <v>0.28514056224899598</v>
      </c>
      <c r="U615">
        <v>0.46987951807228917</v>
      </c>
      <c r="V615">
        <v>0</v>
      </c>
      <c r="W615">
        <v>0.99196787148594379</v>
      </c>
      <c r="X615">
        <v>0.77108433734939763</v>
      </c>
      <c r="Y615">
        <v>0.96787148594377514</v>
      </c>
      <c r="Z615">
        <v>0.94377510040160639</v>
      </c>
      <c r="AA615">
        <v>0</v>
      </c>
      <c r="AB615">
        <v>0.80722891566265065</v>
      </c>
      <c r="AC615">
        <v>0.45381526104417669</v>
      </c>
      <c r="AD615">
        <v>0.19678714859437751</v>
      </c>
      <c r="AE615">
        <v>0.15261044176706828</v>
      </c>
      <c r="AF615">
        <v>0</v>
      </c>
      <c r="AG615">
        <v>1</v>
      </c>
      <c r="AH615">
        <v>0.76706827309236947</v>
      </c>
      <c r="AI615">
        <v>0.81526104417670686</v>
      </c>
      <c r="AJ615">
        <v>0.9718875502008032</v>
      </c>
      <c r="AL615" s="1">
        <v>0.98795180722891562</v>
      </c>
      <c r="AN615" t="s">
        <v>55</v>
      </c>
      <c r="AO615">
        <v>81</v>
      </c>
      <c r="AP615" s="2">
        <v>0.98333333333333328</v>
      </c>
      <c r="AQ615">
        <v>6</v>
      </c>
      <c r="AT615" s="1">
        <v>0.49397590361445781</v>
      </c>
      <c r="AU615" s="1">
        <v>0.38955823293172692</v>
      </c>
    </row>
    <row r="616" spans="1:47" x14ac:dyDescent="0.3">
      <c r="A616" t="s">
        <v>251</v>
      </c>
      <c r="B616">
        <v>0</v>
      </c>
      <c r="C616" s="1">
        <v>0.76305220883534142</v>
      </c>
      <c r="D616">
        <v>0.86345381526104414</v>
      </c>
      <c r="E616">
        <v>0.85542168674698793</v>
      </c>
      <c r="F616">
        <v>0.8875502008032129</v>
      </c>
      <c r="G616">
        <v>0</v>
      </c>
      <c r="H616">
        <v>0.37349397590361444</v>
      </c>
      <c r="I616">
        <v>0.33333333333333331</v>
      </c>
      <c r="J616">
        <v>0.2289156626506024</v>
      </c>
      <c r="K616">
        <v>0.30120481927710846</v>
      </c>
      <c r="L616">
        <v>0</v>
      </c>
      <c r="M616">
        <v>0.26104417670682734</v>
      </c>
      <c r="N616">
        <v>0.22489959839357429</v>
      </c>
      <c r="O616">
        <v>0.40963855421686746</v>
      </c>
      <c r="P616">
        <v>0.33333333333333331</v>
      </c>
      <c r="Q616">
        <v>0</v>
      </c>
      <c r="R616">
        <v>0.13253012048192772</v>
      </c>
      <c r="S616">
        <v>0.27710843373493976</v>
      </c>
      <c r="T616">
        <v>0.55020080321285136</v>
      </c>
      <c r="U616">
        <v>0.37751004016064255</v>
      </c>
      <c r="V616">
        <v>0</v>
      </c>
      <c r="W616">
        <v>0.24096385542168675</v>
      </c>
      <c r="X616">
        <v>0.35742971887550201</v>
      </c>
      <c r="Y616">
        <v>0.34136546184738958</v>
      </c>
      <c r="Z616">
        <v>0.32128514056224899</v>
      </c>
      <c r="AA616">
        <v>0</v>
      </c>
      <c r="AB616">
        <v>0.39759036144578314</v>
      </c>
      <c r="AC616">
        <v>0.70682730923694781</v>
      </c>
      <c r="AD616">
        <v>0.67068273092369479</v>
      </c>
      <c r="AE616">
        <v>0.64658634538152615</v>
      </c>
      <c r="AF616">
        <v>0</v>
      </c>
      <c r="AG616">
        <v>0.54216867469879515</v>
      </c>
      <c r="AH616">
        <v>0.57028112449799195</v>
      </c>
      <c r="AI616">
        <v>0.64658634538152615</v>
      </c>
      <c r="AJ616">
        <v>0.68674698795180722</v>
      </c>
      <c r="AL616" s="1">
        <v>0.37751004016064255</v>
      </c>
      <c r="AN616" t="s">
        <v>57</v>
      </c>
      <c r="AO616">
        <v>82</v>
      </c>
      <c r="AP616" s="2">
        <v>0.48333333333333334</v>
      </c>
      <c r="AQ616">
        <v>156</v>
      </c>
      <c r="AT616" s="1">
        <v>0.51004016064257029</v>
      </c>
      <c r="AU616" s="1">
        <v>0.71485943775100402</v>
      </c>
    </row>
    <row r="617" spans="1:47" x14ac:dyDescent="0.3">
      <c r="A617" t="s">
        <v>252</v>
      </c>
      <c r="B617">
        <v>0</v>
      </c>
      <c r="C617" s="1">
        <v>0.37751004016064255</v>
      </c>
      <c r="D617">
        <v>0.8875502008032129</v>
      </c>
      <c r="E617">
        <v>0.39759036144578314</v>
      </c>
      <c r="F617">
        <v>0.67871485943775101</v>
      </c>
      <c r="G617">
        <v>0</v>
      </c>
      <c r="H617">
        <v>0.11244979919678715</v>
      </c>
      <c r="I617">
        <v>0.71887550200803207</v>
      </c>
      <c r="J617">
        <v>0.1646586345381526</v>
      </c>
      <c r="K617">
        <v>0.54618473895582331</v>
      </c>
      <c r="L617">
        <v>0</v>
      </c>
      <c r="M617">
        <v>0.32128514056224899</v>
      </c>
      <c r="N617">
        <v>0.64257028112449799</v>
      </c>
      <c r="O617">
        <v>0.14056224899598393</v>
      </c>
      <c r="P617">
        <v>0.52610441767068272</v>
      </c>
      <c r="Q617">
        <v>0</v>
      </c>
      <c r="R617">
        <v>0.41767068273092367</v>
      </c>
      <c r="S617">
        <v>0.55020080321285136</v>
      </c>
      <c r="T617">
        <v>0.39357429718875503</v>
      </c>
      <c r="U617">
        <v>0.45381526104417669</v>
      </c>
      <c r="V617">
        <v>0</v>
      </c>
      <c r="W617">
        <v>0.41767068273092367</v>
      </c>
      <c r="X617">
        <v>0.77510040160642568</v>
      </c>
      <c r="Y617">
        <v>0.52610441767068272</v>
      </c>
      <c r="Z617">
        <v>0.71485943775100402</v>
      </c>
      <c r="AA617">
        <v>0</v>
      </c>
      <c r="AB617">
        <v>0.27710843373493976</v>
      </c>
      <c r="AC617">
        <v>2.8112449799196786E-2</v>
      </c>
      <c r="AD617">
        <v>0.55421686746987953</v>
      </c>
      <c r="AE617">
        <v>0.15261044176706828</v>
      </c>
      <c r="AF617">
        <v>0</v>
      </c>
      <c r="AG617">
        <v>0.34136546184738958</v>
      </c>
      <c r="AH617">
        <v>0.8875502008032129</v>
      </c>
      <c r="AI617">
        <v>0.20883534136546184</v>
      </c>
      <c r="AJ617">
        <v>0.63855421686746983</v>
      </c>
      <c r="AL617" s="1">
        <v>0.43775100401606426</v>
      </c>
      <c r="AN617" t="s">
        <v>65</v>
      </c>
      <c r="AO617">
        <v>78</v>
      </c>
      <c r="AP617" s="2">
        <v>0.49333333333333335</v>
      </c>
      <c r="AQ617">
        <v>153</v>
      </c>
      <c r="AT617" s="1">
        <v>0.97991967871485941</v>
      </c>
      <c r="AU617" s="1">
        <v>0.21285140562248997</v>
      </c>
    </row>
    <row r="618" spans="1:47" x14ac:dyDescent="0.3">
      <c r="A618" t="s">
        <v>253</v>
      </c>
      <c r="B618">
        <v>0</v>
      </c>
      <c r="C618" s="1">
        <v>4.0160642570281124E-2</v>
      </c>
      <c r="D618">
        <v>6.0240963855421686E-2</v>
      </c>
      <c r="E618">
        <v>0.99598393574297184</v>
      </c>
      <c r="F618">
        <v>6.8273092369477914E-2</v>
      </c>
      <c r="G618">
        <v>0</v>
      </c>
      <c r="H618">
        <v>0.5381526104417671</v>
      </c>
      <c r="I618">
        <v>4.4176706827309238E-2</v>
      </c>
      <c r="J618">
        <v>0.26104417670682734</v>
      </c>
      <c r="K618">
        <v>8.0321285140562249E-2</v>
      </c>
      <c r="L618">
        <v>0</v>
      </c>
      <c r="M618">
        <v>3.614457831325301E-2</v>
      </c>
      <c r="N618">
        <v>0.20080321285140562</v>
      </c>
      <c r="O618">
        <v>0.30923694779116467</v>
      </c>
      <c r="P618">
        <v>4.8192771084337352E-2</v>
      </c>
      <c r="Q618">
        <v>0</v>
      </c>
      <c r="R618">
        <v>0.26104417670682734</v>
      </c>
      <c r="S618">
        <v>0.36144578313253012</v>
      </c>
      <c r="T618">
        <v>0.93975903614457834</v>
      </c>
      <c r="U618">
        <v>0.51004016064257029</v>
      </c>
      <c r="V618">
        <v>0</v>
      </c>
      <c r="W618">
        <v>0.10040160642570281</v>
      </c>
      <c r="X618">
        <v>0.77510040160642568</v>
      </c>
      <c r="Y618">
        <v>0.32931726907630521</v>
      </c>
      <c r="Z618">
        <v>0.33734939759036142</v>
      </c>
      <c r="AA618">
        <v>0</v>
      </c>
      <c r="AB618">
        <v>0.35742971887550201</v>
      </c>
      <c r="AC618">
        <v>8.0321285140562242E-3</v>
      </c>
      <c r="AD618">
        <v>1</v>
      </c>
      <c r="AE618">
        <v>0.97991967871485941</v>
      </c>
      <c r="AF618">
        <v>0</v>
      </c>
      <c r="AG618">
        <v>1.6064257028112448E-2</v>
      </c>
      <c r="AH618">
        <v>6.8273092369477914E-2</v>
      </c>
      <c r="AI618">
        <v>0.86345381526104414</v>
      </c>
      <c r="AJ618">
        <v>2.8112449799196786E-2</v>
      </c>
      <c r="AL618" s="1">
        <v>4.4176706827309238E-2</v>
      </c>
      <c r="AN618" t="s">
        <v>67</v>
      </c>
      <c r="AO618">
        <v>20</v>
      </c>
      <c r="AP618" s="2">
        <v>0.21666666666666667</v>
      </c>
      <c r="AQ618">
        <v>236</v>
      </c>
      <c r="AT618" s="1">
        <v>0.66265060240963858</v>
      </c>
      <c r="AU618" s="1">
        <v>4.0160642570281121E-3</v>
      </c>
    </row>
    <row r="619" spans="1:47" x14ac:dyDescent="0.3">
      <c r="A619" t="s">
        <v>254</v>
      </c>
      <c r="B619">
        <v>0</v>
      </c>
      <c r="C619" s="1">
        <v>0.40562248995983935</v>
      </c>
      <c r="D619">
        <v>0.25702811244979917</v>
      </c>
      <c r="E619">
        <v>0.12851405622489959</v>
      </c>
      <c r="F619">
        <v>0.36947791164658633</v>
      </c>
      <c r="G619">
        <v>0</v>
      </c>
      <c r="H619">
        <v>0.6987951807228916</v>
      </c>
      <c r="I619">
        <v>8.0321285140562249E-2</v>
      </c>
      <c r="J619">
        <v>0.13654618473895583</v>
      </c>
      <c r="K619">
        <v>0.13253012048192772</v>
      </c>
      <c r="L619">
        <v>0</v>
      </c>
      <c r="M619">
        <v>2.4096385542168676E-2</v>
      </c>
      <c r="N619">
        <v>7.6305220883534142E-2</v>
      </c>
      <c r="O619">
        <v>0.46586345381526106</v>
      </c>
      <c r="P619">
        <v>6.4257028112449793E-2</v>
      </c>
      <c r="Q619">
        <v>0</v>
      </c>
      <c r="R619">
        <v>0.79518072289156627</v>
      </c>
      <c r="S619">
        <v>0.67469879518072284</v>
      </c>
      <c r="T619">
        <v>0.66666666666666663</v>
      </c>
      <c r="U619">
        <v>0.84738955823293172</v>
      </c>
      <c r="V619">
        <v>0</v>
      </c>
      <c r="W619">
        <v>4.0160642570281124E-2</v>
      </c>
      <c r="X619">
        <v>0.12851405622489959</v>
      </c>
      <c r="Y619">
        <v>0.93574297188755018</v>
      </c>
      <c r="Z619">
        <v>0.12449799196787148</v>
      </c>
      <c r="AA619">
        <v>0</v>
      </c>
      <c r="AB619">
        <v>0.33734939759036142</v>
      </c>
      <c r="AC619">
        <v>0.22489959839357429</v>
      </c>
      <c r="AD619">
        <v>0.14859437751004015</v>
      </c>
      <c r="AE619">
        <v>0.57028112449799195</v>
      </c>
      <c r="AF619">
        <v>0</v>
      </c>
      <c r="AG619">
        <v>0.10843373493975904</v>
      </c>
      <c r="AH619">
        <v>0.10441767068273092</v>
      </c>
      <c r="AI619">
        <v>0.23293172690763053</v>
      </c>
      <c r="AJ619">
        <v>0.13654618473895583</v>
      </c>
      <c r="AL619" s="1">
        <v>0.24899598393574296</v>
      </c>
      <c r="AN619" t="s">
        <v>74</v>
      </c>
      <c r="AO619">
        <v>33</v>
      </c>
      <c r="AP619" s="2">
        <v>0.36333333333333334</v>
      </c>
      <c r="AQ619">
        <v>192</v>
      </c>
      <c r="AT619" s="1">
        <v>4.0160642570281124E-2</v>
      </c>
      <c r="AU619" s="1">
        <v>0.37349397590361444</v>
      </c>
    </row>
    <row r="620" spans="1:47" x14ac:dyDescent="0.3">
      <c r="A620" t="s">
        <v>255</v>
      </c>
      <c r="B620">
        <v>0</v>
      </c>
      <c r="C620" s="1">
        <v>0.94779116465863456</v>
      </c>
      <c r="D620">
        <v>0.99196787148594379</v>
      </c>
      <c r="E620">
        <v>0.65863453815261042</v>
      </c>
      <c r="F620">
        <v>0.99598393574297184</v>
      </c>
      <c r="G620">
        <v>0</v>
      </c>
      <c r="H620">
        <v>0.11244979919678715</v>
      </c>
      <c r="I620">
        <v>0.89959839357429716</v>
      </c>
      <c r="J620">
        <v>0.96787148594377514</v>
      </c>
      <c r="K620">
        <v>0.73493975903614461</v>
      </c>
      <c r="L620">
        <v>0</v>
      </c>
      <c r="M620">
        <v>0.24899598393574296</v>
      </c>
      <c r="N620">
        <v>0.3493975903614458</v>
      </c>
      <c r="O620">
        <v>0.36546184738955823</v>
      </c>
      <c r="P620">
        <v>0.41365461847389556</v>
      </c>
      <c r="Q620">
        <v>0</v>
      </c>
      <c r="R620">
        <v>0.85943775100401609</v>
      </c>
      <c r="S620">
        <v>0.96787148594377514</v>
      </c>
      <c r="T620">
        <v>0.69477911646586343</v>
      </c>
      <c r="U620">
        <v>0.95582329317269077</v>
      </c>
      <c r="V620">
        <v>0</v>
      </c>
      <c r="W620">
        <v>0.23694779116465864</v>
      </c>
      <c r="X620">
        <v>0.38955823293172692</v>
      </c>
      <c r="Y620">
        <v>0.42971887550200805</v>
      </c>
      <c r="Z620">
        <v>0.44979919678714858</v>
      </c>
      <c r="AA620">
        <v>0</v>
      </c>
      <c r="AB620">
        <v>0.86345381526104414</v>
      </c>
      <c r="AC620">
        <v>0.41365461847389556</v>
      </c>
      <c r="AD620">
        <v>0.32931726907630521</v>
      </c>
      <c r="AE620">
        <v>0.44176706827309237</v>
      </c>
      <c r="AF620">
        <v>0</v>
      </c>
      <c r="AG620">
        <v>0.7831325301204819</v>
      </c>
      <c r="AH620">
        <v>0.86746987951807231</v>
      </c>
      <c r="AI620">
        <v>0.50200803212851408</v>
      </c>
      <c r="AJ620">
        <v>0.91566265060240959</v>
      </c>
      <c r="AL620" s="1">
        <v>0.73092369477911645</v>
      </c>
      <c r="AN620" t="s">
        <v>79</v>
      </c>
      <c r="AO620">
        <v>68</v>
      </c>
      <c r="AP620" s="2">
        <v>0.88</v>
      </c>
      <c r="AQ620">
        <v>37</v>
      </c>
      <c r="AT620" s="1">
        <v>0.31325301204819278</v>
      </c>
      <c r="AU620" s="1">
        <v>0.40160642570281124</v>
      </c>
    </row>
    <row r="621" spans="1:47" x14ac:dyDescent="0.3">
      <c r="A621" t="s">
        <v>256</v>
      </c>
      <c r="B621">
        <v>0</v>
      </c>
      <c r="C621" s="1">
        <v>0.22088353413654618</v>
      </c>
      <c r="D621">
        <v>0.74698795180722888</v>
      </c>
      <c r="E621">
        <v>0.1646586345381526</v>
      </c>
      <c r="F621">
        <v>0.55823293172690758</v>
      </c>
      <c r="G621">
        <v>0</v>
      </c>
      <c r="H621">
        <v>0.22489959839357429</v>
      </c>
      <c r="I621">
        <v>0.10040160642570281</v>
      </c>
      <c r="J621">
        <v>5.6224899598393573E-2</v>
      </c>
      <c r="K621">
        <v>7.2289156626506021E-2</v>
      </c>
      <c r="L621">
        <v>0</v>
      </c>
      <c r="M621">
        <v>0.15261044176706828</v>
      </c>
      <c r="N621">
        <v>0.28112449799196787</v>
      </c>
      <c r="O621">
        <v>7.6305220883534142E-2</v>
      </c>
      <c r="P621">
        <v>0.15261044176706828</v>
      </c>
      <c r="Q621">
        <v>0</v>
      </c>
      <c r="R621">
        <v>0.15261044176706828</v>
      </c>
      <c r="S621">
        <v>0.22088353413654618</v>
      </c>
      <c r="T621">
        <v>0.10441767068273092</v>
      </c>
      <c r="U621">
        <v>0.2289156626506024</v>
      </c>
      <c r="V621">
        <v>0</v>
      </c>
      <c r="W621">
        <v>0.18473895582329317</v>
      </c>
      <c r="X621">
        <v>0.27710843373493976</v>
      </c>
      <c r="Y621">
        <v>0.46184738955823296</v>
      </c>
      <c r="Z621">
        <v>0.19277108433734941</v>
      </c>
      <c r="AA621">
        <v>0</v>
      </c>
      <c r="AB621">
        <v>0.76706827309236947</v>
      </c>
      <c r="AC621">
        <v>0.28112449799196787</v>
      </c>
      <c r="AD621">
        <v>0.21285140562248997</v>
      </c>
      <c r="AE621">
        <v>7.6305220883534142E-2</v>
      </c>
      <c r="AF621">
        <v>0</v>
      </c>
      <c r="AG621">
        <v>0.16867469879518071</v>
      </c>
      <c r="AH621">
        <v>0.49799196787148592</v>
      </c>
      <c r="AI621">
        <v>6.4257028112449793E-2</v>
      </c>
      <c r="AJ621">
        <v>0.3493975903614458</v>
      </c>
      <c r="AL621" s="1">
        <v>6.0240963855421686E-2</v>
      </c>
      <c r="AN621" t="s">
        <v>65</v>
      </c>
      <c r="AO621">
        <v>72</v>
      </c>
      <c r="AP621" s="2">
        <v>0.26333333333333331</v>
      </c>
      <c r="AQ621">
        <v>222</v>
      </c>
      <c r="AT621" s="1">
        <v>0.67871485943775101</v>
      </c>
      <c r="AU621" s="1">
        <v>0.38955823293172692</v>
      </c>
    </row>
    <row r="622" spans="1:47" x14ac:dyDescent="0.3">
      <c r="A622" t="s">
        <v>257</v>
      </c>
      <c r="B622">
        <v>0</v>
      </c>
      <c r="C622" s="1">
        <v>0.90361445783132532</v>
      </c>
      <c r="D622">
        <v>0.77510040160642568</v>
      </c>
      <c r="E622">
        <v>0.37751004016064255</v>
      </c>
      <c r="F622">
        <v>0.82730923694779113</v>
      </c>
      <c r="G622">
        <v>0</v>
      </c>
      <c r="H622">
        <v>0.5381526104417671</v>
      </c>
      <c r="I622">
        <v>0.1606425702811245</v>
      </c>
      <c r="J622">
        <v>0.26104417670682734</v>
      </c>
      <c r="K622">
        <v>0.2289156626506024</v>
      </c>
      <c r="L622">
        <v>0</v>
      </c>
      <c r="M622">
        <v>0.84738955823293172</v>
      </c>
      <c r="N622">
        <v>0.75903614457831325</v>
      </c>
      <c r="O622">
        <v>0.8875502008032129</v>
      </c>
      <c r="P622">
        <v>0.96385542168674698</v>
      </c>
      <c r="Q622">
        <v>0</v>
      </c>
      <c r="R622">
        <v>0.56224899598393574</v>
      </c>
      <c r="S622">
        <v>0.12048192771084337</v>
      </c>
      <c r="T622">
        <v>0.57028112449799195</v>
      </c>
      <c r="U622">
        <v>0.28514056224899598</v>
      </c>
      <c r="V622">
        <v>0</v>
      </c>
      <c r="W622">
        <v>0.94377510040160639</v>
      </c>
      <c r="X622">
        <v>0.93975903614457834</v>
      </c>
      <c r="Y622">
        <v>0.79518072289156627</v>
      </c>
      <c r="Z622">
        <v>0.98795180722891562</v>
      </c>
      <c r="AA622">
        <v>0</v>
      </c>
      <c r="AB622">
        <v>0.12449799196787148</v>
      </c>
      <c r="AC622">
        <v>0.53413654618473894</v>
      </c>
      <c r="AD622">
        <v>0.10441767068273092</v>
      </c>
      <c r="AE622">
        <v>0.40160642570281124</v>
      </c>
      <c r="AF622">
        <v>0</v>
      </c>
      <c r="AG622">
        <v>0.91967871485943775</v>
      </c>
      <c r="AH622">
        <v>0.83534136546184734</v>
      </c>
      <c r="AI622">
        <v>0.73092369477911645</v>
      </c>
      <c r="AJ622">
        <v>0.95180722891566261</v>
      </c>
      <c r="AL622" s="1">
        <v>0.88353413654618473</v>
      </c>
      <c r="AN622" t="s">
        <v>79</v>
      </c>
      <c r="AO622">
        <v>23</v>
      </c>
      <c r="AP622" s="2">
        <v>0.74</v>
      </c>
      <c r="AQ622">
        <v>79</v>
      </c>
      <c r="AT622" s="1">
        <v>0.27710843373493976</v>
      </c>
      <c r="AU622" s="1">
        <v>1</v>
      </c>
    </row>
    <row r="623" spans="1:47" x14ac:dyDescent="0.3">
      <c r="A623" t="s">
        <v>258</v>
      </c>
      <c r="B623">
        <v>0</v>
      </c>
      <c r="C623" s="1">
        <v>0.75903614457831325</v>
      </c>
      <c r="D623">
        <v>0.92771084337349397</v>
      </c>
      <c r="E623">
        <v>0.68273092369477917</v>
      </c>
      <c r="F623">
        <v>0.87148594377510036</v>
      </c>
      <c r="G623">
        <v>0</v>
      </c>
      <c r="H623">
        <v>0.22489959839357429</v>
      </c>
      <c r="I623">
        <v>0.85943775100401609</v>
      </c>
      <c r="J623">
        <v>0.71084337349397586</v>
      </c>
      <c r="K623">
        <v>0.75100401606425704</v>
      </c>
      <c r="L623">
        <v>0</v>
      </c>
      <c r="M623">
        <v>0.79919678714859432</v>
      </c>
      <c r="N623">
        <v>0.55421686746987953</v>
      </c>
      <c r="O623">
        <v>0.91967871485943775</v>
      </c>
      <c r="P623">
        <v>0.71887550200803207</v>
      </c>
      <c r="Q623">
        <v>0</v>
      </c>
      <c r="R623">
        <v>0.71485943775100402</v>
      </c>
      <c r="S623">
        <v>0.82329317269076308</v>
      </c>
      <c r="T623">
        <v>0.4859437751004016</v>
      </c>
      <c r="U623">
        <v>0.74698795180722888</v>
      </c>
      <c r="V623">
        <v>0</v>
      </c>
      <c r="W623">
        <v>0.58634538152610438</v>
      </c>
      <c r="X623">
        <v>0.50200803212851408</v>
      </c>
      <c r="Y623">
        <v>0.69477911646586343</v>
      </c>
      <c r="Z623">
        <v>0.58232931726907633</v>
      </c>
      <c r="AA623">
        <v>0</v>
      </c>
      <c r="AB623">
        <v>0.46184738955823296</v>
      </c>
      <c r="AC623">
        <v>0.15261044176706828</v>
      </c>
      <c r="AD623">
        <v>0.52208835341365467</v>
      </c>
      <c r="AE623">
        <v>0.79116465863453811</v>
      </c>
      <c r="AF623">
        <v>0</v>
      </c>
      <c r="AG623">
        <v>0.8393574297188755</v>
      </c>
      <c r="AH623">
        <v>0.87550200803212852</v>
      </c>
      <c r="AI623">
        <v>0.91566265060240959</v>
      </c>
      <c r="AJ623">
        <v>0.8875502008032129</v>
      </c>
      <c r="AL623" s="1">
        <v>0.85542168674698793</v>
      </c>
      <c r="AN623" t="s">
        <v>66</v>
      </c>
      <c r="AO623">
        <v>78</v>
      </c>
      <c r="AP623" s="2">
        <v>0.84666666666666668</v>
      </c>
      <c r="AQ623">
        <v>47</v>
      </c>
      <c r="AT623" s="1">
        <v>0.24497991967871485</v>
      </c>
      <c r="AU623" s="1">
        <v>0.42971887550200805</v>
      </c>
    </row>
    <row r="624" spans="1:47" x14ac:dyDescent="0.3">
      <c r="A624" t="s">
        <v>259</v>
      </c>
      <c r="B624">
        <v>0</v>
      </c>
      <c r="C624" s="1">
        <v>0.53012048192771088</v>
      </c>
      <c r="D624">
        <v>0.56224899598393574</v>
      </c>
      <c r="E624">
        <v>0.73092369477911645</v>
      </c>
      <c r="F624">
        <v>0.58634538152610438</v>
      </c>
      <c r="G624">
        <v>0</v>
      </c>
      <c r="H624">
        <v>4.0160642570281121E-3</v>
      </c>
      <c r="I624">
        <v>4.0160642570281121E-3</v>
      </c>
      <c r="J624">
        <v>4.0160642570281121E-3</v>
      </c>
      <c r="K624">
        <v>4.0160642570281121E-3</v>
      </c>
      <c r="L624">
        <v>0</v>
      </c>
      <c r="M624">
        <v>0.10843373493975904</v>
      </c>
      <c r="N624">
        <v>0.48192771084337349</v>
      </c>
      <c r="O624">
        <v>0.68273092369477917</v>
      </c>
      <c r="P624">
        <v>0.18473895582329317</v>
      </c>
      <c r="Q624">
        <v>0</v>
      </c>
      <c r="R624">
        <v>0.46987951807228917</v>
      </c>
      <c r="S624">
        <v>0.26907630522088355</v>
      </c>
      <c r="T624">
        <v>0.90361445783132532</v>
      </c>
      <c r="U624">
        <v>0.4859437751004016</v>
      </c>
      <c r="V624">
        <v>0</v>
      </c>
      <c r="W624">
        <v>0.36947791164658633</v>
      </c>
      <c r="X624">
        <v>0.34136546184738958</v>
      </c>
      <c r="Y624">
        <v>0.85943775100401609</v>
      </c>
      <c r="Z624">
        <v>0.40562248995983935</v>
      </c>
      <c r="AA624">
        <v>0</v>
      </c>
      <c r="AB624">
        <v>8.0321285140562242E-3</v>
      </c>
      <c r="AC624">
        <v>0.84337349397590367</v>
      </c>
      <c r="AD624">
        <v>0.79116465863453811</v>
      </c>
      <c r="AE624">
        <v>0.89558232931726911</v>
      </c>
      <c r="AF624">
        <v>0</v>
      </c>
      <c r="AG624">
        <v>0.27710843373493976</v>
      </c>
      <c r="AH624">
        <v>0.49397590361445781</v>
      </c>
      <c r="AI624">
        <v>0.79518072289156627</v>
      </c>
      <c r="AJ624">
        <v>0.35742971887550201</v>
      </c>
      <c r="AL624" s="1">
        <v>0.12048192771084337</v>
      </c>
      <c r="AN624" t="s">
        <v>81</v>
      </c>
      <c r="AO624">
        <v>23</v>
      </c>
      <c r="AP624" s="2">
        <v>0.22</v>
      </c>
      <c r="AQ624">
        <v>235</v>
      </c>
      <c r="AT624" s="1">
        <v>0.67871485943775101</v>
      </c>
      <c r="AU624" s="1">
        <v>0.90361445783132532</v>
      </c>
    </row>
    <row r="625" spans="1:47" x14ac:dyDescent="0.3">
      <c r="A625" t="s">
        <v>260</v>
      </c>
      <c r="B625">
        <v>0</v>
      </c>
      <c r="C625" s="1">
        <v>0.23293172690763053</v>
      </c>
      <c r="D625">
        <v>0.2289156626506024</v>
      </c>
      <c r="E625">
        <v>0.30522088353413657</v>
      </c>
      <c r="F625">
        <v>0.2289156626506024</v>
      </c>
      <c r="G625">
        <v>0</v>
      </c>
      <c r="H625">
        <v>0.5381526104417671</v>
      </c>
      <c r="I625">
        <v>0.28915662650602408</v>
      </c>
      <c r="J625">
        <v>0.37349397590361444</v>
      </c>
      <c r="K625">
        <v>0.32128514056224899</v>
      </c>
      <c r="L625">
        <v>0</v>
      </c>
      <c r="M625">
        <v>0.39759036144578314</v>
      </c>
      <c r="N625">
        <v>0.58634538152610438</v>
      </c>
      <c r="O625">
        <v>0.27710843373493976</v>
      </c>
      <c r="P625">
        <v>0.48995983935742971</v>
      </c>
      <c r="Q625">
        <v>0</v>
      </c>
      <c r="R625">
        <v>8.4337349397590355E-2</v>
      </c>
      <c r="S625">
        <v>7.2289156626506021E-2</v>
      </c>
      <c r="T625">
        <v>0.36144578313253012</v>
      </c>
      <c r="U625">
        <v>6.0240963855421686E-2</v>
      </c>
      <c r="V625">
        <v>0</v>
      </c>
      <c r="W625">
        <v>0.55823293172690758</v>
      </c>
      <c r="X625">
        <v>0.72289156626506024</v>
      </c>
      <c r="Y625">
        <v>0.64257028112449799</v>
      </c>
      <c r="Z625">
        <v>0.69477911646586343</v>
      </c>
      <c r="AA625">
        <v>0</v>
      </c>
      <c r="AB625">
        <v>0.79919678714859432</v>
      </c>
      <c r="AC625">
        <v>0.10441767068273092</v>
      </c>
      <c r="AD625">
        <v>0.54216867469879515</v>
      </c>
      <c r="AE625">
        <v>0.31325301204819278</v>
      </c>
      <c r="AF625">
        <v>0</v>
      </c>
      <c r="AG625">
        <v>0.29317269076305219</v>
      </c>
      <c r="AH625">
        <v>0.34538152610441769</v>
      </c>
      <c r="AI625">
        <v>0.26506024096385544</v>
      </c>
      <c r="AJ625">
        <v>0.2971887550200803</v>
      </c>
      <c r="AL625" s="1">
        <v>0.17670682730923695</v>
      </c>
      <c r="AN625" t="s">
        <v>62</v>
      </c>
      <c r="AO625">
        <v>67</v>
      </c>
      <c r="AP625" s="2">
        <v>0.41333333333333333</v>
      </c>
      <c r="AQ625">
        <v>177</v>
      </c>
      <c r="AT625" s="1">
        <v>0.63855421686746983</v>
      </c>
      <c r="AU625" s="1">
        <v>0.80722891566265065</v>
      </c>
    </row>
    <row r="626" spans="1:47" x14ac:dyDescent="0.3">
      <c r="A626" t="s">
        <v>261</v>
      </c>
      <c r="B626">
        <v>0</v>
      </c>
      <c r="C626" s="1">
        <v>0.39357429718875503</v>
      </c>
      <c r="D626">
        <v>0.31325301204819278</v>
      </c>
      <c r="E626">
        <v>8.0321285140562249E-2</v>
      </c>
      <c r="F626">
        <v>0.32128514056224899</v>
      </c>
      <c r="G626">
        <v>0</v>
      </c>
      <c r="H626">
        <v>0.45783132530120479</v>
      </c>
      <c r="I626">
        <v>0.17269076305220885</v>
      </c>
      <c r="J626">
        <v>0.37349397590361444</v>
      </c>
      <c r="K626">
        <v>0.22489959839357429</v>
      </c>
      <c r="L626">
        <v>0</v>
      </c>
      <c r="M626">
        <v>0.59437751004016059</v>
      </c>
      <c r="N626">
        <v>0.69477911646586343</v>
      </c>
      <c r="O626">
        <v>0.85542168674698793</v>
      </c>
      <c r="P626">
        <v>0.59437751004016059</v>
      </c>
      <c r="Q626">
        <v>0</v>
      </c>
      <c r="R626">
        <v>0.3253012048192771</v>
      </c>
      <c r="S626">
        <v>0.50200803212851408</v>
      </c>
      <c r="T626">
        <v>0.13654618473895583</v>
      </c>
      <c r="U626">
        <v>0.50602409638554213</v>
      </c>
      <c r="V626">
        <v>0</v>
      </c>
      <c r="W626">
        <v>0.52208835341365467</v>
      </c>
      <c r="X626">
        <v>0.22489959839357429</v>
      </c>
      <c r="Y626">
        <v>0.60642570281124497</v>
      </c>
      <c r="Z626">
        <v>0.28514056224899598</v>
      </c>
      <c r="AA626">
        <v>0</v>
      </c>
      <c r="AB626">
        <v>0.91164658634538154</v>
      </c>
      <c r="AC626">
        <v>0.33734939759036142</v>
      </c>
      <c r="AD626">
        <v>0.10040160642570281</v>
      </c>
      <c r="AE626">
        <v>0.52610441767068272</v>
      </c>
      <c r="AF626">
        <v>0</v>
      </c>
      <c r="AG626">
        <v>0.45783132530120479</v>
      </c>
      <c r="AH626">
        <v>0.44979919678714858</v>
      </c>
      <c r="AI626">
        <v>0.40963855421686746</v>
      </c>
      <c r="AJ626">
        <v>0.41365461847389556</v>
      </c>
      <c r="AL626" s="1">
        <v>0.32931726907630521</v>
      </c>
      <c r="AN626" t="s">
        <v>75</v>
      </c>
      <c r="AO626">
        <v>79</v>
      </c>
      <c r="AP626" s="2">
        <v>0.54333333333333333</v>
      </c>
      <c r="AQ626">
        <v>138</v>
      </c>
      <c r="AT626" s="1">
        <v>0.15662650602409639</v>
      </c>
      <c r="AU626" s="1">
        <v>0.6987951807228916</v>
      </c>
    </row>
    <row r="627" spans="1:47" x14ac:dyDescent="0.3">
      <c r="A627" t="s">
        <v>262</v>
      </c>
      <c r="B627">
        <v>0</v>
      </c>
      <c r="C627" s="1">
        <v>0.74297188755020083</v>
      </c>
      <c r="D627">
        <v>0.71887550200803207</v>
      </c>
      <c r="E627">
        <v>0.98795180722891562</v>
      </c>
      <c r="F627">
        <v>0.66666666666666663</v>
      </c>
      <c r="G627">
        <v>0</v>
      </c>
      <c r="H627">
        <v>0.37349397590361444</v>
      </c>
      <c r="I627">
        <v>0.87951807228915657</v>
      </c>
      <c r="J627">
        <v>0.71084337349397586</v>
      </c>
      <c r="K627">
        <v>0.82329317269076308</v>
      </c>
      <c r="L627">
        <v>0</v>
      </c>
      <c r="M627">
        <v>0.7269076305220884</v>
      </c>
      <c r="N627">
        <v>0.62650602409638556</v>
      </c>
      <c r="O627">
        <v>0.97991967871485941</v>
      </c>
      <c r="P627">
        <v>0.70281124497991965</v>
      </c>
      <c r="Q627">
        <v>0</v>
      </c>
      <c r="R627">
        <v>0.68273092369477917</v>
      </c>
      <c r="S627">
        <v>0.65863453815261042</v>
      </c>
      <c r="T627">
        <v>0.90763052208835338</v>
      </c>
      <c r="U627">
        <v>0.59036144578313254</v>
      </c>
      <c r="V627">
        <v>0</v>
      </c>
      <c r="W627">
        <v>0.61445783132530118</v>
      </c>
      <c r="X627">
        <v>0.52610441767068272</v>
      </c>
      <c r="Y627">
        <v>0.74698795180722888</v>
      </c>
      <c r="Z627">
        <v>0.52208835341365467</v>
      </c>
      <c r="AA627">
        <v>0</v>
      </c>
      <c r="AB627">
        <v>0.52610441767068272</v>
      </c>
      <c r="AC627">
        <v>0.85943775100401609</v>
      </c>
      <c r="AD627">
        <v>0.96787148594377514</v>
      </c>
      <c r="AE627">
        <v>0.98795180722891562</v>
      </c>
      <c r="AF627">
        <v>0</v>
      </c>
      <c r="AG627">
        <v>0.79116465863453811</v>
      </c>
      <c r="AH627">
        <v>0.75502008032128509</v>
      </c>
      <c r="AI627">
        <v>0.99598393574297184</v>
      </c>
      <c r="AJ627">
        <v>0.74698795180722888</v>
      </c>
      <c r="AL627" s="1">
        <v>0.80722891566265065</v>
      </c>
      <c r="AN627" t="s">
        <v>51</v>
      </c>
      <c r="AO627">
        <v>75</v>
      </c>
      <c r="AP627" s="2">
        <v>0.81666666666666665</v>
      </c>
      <c r="AQ627">
        <v>56</v>
      </c>
      <c r="AT627" s="1">
        <v>0.58634538152610438</v>
      </c>
      <c r="AU627" s="1">
        <v>0.11646586345381527</v>
      </c>
    </row>
    <row r="628" spans="1:47" x14ac:dyDescent="0.3">
      <c r="A628" t="s">
        <v>263</v>
      </c>
      <c r="B628">
        <v>0</v>
      </c>
      <c r="C628" s="1">
        <v>0.2971887550200803</v>
      </c>
      <c r="D628">
        <v>0.20080321285140562</v>
      </c>
      <c r="E628">
        <v>6.8273092369477914E-2</v>
      </c>
      <c r="F628">
        <v>8.0321285140562249E-2</v>
      </c>
      <c r="G628">
        <v>0</v>
      </c>
      <c r="H628">
        <v>0.41767068273092367</v>
      </c>
      <c r="I628">
        <v>7.2289156626506021E-2</v>
      </c>
      <c r="J628">
        <v>9.2369477911646583E-2</v>
      </c>
      <c r="K628">
        <v>9.2369477911646583E-2</v>
      </c>
      <c r="L628">
        <v>0</v>
      </c>
      <c r="M628">
        <v>0.66666666666666663</v>
      </c>
      <c r="N628">
        <v>0.71887550200803207</v>
      </c>
      <c r="O628">
        <v>0.51004016064257029</v>
      </c>
      <c r="P628">
        <v>0.71887550200803207</v>
      </c>
      <c r="Q628">
        <v>0</v>
      </c>
      <c r="R628">
        <v>0.12851405622489959</v>
      </c>
      <c r="S628">
        <v>3.2128514056224897E-2</v>
      </c>
      <c r="T628">
        <v>3.2128514056224897E-2</v>
      </c>
      <c r="U628">
        <v>8.0321285140562242E-3</v>
      </c>
      <c r="V628">
        <v>0</v>
      </c>
      <c r="W628">
        <v>0.74698795180722888</v>
      </c>
      <c r="X628">
        <v>0.85140562248995988</v>
      </c>
      <c r="Y628">
        <v>0.74297188755020083</v>
      </c>
      <c r="Z628">
        <v>0.89156626506024095</v>
      </c>
      <c r="AA628">
        <v>0</v>
      </c>
      <c r="AB628">
        <v>6.0240963855421686E-2</v>
      </c>
      <c r="AC628">
        <v>7.2289156626506021E-2</v>
      </c>
      <c r="AD628">
        <v>6.4257028112449793E-2</v>
      </c>
      <c r="AE628">
        <v>0.11244979919678715</v>
      </c>
      <c r="AF628">
        <v>0</v>
      </c>
      <c r="AG628">
        <v>0.43775100401606426</v>
      </c>
      <c r="AH628">
        <v>0.40160642570281124</v>
      </c>
      <c r="AI628">
        <v>0.16867469879518071</v>
      </c>
      <c r="AJ628">
        <v>0.27309236947791166</v>
      </c>
      <c r="AL628" s="1">
        <v>0.23293172690763053</v>
      </c>
      <c r="AN628" t="s">
        <v>62</v>
      </c>
      <c r="AO628">
        <v>61</v>
      </c>
      <c r="AP628" s="2">
        <v>0.28333333333333333</v>
      </c>
      <c r="AQ628">
        <v>216</v>
      </c>
      <c r="AT628" s="1">
        <v>0.29317269076305219</v>
      </c>
      <c r="AU628" s="1">
        <v>0.87951807228915657</v>
      </c>
    </row>
    <row r="629" spans="1:47" x14ac:dyDescent="0.3">
      <c r="A629" t="s">
        <v>264</v>
      </c>
      <c r="B629">
        <v>0</v>
      </c>
      <c r="C629" s="1">
        <v>0.85943775100401609</v>
      </c>
      <c r="D629">
        <v>0.82329317269076308</v>
      </c>
      <c r="E629">
        <v>0.6987951807228916</v>
      </c>
      <c r="F629">
        <v>0.71887550200803207</v>
      </c>
      <c r="G629">
        <v>0</v>
      </c>
      <c r="H629">
        <v>0.6224899598393574</v>
      </c>
      <c r="I629">
        <v>0.43373493975903615</v>
      </c>
      <c r="J629">
        <v>0.31726907630522089</v>
      </c>
      <c r="K629">
        <v>0.51405622489959835</v>
      </c>
      <c r="L629">
        <v>0</v>
      </c>
      <c r="M629">
        <v>0.78714859437751006</v>
      </c>
      <c r="N629">
        <v>0.71887550200803207</v>
      </c>
      <c r="O629">
        <v>0.36546184738955823</v>
      </c>
      <c r="P629">
        <v>0.89959839357429716</v>
      </c>
      <c r="Q629">
        <v>0</v>
      </c>
      <c r="R629">
        <v>0.84738955823293172</v>
      </c>
      <c r="S629">
        <v>0.81927710843373491</v>
      </c>
      <c r="T629">
        <v>0.74698795180722888</v>
      </c>
      <c r="U629">
        <v>0.76305220883534142</v>
      </c>
      <c r="V629">
        <v>0</v>
      </c>
      <c r="W629">
        <v>0.2971887550200803</v>
      </c>
      <c r="X629">
        <v>0.45783132530120479</v>
      </c>
      <c r="Y629">
        <v>0.18473895582329317</v>
      </c>
      <c r="Z629">
        <v>0.66666666666666663</v>
      </c>
      <c r="AA629">
        <v>0</v>
      </c>
      <c r="AB629">
        <v>0.51405622489959835</v>
      </c>
      <c r="AC629">
        <v>0.51807228915662651</v>
      </c>
      <c r="AD629">
        <v>0.40963855421686746</v>
      </c>
      <c r="AE629">
        <v>0.17269076305220885</v>
      </c>
      <c r="AF629">
        <v>0</v>
      </c>
      <c r="AG629">
        <v>0.88353413654618473</v>
      </c>
      <c r="AH629">
        <v>0.86345381526104414</v>
      </c>
      <c r="AI629">
        <v>0.53012048192771088</v>
      </c>
      <c r="AJ629">
        <v>0.87951807228915657</v>
      </c>
      <c r="AL629" s="1">
        <v>0.86345381526104414</v>
      </c>
      <c r="AN629" t="s">
        <v>56</v>
      </c>
      <c r="AO629">
        <v>82</v>
      </c>
      <c r="AP629" s="2">
        <v>0.86333333333333329</v>
      </c>
      <c r="AQ629">
        <v>42</v>
      </c>
      <c r="AT629" s="1">
        <v>0.79116465863453811</v>
      </c>
      <c r="AU629" s="1">
        <v>4.0160642570281124E-2</v>
      </c>
    </row>
    <row r="630" spans="1:47" x14ac:dyDescent="0.3">
      <c r="A630" t="s">
        <v>265</v>
      </c>
      <c r="B630">
        <v>0</v>
      </c>
      <c r="C630" s="1">
        <v>0.12449799196787148</v>
      </c>
      <c r="D630">
        <v>0.71084337349397586</v>
      </c>
      <c r="E630">
        <v>0.30522088353413657</v>
      </c>
      <c r="F630">
        <v>0.40963855421686746</v>
      </c>
      <c r="G630">
        <v>0</v>
      </c>
      <c r="H630">
        <v>0.11244979919678715</v>
      </c>
      <c r="I630">
        <v>0.91164658634538154</v>
      </c>
      <c r="J630">
        <v>0.90763052208835338</v>
      </c>
      <c r="K630">
        <v>0.75903614457831325</v>
      </c>
      <c r="L630">
        <v>0</v>
      </c>
      <c r="M630">
        <v>0.20080321285140562</v>
      </c>
      <c r="N630">
        <v>0.63453815261044177</v>
      </c>
      <c r="O630">
        <v>0.26907630522088355</v>
      </c>
      <c r="P630">
        <v>0.50200803212851408</v>
      </c>
      <c r="Q630">
        <v>0</v>
      </c>
      <c r="R630">
        <v>4.8192771084337352E-2</v>
      </c>
      <c r="S630">
        <v>0.12851405622489959</v>
      </c>
      <c r="T630">
        <v>0.28112449799196787</v>
      </c>
      <c r="U630">
        <v>6.4257028112449793E-2</v>
      </c>
      <c r="V630">
        <v>0</v>
      </c>
      <c r="W630">
        <v>0.32931726907630521</v>
      </c>
      <c r="X630">
        <v>0.83132530120481929</v>
      </c>
      <c r="Y630">
        <v>0.87148594377510036</v>
      </c>
      <c r="Z630">
        <v>0.7831325301204819</v>
      </c>
      <c r="AA630">
        <v>0</v>
      </c>
      <c r="AB630">
        <v>0.49799196787148592</v>
      </c>
      <c r="AC630">
        <v>4.0160642570281121E-3</v>
      </c>
      <c r="AD630">
        <v>0.68273092369477917</v>
      </c>
      <c r="AE630">
        <v>0.52610441767068272</v>
      </c>
      <c r="AF630">
        <v>0</v>
      </c>
      <c r="AG630">
        <v>0.13654618473895583</v>
      </c>
      <c r="AH630">
        <v>0.73895582329317266</v>
      </c>
      <c r="AI630">
        <v>0.24497991967871485</v>
      </c>
      <c r="AJ630">
        <v>0.42168674698795183</v>
      </c>
      <c r="AL630" s="1">
        <v>0.20883534136546184</v>
      </c>
      <c r="AN630" t="s">
        <v>65</v>
      </c>
      <c r="AO630">
        <v>77</v>
      </c>
      <c r="AP630" s="2">
        <v>0.38333333333333336</v>
      </c>
      <c r="AQ630">
        <v>186</v>
      </c>
      <c r="AT630" s="1">
        <v>0.80722891566265065</v>
      </c>
      <c r="AU630" s="1">
        <v>0.91967871485943775</v>
      </c>
    </row>
    <row r="631" spans="1:47" x14ac:dyDescent="0.3">
      <c r="A631" t="s">
        <v>266</v>
      </c>
      <c r="B631">
        <v>0</v>
      </c>
      <c r="C631" s="1">
        <v>0.77911646586345384</v>
      </c>
      <c r="D631">
        <v>0.91967871485943775</v>
      </c>
      <c r="E631">
        <v>0.76305220883534142</v>
      </c>
      <c r="F631">
        <v>0.91164658634538154</v>
      </c>
      <c r="G631">
        <v>0</v>
      </c>
      <c r="H631">
        <v>0.89558232931726911</v>
      </c>
      <c r="I631">
        <v>0.59437751004016059</v>
      </c>
      <c r="J631">
        <v>0.80722891566265065</v>
      </c>
      <c r="K631">
        <v>0.77911646586345384</v>
      </c>
      <c r="L631">
        <v>0</v>
      </c>
      <c r="M631">
        <v>0.80722891566265065</v>
      </c>
      <c r="N631">
        <v>0.64658634538152615</v>
      </c>
      <c r="O631">
        <v>0.8393574297188755</v>
      </c>
      <c r="P631">
        <v>0.81526104417670686</v>
      </c>
      <c r="Q631">
        <v>0</v>
      </c>
      <c r="R631">
        <v>0.82730923694779113</v>
      </c>
      <c r="S631">
        <v>0.91967871485943775</v>
      </c>
      <c r="T631">
        <v>0.73092369477911645</v>
      </c>
      <c r="U631">
        <v>0.91164658634538154</v>
      </c>
      <c r="V631">
        <v>0</v>
      </c>
      <c r="W631">
        <v>0.95180722891566261</v>
      </c>
      <c r="X631">
        <v>0.80321285140562249</v>
      </c>
      <c r="Y631">
        <v>0.7831325301204819</v>
      </c>
      <c r="Z631">
        <v>0.95983935742971882</v>
      </c>
      <c r="AA631">
        <v>0</v>
      </c>
      <c r="AB631">
        <v>0.65863453815261042</v>
      </c>
      <c r="AC631">
        <v>0.3253012048192771</v>
      </c>
      <c r="AD631">
        <v>0.64658634538152615</v>
      </c>
      <c r="AE631">
        <v>0.83132530120481929</v>
      </c>
      <c r="AF631">
        <v>0</v>
      </c>
      <c r="AG631">
        <v>0.85542168674698793</v>
      </c>
      <c r="AH631">
        <v>0.89558232931726911</v>
      </c>
      <c r="AI631">
        <v>0.8875502008032129</v>
      </c>
      <c r="AJ631">
        <v>0.93574297188755018</v>
      </c>
      <c r="AL631" s="1">
        <v>0.96787148594377514</v>
      </c>
      <c r="AN631" t="s">
        <v>267</v>
      </c>
      <c r="AO631">
        <v>78</v>
      </c>
      <c r="AP631" s="2">
        <v>0.95333333333333337</v>
      </c>
      <c r="AQ631">
        <v>15</v>
      </c>
      <c r="AT631" s="1">
        <v>0.73493975903614461</v>
      </c>
      <c r="AU631" s="1">
        <v>0.28915662650602408</v>
      </c>
    </row>
    <row r="632" spans="1:47" x14ac:dyDescent="0.3">
      <c r="A632" t="s">
        <v>268</v>
      </c>
      <c r="B632">
        <v>0</v>
      </c>
      <c r="C632" s="1">
        <v>0.5662650602409639</v>
      </c>
      <c r="D632">
        <v>0.4859437751004016</v>
      </c>
      <c r="E632">
        <v>0.92771084337349397</v>
      </c>
      <c r="F632">
        <v>0.50602409638554213</v>
      </c>
      <c r="G632">
        <v>0</v>
      </c>
      <c r="H632">
        <v>0.27710843373493976</v>
      </c>
      <c r="I632">
        <v>0.17269076305220885</v>
      </c>
      <c r="J632">
        <v>0.18875502008032127</v>
      </c>
      <c r="K632">
        <v>0.18072289156626506</v>
      </c>
      <c r="L632">
        <v>0</v>
      </c>
      <c r="M632">
        <v>0.19678714859437751</v>
      </c>
      <c r="N632">
        <v>0.28915662650602408</v>
      </c>
      <c r="O632">
        <v>0.30923694779116467</v>
      </c>
      <c r="P632">
        <v>0.29317269076305219</v>
      </c>
      <c r="Q632">
        <v>0</v>
      </c>
      <c r="R632">
        <v>0.43373493975903615</v>
      </c>
      <c r="S632">
        <v>0.32931726907630521</v>
      </c>
      <c r="T632">
        <v>0.53413654618473894</v>
      </c>
      <c r="U632">
        <v>0.2289156626506024</v>
      </c>
      <c r="V632">
        <v>0</v>
      </c>
      <c r="W632">
        <v>0.34538152610441769</v>
      </c>
      <c r="X632">
        <v>0.69477911646586343</v>
      </c>
      <c r="Y632">
        <v>0.69477911646586343</v>
      </c>
      <c r="Z632">
        <v>0.69477911646586343</v>
      </c>
      <c r="AA632">
        <v>0</v>
      </c>
      <c r="AB632">
        <v>0.93574297188755018</v>
      </c>
      <c r="AC632">
        <v>0.46586345381526106</v>
      </c>
      <c r="AD632">
        <v>0.91967871485943775</v>
      </c>
      <c r="AE632">
        <v>0.82730923694779113</v>
      </c>
      <c r="AF632">
        <v>0</v>
      </c>
      <c r="AG632">
        <v>0.38955823293172692</v>
      </c>
      <c r="AH632">
        <v>0.34136546184738958</v>
      </c>
      <c r="AI632">
        <v>0.67871485943775101</v>
      </c>
      <c r="AJ632">
        <v>0.36546184738955823</v>
      </c>
      <c r="AL632" s="1">
        <v>0.27710843373493976</v>
      </c>
      <c r="AN632" t="s">
        <v>63</v>
      </c>
      <c r="AO632">
        <v>55</v>
      </c>
      <c r="AP632" s="2">
        <v>0.49</v>
      </c>
      <c r="AQ632">
        <v>154</v>
      </c>
      <c r="AT632" s="1">
        <v>0.77108433734939763</v>
      </c>
      <c r="AU632" s="1">
        <v>9.6385542168674704E-2</v>
      </c>
    </row>
    <row r="633" spans="1:47" x14ac:dyDescent="0.3">
      <c r="A633" t="s">
        <v>269</v>
      </c>
      <c r="B633">
        <v>0</v>
      </c>
      <c r="C633" s="1">
        <v>0.98393574297188757</v>
      </c>
      <c r="D633">
        <v>0.36144578313253012</v>
      </c>
      <c r="E633">
        <v>0.82730923694779113</v>
      </c>
      <c r="F633">
        <v>0.60642570281124497</v>
      </c>
      <c r="G633">
        <v>0</v>
      </c>
      <c r="H633">
        <v>0.9718875502008032</v>
      </c>
      <c r="I633">
        <v>0.11646586345381527</v>
      </c>
      <c r="J633">
        <v>0.11646586345381527</v>
      </c>
      <c r="K633">
        <v>0.47791164658634538</v>
      </c>
      <c r="L633">
        <v>0</v>
      </c>
      <c r="M633">
        <v>0.77911646586345384</v>
      </c>
      <c r="N633">
        <v>0.84337349397590367</v>
      </c>
      <c r="O633">
        <v>0.40963855421686746</v>
      </c>
      <c r="P633">
        <v>0.63855421686746983</v>
      </c>
      <c r="Q633">
        <v>0</v>
      </c>
      <c r="R633">
        <v>0.60240963855421692</v>
      </c>
      <c r="S633">
        <v>0.22489959839357429</v>
      </c>
      <c r="T633">
        <v>0.61445783132530118</v>
      </c>
      <c r="U633">
        <v>0.22489959839357429</v>
      </c>
      <c r="V633">
        <v>0</v>
      </c>
      <c r="W633">
        <v>0.23293172690763053</v>
      </c>
      <c r="X633">
        <v>0.61445783132530118</v>
      </c>
      <c r="Y633">
        <v>0.34136546184738958</v>
      </c>
      <c r="Z633">
        <v>0.25702811244979917</v>
      </c>
      <c r="AA633">
        <v>0</v>
      </c>
      <c r="AB633">
        <v>6.8273092369477914E-2</v>
      </c>
      <c r="AC633">
        <v>0.96385542168674698</v>
      </c>
      <c r="AD633">
        <v>0.46987951807228917</v>
      </c>
      <c r="AE633">
        <v>0.27309236947791166</v>
      </c>
      <c r="AF633">
        <v>0</v>
      </c>
      <c r="AG633">
        <v>0.95180722891566261</v>
      </c>
      <c r="AH633">
        <v>0.54618473895582331</v>
      </c>
      <c r="AI633">
        <v>0.63052208835341361</v>
      </c>
      <c r="AJ633">
        <v>0.64658634538152615</v>
      </c>
      <c r="AL633" s="1">
        <v>0.63052208835341361</v>
      </c>
      <c r="AN633" t="s">
        <v>55</v>
      </c>
      <c r="AO633">
        <v>48</v>
      </c>
      <c r="AP633" s="2">
        <v>0.52333333333333332</v>
      </c>
      <c r="AQ633">
        <v>144</v>
      </c>
      <c r="AT633" s="1">
        <v>6.4257028112449793E-2</v>
      </c>
      <c r="AU633" s="1">
        <v>0.82730923694779113</v>
      </c>
    </row>
    <row r="634" spans="1:47" x14ac:dyDescent="0.3">
      <c r="A634" t="s">
        <v>270</v>
      </c>
      <c r="B634">
        <v>0</v>
      </c>
      <c r="C634" s="1">
        <v>0.20883534136546184</v>
      </c>
      <c r="D634">
        <v>5.6224899598393573E-2</v>
      </c>
      <c r="E634">
        <v>0.49799196787148592</v>
      </c>
      <c r="F634">
        <v>0.20883534136546184</v>
      </c>
      <c r="G634">
        <v>0</v>
      </c>
      <c r="H634">
        <v>0.91967871485943775</v>
      </c>
      <c r="I634">
        <v>0.92771084337349397</v>
      </c>
      <c r="J634">
        <v>0.9718875502008032</v>
      </c>
      <c r="K634">
        <v>0.95582329317269077</v>
      </c>
      <c r="L634">
        <v>0</v>
      </c>
      <c r="M634">
        <v>0.55823293172690758</v>
      </c>
      <c r="N634">
        <v>0.24096385542168675</v>
      </c>
      <c r="O634">
        <v>0.59036144578313254</v>
      </c>
      <c r="P634">
        <v>0.13654618473895583</v>
      </c>
      <c r="Q634">
        <v>0</v>
      </c>
      <c r="R634">
        <v>0.72289156626506024</v>
      </c>
      <c r="S634">
        <v>0.28915662650602408</v>
      </c>
      <c r="T634">
        <v>0.42168674698795183</v>
      </c>
      <c r="U634">
        <v>0.57429718875502012</v>
      </c>
      <c r="V634">
        <v>0</v>
      </c>
      <c r="W634">
        <v>0.81927710843373491</v>
      </c>
      <c r="X634">
        <v>0.76305220883534142</v>
      </c>
      <c r="Y634">
        <v>0.99196787148594379</v>
      </c>
      <c r="Z634">
        <v>0.58232931726907633</v>
      </c>
      <c r="AA634">
        <v>0</v>
      </c>
      <c r="AB634">
        <v>0.84337349397590367</v>
      </c>
      <c r="AC634">
        <v>0.40160642570281124</v>
      </c>
      <c r="AD634">
        <v>0.7269076305220884</v>
      </c>
      <c r="AE634">
        <v>0.73493975903614461</v>
      </c>
      <c r="AF634">
        <v>0</v>
      </c>
      <c r="AG634">
        <v>0.31726907630522089</v>
      </c>
      <c r="AH634">
        <v>7.6305220883534142E-2</v>
      </c>
      <c r="AI634">
        <v>0.55020080321285136</v>
      </c>
      <c r="AJ634">
        <v>0.13253012048192772</v>
      </c>
      <c r="AL634" s="1">
        <v>0.59437751004016059</v>
      </c>
      <c r="AN634" t="s">
        <v>58</v>
      </c>
      <c r="AO634">
        <v>48</v>
      </c>
      <c r="AP634" s="2">
        <v>0.7466666666666667</v>
      </c>
      <c r="AQ634">
        <v>77</v>
      </c>
      <c r="AT634" s="1">
        <v>0.61445783132530118</v>
      </c>
      <c r="AU634" s="1">
        <v>0.64257028112449799</v>
      </c>
    </row>
    <row r="635" spans="1:47" x14ac:dyDescent="0.3">
      <c r="A635" t="s">
        <v>271</v>
      </c>
      <c r="B635">
        <v>0</v>
      </c>
      <c r="C635" s="1">
        <v>0.38955823293172692</v>
      </c>
      <c r="D635">
        <v>0.42168674698795183</v>
      </c>
      <c r="E635">
        <v>0.41767068273092367</v>
      </c>
      <c r="F635">
        <v>0.38152610441767071</v>
      </c>
      <c r="G635">
        <v>0</v>
      </c>
      <c r="H635">
        <v>0.45783132530120479</v>
      </c>
      <c r="I635">
        <v>0.3493975903614458</v>
      </c>
      <c r="J635">
        <v>9.2369477911646583E-2</v>
      </c>
      <c r="K635">
        <v>0.32128514056224899</v>
      </c>
      <c r="L635">
        <v>0</v>
      </c>
      <c r="M635">
        <v>0.93975903614457834</v>
      </c>
      <c r="N635">
        <v>0.82730923694779113</v>
      </c>
      <c r="O635">
        <v>0.87148594377510036</v>
      </c>
      <c r="P635">
        <v>0.79919678714859432</v>
      </c>
      <c r="Q635">
        <v>0</v>
      </c>
      <c r="R635">
        <v>5.6224899598393573E-2</v>
      </c>
      <c r="S635">
        <v>3.614457831325301E-2</v>
      </c>
      <c r="T635">
        <v>0.26104417670682734</v>
      </c>
      <c r="U635">
        <v>0.14859437751004015</v>
      </c>
      <c r="V635">
        <v>0</v>
      </c>
      <c r="W635">
        <v>0.75502008032128509</v>
      </c>
      <c r="X635">
        <v>0.62650602409638556</v>
      </c>
      <c r="Y635">
        <v>0.91164658634538154</v>
      </c>
      <c r="Z635">
        <v>0.49397590361445781</v>
      </c>
      <c r="AA635">
        <v>0</v>
      </c>
      <c r="AB635">
        <v>0.93172690763052213</v>
      </c>
      <c r="AC635">
        <v>0.3534136546184739</v>
      </c>
      <c r="AD635">
        <v>0.44979919678714858</v>
      </c>
      <c r="AE635">
        <v>0.59839357429718876</v>
      </c>
      <c r="AF635">
        <v>0</v>
      </c>
      <c r="AG635">
        <v>0.76706827309236947</v>
      </c>
      <c r="AH635">
        <v>0.57429718875502012</v>
      </c>
      <c r="AI635">
        <v>0.75100401606425704</v>
      </c>
      <c r="AJ635">
        <v>0.61044176706827313</v>
      </c>
      <c r="AL635" s="1">
        <v>0.4859437751004016</v>
      </c>
      <c r="AN635" t="s">
        <v>56</v>
      </c>
      <c r="AO635">
        <v>77</v>
      </c>
      <c r="AP635" s="2">
        <v>0.68666666666666665</v>
      </c>
      <c r="AQ635">
        <v>95</v>
      </c>
      <c r="AT635" s="1">
        <v>0.61445783132530118</v>
      </c>
      <c r="AU635" s="1">
        <v>0.55421686746987953</v>
      </c>
    </row>
    <row r="636" spans="1:47" x14ac:dyDescent="0.3">
      <c r="A636" t="s">
        <v>272</v>
      </c>
      <c r="B636">
        <v>0</v>
      </c>
      <c r="C636" s="1">
        <v>0.75502008032128509</v>
      </c>
      <c r="D636">
        <v>0.98795180722891562</v>
      </c>
      <c r="E636">
        <v>0.87148594377510036</v>
      </c>
      <c r="F636">
        <v>0.96385542168674698</v>
      </c>
      <c r="G636">
        <v>0</v>
      </c>
      <c r="H636">
        <v>0.82329317269076308</v>
      </c>
      <c r="I636">
        <v>0.95180722891566261</v>
      </c>
      <c r="J636">
        <v>0.96385542168674698</v>
      </c>
      <c r="K636">
        <v>0.93172690763052213</v>
      </c>
      <c r="L636">
        <v>0</v>
      </c>
      <c r="M636">
        <v>0.60240963855421692</v>
      </c>
      <c r="N636">
        <v>0.32128514056224899</v>
      </c>
      <c r="O636">
        <v>0.55020080321285136</v>
      </c>
      <c r="P636">
        <v>0.42971887550200805</v>
      </c>
      <c r="Q636">
        <v>0</v>
      </c>
      <c r="R636">
        <v>0.69076305220883538</v>
      </c>
      <c r="S636">
        <v>0.93975903614457834</v>
      </c>
      <c r="T636">
        <v>0.87951807228915657</v>
      </c>
      <c r="U636">
        <v>0.94377510040160639</v>
      </c>
      <c r="V636">
        <v>0</v>
      </c>
      <c r="W636">
        <v>0.5381526104417671</v>
      </c>
      <c r="X636">
        <v>0.12048192771084337</v>
      </c>
      <c r="Y636">
        <v>0.47791164658634538</v>
      </c>
      <c r="Z636">
        <v>0.43373493975903615</v>
      </c>
      <c r="AA636">
        <v>0</v>
      </c>
      <c r="AB636">
        <v>0.85542168674698793</v>
      </c>
      <c r="AC636">
        <v>0.76305220883534142</v>
      </c>
      <c r="AD636">
        <v>0.75100401606425704</v>
      </c>
      <c r="AE636">
        <v>0.76706827309236947</v>
      </c>
      <c r="AF636">
        <v>0</v>
      </c>
      <c r="AG636">
        <v>0.73092369477911645</v>
      </c>
      <c r="AH636">
        <v>0.8393574297188755</v>
      </c>
      <c r="AI636">
        <v>0.77510040160642568</v>
      </c>
      <c r="AJ636">
        <v>0.86345381526104414</v>
      </c>
      <c r="AL636" s="1">
        <v>0.87951807228915657</v>
      </c>
      <c r="AN636" t="s">
        <v>60</v>
      </c>
      <c r="AO636">
        <v>79</v>
      </c>
      <c r="AP636" s="2">
        <v>0.94333333333333336</v>
      </c>
      <c r="AQ636">
        <v>18</v>
      </c>
      <c r="AT636" s="1">
        <v>0.30120481927710846</v>
      </c>
      <c r="AU636" s="1">
        <v>0.46586345381526106</v>
      </c>
    </row>
    <row r="637" spans="1:47" x14ac:dyDescent="0.3">
      <c r="A637" t="s">
        <v>273</v>
      </c>
      <c r="B637">
        <v>0</v>
      </c>
      <c r="C637" s="1">
        <v>0.79116465863453811</v>
      </c>
      <c r="D637">
        <v>0.63855421686746983</v>
      </c>
      <c r="E637">
        <v>0.73493975903614461</v>
      </c>
      <c r="F637">
        <v>0.73895582329317266</v>
      </c>
      <c r="G637">
        <v>0</v>
      </c>
      <c r="H637">
        <v>0.5381526104417671</v>
      </c>
      <c r="I637">
        <v>0.89959839357429716</v>
      </c>
      <c r="J637">
        <v>0.83534136546184734</v>
      </c>
      <c r="K637">
        <v>0.84738955823293172</v>
      </c>
      <c r="L637">
        <v>0</v>
      </c>
      <c r="M637">
        <v>0.75903614457831325</v>
      </c>
      <c r="N637">
        <v>0.79919678714859432</v>
      </c>
      <c r="O637">
        <v>0.77108433734939763</v>
      </c>
      <c r="P637">
        <v>0.74297188755020083</v>
      </c>
      <c r="Q637">
        <v>0</v>
      </c>
      <c r="R637">
        <v>0.90361445783132532</v>
      </c>
      <c r="S637">
        <v>0.58634538152610438</v>
      </c>
      <c r="T637">
        <v>0.77510040160642568</v>
      </c>
      <c r="U637">
        <v>0.84738955823293172</v>
      </c>
      <c r="V637">
        <v>0</v>
      </c>
      <c r="W637">
        <v>0.71485943775100402</v>
      </c>
      <c r="X637">
        <v>0.51004016064257029</v>
      </c>
      <c r="Y637">
        <v>0.54618473895582331</v>
      </c>
      <c r="Z637">
        <v>0.49397590361445781</v>
      </c>
      <c r="AA637">
        <v>0</v>
      </c>
      <c r="AB637">
        <v>0.9718875502008032</v>
      </c>
      <c r="AC637">
        <v>0.95582329317269077</v>
      </c>
      <c r="AD637">
        <v>0.69477911646586343</v>
      </c>
      <c r="AE637">
        <v>0.77911646586345384</v>
      </c>
      <c r="AF637">
        <v>0</v>
      </c>
      <c r="AG637">
        <v>0.83534136546184734</v>
      </c>
      <c r="AH637">
        <v>0.7831325301204819</v>
      </c>
      <c r="AI637">
        <v>0.84738955823293172</v>
      </c>
      <c r="AJ637">
        <v>0.8393574297188755</v>
      </c>
      <c r="AL637" s="1">
        <v>0.90361445783132532</v>
      </c>
      <c r="AN637" t="s">
        <v>84</v>
      </c>
      <c r="AO637">
        <v>79</v>
      </c>
      <c r="AP637" s="2">
        <v>0.97</v>
      </c>
      <c r="AQ637">
        <v>10</v>
      </c>
      <c r="AT637" s="1">
        <v>0.67068273092369479</v>
      </c>
      <c r="AU637" s="1">
        <v>0.33734939759036142</v>
      </c>
    </row>
    <row r="638" spans="1:47" x14ac:dyDescent="0.3">
      <c r="A638" t="s">
        <v>274</v>
      </c>
      <c r="B638">
        <v>0</v>
      </c>
      <c r="C638" s="1">
        <v>0.71887550200803207</v>
      </c>
      <c r="D638">
        <v>0.79116465863453811</v>
      </c>
      <c r="E638">
        <v>0.53012048192771088</v>
      </c>
      <c r="F638">
        <v>0.76706827309236947</v>
      </c>
      <c r="G638">
        <v>0</v>
      </c>
      <c r="H638">
        <v>0.45783132530120479</v>
      </c>
      <c r="I638">
        <v>0.82329317269076308</v>
      </c>
      <c r="J638">
        <v>0.95582329317269077</v>
      </c>
      <c r="K638">
        <v>0.75903614457831325</v>
      </c>
      <c r="L638">
        <v>0</v>
      </c>
      <c r="M638">
        <v>0.44979919678714858</v>
      </c>
      <c r="N638">
        <v>0.27710843373493976</v>
      </c>
      <c r="O638">
        <v>0.55020080321285136</v>
      </c>
      <c r="P638">
        <v>0.32128514056224899</v>
      </c>
      <c r="Q638">
        <v>0</v>
      </c>
      <c r="R638">
        <v>0.71887550200803207</v>
      </c>
      <c r="S638">
        <v>0.38955823293172692</v>
      </c>
      <c r="T638">
        <v>0.4859437751004016</v>
      </c>
      <c r="U638">
        <v>0.61044176706827313</v>
      </c>
      <c r="V638">
        <v>0</v>
      </c>
      <c r="W638">
        <v>0.17670682730923695</v>
      </c>
      <c r="X638">
        <v>0.18072289156626506</v>
      </c>
      <c r="Y638">
        <v>0.23694779116465864</v>
      </c>
      <c r="Z638">
        <v>0.14859437751004015</v>
      </c>
      <c r="AA638">
        <v>0</v>
      </c>
      <c r="AB638">
        <v>0.64658634538152615</v>
      </c>
      <c r="AC638">
        <v>0.67469879518072284</v>
      </c>
      <c r="AD638">
        <v>0.39759036144578314</v>
      </c>
      <c r="AE638">
        <v>0.50602409638554213</v>
      </c>
      <c r="AF638">
        <v>0</v>
      </c>
      <c r="AG638">
        <v>0.58634538152610438</v>
      </c>
      <c r="AH638">
        <v>0.53012048192771088</v>
      </c>
      <c r="AI638">
        <v>0.5381526104417671</v>
      </c>
      <c r="AJ638">
        <v>0.58232931726907633</v>
      </c>
      <c r="AL638" s="1">
        <v>0.57429718875502012</v>
      </c>
      <c r="AN638" t="s">
        <v>66</v>
      </c>
      <c r="AO638">
        <v>65</v>
      </c>
      <c r="AP638" s="2">
        <v>0.69</v>
      </c>
      <c r="AQ638">
        <v>94</v>
      </c>
      <c r="AT638" s="1">
        <v>0.89156626506024095</v>
      </c>
      <c r="AU638" s="1">
        <v>0.30120481927710846</v>
      </c>
    </row>
    <row r="639" spans="1:47" x14ac:dyDescent="0.3">
      <c r="A639" t="s">
        <v>275</v>
      </c>
      <c r="B639">
        <v>0</v>
      </c>
      <c r="C639" s="1">
        <v>0.33734939759036142</v>
      </c>
      <c r="D639">
        <v>0.14859437751004015</v>
      </c>
      <c r="E639">
        <v>0.44979919678714858</v>
      </c>
      <c r="F639">
        <v>0.19277108433734941</v>
      </c>
      <c r="G639">
        <v>0</v>
      </c>
      <c r="H639">
        <v>0.33333333333333331</v>
      </c>
      <c r="I639">
        <v>0.73895582329317266</v>
      </c>
      <c r="J639">
        <v>0.73493975903614461</v>
      </c>
      <c r="K639">
        <v>0.65863453815261042</v>
      </c>
      <c r="L639">
        <v>0</v>
      </c>
      <c r="M639">
        <v>0.48995983935742971</v>
      </c>
      <c r="N639">
        <v>0.4859437751004016</v>
      </c>
      <c r="O639">
        <v>0.17670682730923695</v>
      </c>
      <c r="P639">
        <v>0.6224899598393574</v>
      </c>
      <c r="Q639">
        <v>0</v>
      </c>
      <c r="R639">
        <v>0.84337349397590367</v>
      </c>
      <c r="S639">
        <v>0.58232931726907633</v>
      </c>
      <c r="T639">
        <v>0.79919678714859432</v>
      </c>
      <c r="U639">
        <v>0.63855421686746983</v>
      </c>
      <c r="V639">
        <v>0</v>
      </c>
      <c r="W639">
        <v>0.46184738955823296</v>
      </c>
      <c r="X639">
        <v>0.6506024096385542</v>
      </c>
      <c r="Y639">
        <v>0.17269076305220885</v>
      </c>
      <c r="Z639">
        <v>0.62650602409638556</v>
      </c>
      <c r="AA639">
        <v>0</v>
      </c>
      <c r="AB639">
        <v>0.57028112449799195</v>
      </c>
      <c r="AC639">
        <v>0.22088353413654618</v>
      </c>
      <c r="AD639">
        <v>0.61847389558232935</v>
      </c>
      <c r="AE639">
        <v>0.22489959839357429</v>
      </c>
      <c r="AF639">
        <v>0</v>
      </c>
      <c r="AG639">
        <v>0.36947791164658633</v>
      </c>
      <c r="AH639">
        <v>0.25702811244979917</v>
      </c>
      <c r="AI639">
        <v>0.24899598393574296</v>
      </c>
      <c r="AJ639">
        <v>0.3253012048192771</v>
      </c>
      <c r="AL639" s="1">
        <v>0.53413654618473894</v>
      </c>
      <c r="AN639" t="s">
        <v>52</v>
      </c>
      <c r="AO639">
        <v>82</v>
      </c>
      <c r="AP639" s="2">
        <v>0.65</v>
      </c>
      <c r="AQ639">
        <v>106</v>
      </c>
      <c r="AT639" s="1">
        <v>0.5662650602409639</v>
      </c>
      <c r="AU639" s="1">
        <v>0.7831325301204819</v>
      </c>
    </row>
    <row r="640" spans="1:47" x14ac:dyDescent="0.3">
      <c r="A640" t="s">
        <v>276</v>
      </c>
      <c r="B640">
        <v>0</v>
      </c>
      <c r="C640" s="1">
        <v>0.57028112449799195</v>
      </c>
      <c r="D640">
        <v>0.69076305220883538</v>
      </c>
      <c r="E640">
        <v>0.16867469879518071</v>
      </c>
      <c r="F640">
        <v>0.71887550200803207</v>
      </c>
      <c r="G640">
        <v>0</v>
      </c>
      <c r="H640">
        <v>0.59036144578313254</v>
      </c>
      <c r="I640">
        <v>0.27309236947791166</v>
      </c>
      <c r="J640">
        <v>0.2971887550200803</v>
      </c>
      <c r="K640">
        <v>0.36144578313253012</v>
      </c>
      <c r="L640">
        <v>0</v>
      </c>
      <c r="M640">
        <v>0.67469879518072284</v>
      </c>
      <c r="N640">
        <v>0.65863453815261042</v>
      </c>
      <c r="O640">
        <v>0.99598393574297184</v>
      </c>
      <c r="P640">
        <v>0.59437751004016059</v>
      </c>
      <c r="Q640">
        <v>0</v>
      </c>
      <c r="R640">
        <v>0.39357429718875503</v>
      </c>
      <c r="S640">
        <v>0.51004016064257029</v>
      </c>
      <c r="T640">
        <v>0.14859437751004015</v>
      </c>
      <c r="U640">
        <v>0.55020080321285136</v>
      </c>
      <c r="V640">
        <v>0</v>
      </c>
      <c r="W640">
        <v>0.54216867469879515</v>
      </c>
      <c r="X640">
        <v>0.67068273092369479</v>
      </c>
      <c r="Y640">
        <v>0.99598393574297184</v>
      </c>
      <c r="Z640">
        <v>0.58232931726907633</v>
      </c>
      <c r="AA640">
        <v>0</v>
      </c>
      <c r="AB640">
        <v>0.38152610441767071</v>
      </c>
      <c r="AC640">
        <v>0.90361445783132532</v>
      </c>
      <c r="AD640">
        <v>0.13253012048192772</v>
      </c>
      <c r="AE640">
        <v>0.87148594377510036</v>
      </c>
      <c r="AF640">
        <v>0</v>
      </c>
      <c r="AG640">
        <v>0.59437751004016059</v>
      </c>
      <c r="AH640">
        <v>0.75903614457831325</v>
      </c>
      <c r="AI640">
        <v>0.93172690763052213</v>
      </c>
      <c r="AJ640">
        <v>0.69477911646586343</v>
      </c>
      <c r="AL640" s="1">
        <v>0.58634538152610438</v>
      </c>
      <c r="AN640" t="s">
        <v>54</v>
      </c>
      <c r="AO640">
        <v>71</v>
      </c>
      <c r="AP640" s="2">
        <v>0.63666666666666671</v>
      </c>
      <c r="AQ640">
        <v>110</v>
      </c>
      <c r="AT640" s="1">
        <v>0.97590361445783136</v>
      </c>
      <c r="AU640" s="1">
        <v>0.14056224899598393</v>
      </c>
    </row>
    <row r="641" spans="1:47" x14ac:dyDescent="0.3">
      <c r="A641" t="s">
        <v>277</v>
      </c>
      <c r="B641">
        <v>0</v>
      </c>
      <c r="C641" s="1">
        <v>9.2369477911646583E-2</v>
      </c>
      <c r="D641">
        <v>0.24096385542168675</v>
      </c>
      <c r="E641">
        <v>0.18473895582329317</v>
      </c>
      <c r="F641">
        <v>0.22088353413654618</v>
      </c>
      <c r="G641">
        <v>0</v>
      </c>
      <c r="H641">
        <v>4.0160642570281121E-3</v>
      </c>
      <c r="I641">
        <v>0.13253012048192772</v>
      </c>
      <c r="J641">
        <v>0.18875502008032127</v>
      </c>
      <c r="K641">
        <v>6.8273092369477914E-2</v>
      </c>
      <c r="L641">
        <v>0</v>
      </c>
      <c r="M641">
        <v>4.0160642570281121E-3</v>
      </c>
      <c r="N641">
        <v>2.8112449799196786E-2</v>
      </c>
      <c r="O641">
        <v>2.0080321285140562E-2</v>
      </c>
      <c r="P641">
        <v>1.2048192771084338E-2</v>
      </c>
      <c r="Q641">
        <v>0</v>
      </c>
      <c r="R641">
        <v>0.38152610441767071</v>
      </c>
      <c r="S641">
        <v>0.77510040160642568</v>
      </c>
      <c r="T641">
        <v>0.47791164658634538</v>
      </c>
      <c r="U641">
        <v>0.71887550200803207</v>
      </c>
      <c r="V641">
        <v>0</v>
      </c>
      <c r="W641">
        <v>2.0080321285140562E-2</v>
      </c>
      <c r="X641">
        <v>0.20883534136546184</v>
      </c>
      <c r="Y641">
        <v>5.6224899598393573E-2</v>
      </c>
      <c r="Z641">
        <v>7.6305220883534142E-2</v>
      </c>
      <c r="AA641">
        <v>0</v>
      </c>
      <c r="AB641">
        <v>0.10040160642570281</v>
      </c>
      <c r="AC641">
        <v>8.8353413654618476E-2</v>
      </c>
      <c r="AD641">
        <v>0.36947791164658633</v>
      </c>
      <c r="AE641">
        <v>0.15261044176706828</v>
      </c>
      <c r="AF641">
        <v>0</v>
      </c>
      <c r="AG641">
        <v>4.0160642570281121E-3</v>
      </c>
      <c r="AH641">
        <v>3.614457831325301E-2</v>
      </c>
      <c r="AI641">
        <v>4.4176706827309238E-2</v>
      </c>
      <c r="AJ641">
        <v>2.0080321285140562E-2</v>
      </c>
      <c r="AL641" s="1">
        <v>2.8112449799196786E-2</v>
      </c>
      <c r="AN641" t="s">
        <v>53</v>
      </c>
      <c r="AO641">
        <v>52</v>
      </c>
      <c r="AP641" s="2">
        <v>0.18666666666666668</v>
      </c>
      <c r="AQ641">
        <v>245</v>
      </c>
      <c r="AT641" s="1">
        <v>0.28112449799196787</v>
      </c>
      <c r="AU641" s="1">
        <v>0.71485943775100402</v>
      </c>
    </row>
    <row r="642" spans="1:47" x14ac:dyDescent="0.3">
      <c r="A642" t="s">
        <v>278</v>
      </c>
      <c r="B642">
        <v>0</v>
      </c>
      <c r="C642" s="1">
        <v>0.67469879518072284</v>
      </c>
      <c r="D642">
        <v>0.61847389558232935</v>
      </c>
      <c r="E642">
        <v>0.39759036144578314</v>
      </c>
      <c r="F642">
        <v>0.6506024096385542</v>
      </c>
      <c r="G642">
        <v>0</v>
      </c>
      <c r="H642">
        <v>0.6987951807228916</v>
      </c>
      <c r="I642">
        <v>0.69076305220883538</v>
      </c>
      <c r="J642">
        <v>0.51004016064257029</v>
      </c>
      <c r="K642">
        <v>0.71485943775100402</v>
      </c>
      <c r="L642">
        <v>0</v>
      </c>
      <c r="M642">
        <v>0.26907630522088355</v>
      </c>
      <c r="N642">
        <v>0.23293172690763053</v>
      </c>
      <c r="O642">
        <v>0.36144578313253012</v>
      </c>
      <c r="P642">
        <v>0.15261044176706828</v>
      </c>
      <c r="Q642">
        <v>0</v>
      </c>
      <c r="R642">
        <v>0.61044176706827313</v>
      </c>
      <c r="S642">
        <v>0.51807228915662651</v>
      </c>
      <c r="T642">
        <v>0.55020080321285136</v>
      </c>
      <c r="U642">
        <v>0.58232931726907633</v>
      </c>
      <c r="V642">
        <v>0</v>
      </c>
      <c r="W642">
        <v>8.4337349397590355E-2</v>
      </c>
      <c r="X642">
        <v>4.0160642570281124E-2</v>
      </c>
      <c r="Y642">
        <v>7.6305220883534142E-2</v>
      </c>
      <c r="Z642">
        <v>2.4096385542168676E-2</v>
      </c>
      <c r="AA642">
        <v>0</v>
      </c>
      <c r="AB642">
        <v>0.75100401606425704</v>
      </c>
      <c r="AC642">
        <v>0.73895582329317266</v>
      </c>
      <c r="AD642">
        <v>0.41767068273092367</v>
      </c>
      <c r="AE642">
        <v>0.47389558232931728</v>
      </c>
      <c r="AF642">
        <v>0</v>
      </c>
      <c r="AG642">
        <v>0.49799196787148592</v>
      </c>
      <c r="AH642">
        <v>0.42168674698795183</v>
      </c>
      <c r="AI642">
        <v>0.36144578313253012</v>
      </c>
      <c r="AJ642">
        <v>0.38955823293172692</v>
      </c>
      <c r="AL642" s="1">
        <v>0.38554216867469882</v>
      </c>
      <c r="AN642" t="s">
        <v>54</v>
      </c>
      <c r="AO642">
        <v>82</v>
      </c>
      <c r="AP642" s="2">
        <v>0.57666666666666666</v>
      </c>
      <c r="AQ642">
        <v>128</v>
      </c>
      <c r="AT642" s="1">
        <v>0.5662650602409639</v>
      </c>
      <c r="AU642" s="1">
        <v>0.57028112449799195</v>
      </c>
    </row>
    <row r="643" spans="1:47" x14ac:dyDescent="0.3">
      <c r="A643" t="s">
        <v>279</v>
      </c>
      <c r="B643">
        <v>0</v>
      </c>
      <c r="C643" s="1">
        <v>0.57028112449799195</v>
      </c>
      <c r="D643">
        <v>0.30522088353413657</v>
      </c>
      <c r="E643">
        <v>0.36947791164658633</v>
      </c>
      <c r="F643">
        <v>0.54618473895582331</v>
      </c>
      <c r="G643">
        <v>0</v>
      </c>
      <c r="H643">
        <v>0.83132530120481929</v>
      </c>
      <c r="I643">
        <v>0.30522088353413657</v>
      </c>
      <c r="J643">
        <v>0.53413654618473894</v>
      </c>
      <c r="K643">
        <v>0.48995983935742971</v>
      </c>
      <c r="L643">
        <v>0</v>
      </c>
      <c r="M643">
        <v>5.6224899598393573E-2</v>
      </c>
      <c r="N643">
        <v>0.54618473895582331</v>
      </c>
      <c r="O643">
        <v>2.4096385542168676E-2</v>
      </c>
      <c r="P643">
        <v>0.19277108433734941</v>
      </c>
      <c r="Q643">
        <v>0</v>
      </c>
      <c r="R643">
        <v>0.76706827309236947</v>
      </c>
      <c r="S643">
        <v>0.46987951807228917</v>
      </c>
      <c r="T643">
        <v>0.36144578313253012</v>
      </c>
      <c r="U643">
        <v>0.70682730923694781</v>
      </c>
      <c r="V643">
        <v>0</v>
      </c>
      <c r="W643">
        <v>0.43775100401606426</v>
      </c>
      <c r="X643">
        <v>0.93172690763052213</v>
      </c>
      <c r="Y643">
        <v>8.0321285140562249E-2</v>
      </c>
      <c r="Z643">
        <v>0.72289156626506024</v>
      </c>
      <c r="AA643">
        <v>0</v>
      </c>
      <c r="AB643">
        <v>0.56224899598393574</v>
      </c>
      <c r="AC643">
        <v>0.41767068273092367</v>
      </c>
      <c r="AD643">
        <v>0.28514056224899598</v>
      </c>
      <c r="AE643">
        <v>4.8192771084337352E-2</v>
      </c>
      <c r="AF643">
        <v>0</v>
      </c>
      <c r="AG643">
        <v>0.26104417670682734</v>
      </c>
      <c r="AH643">
        <v>0.38554216867469882</v>
      </c>
      <c r="AI643">
        <v>7.6305220883534142E-2</v>
      </c>
      <c r="AJ643">
        <v>0.3534136546184739</v>
      </c>
      <c r="AL643" s="1">
        <v>0.51004016064257029</v>
      </c>
      <c r="AN643" t="s">
        <v>74</v>
      </c>
      <c r="AO643">
        <v>36</v>
      </c>
      <c r="AP643" s="2">
        <v>0.60333333333333339</v>
      </c>
      <c r="AQ643">
        <v>120</v>
      </c>
      <c r="AT643" s="1">
        <v>0.53012048192771088</v>
      </c>
      <c r="AU643" s="1">
        <v>0.45381526104417669</v>
      </c>
    </row>
    <row r="644" spans="1:47" x14ac:dyDescent="0.3">
      <c r="A644" t="s">
        <v>280</v>
      </c>
      <c r="B644">
        <v>0</v>
      </c>
      <c r="C644" s="1">
        <v>1.2048192771084338E-2</v>
      </c>
      <c r="D644">
        <v>1.6064257028112448E-2</v>
      </c>
      <c r="E644">
        <v>1.6064257028112448E-2</v>
      </c>
      <c r="F644">
        <v>4.0160642570281121E-3</v>
      </c>
      <c r="G644">
        <v>0</v>
      </c>
      <c r="H644">
        <v>4.0160642570281121E-3</v>
      </c>
      <c r="I644">
        <v>0.95180722891566261</v>
      </c>
      <c r="J644">
        <v>0.46184738955823296</v>
      </c>
      <c r="K644">
        <v>0.81526104417670686</v>
      </c>
      <c r="L644">
        <v>0</v>
      </c>
      <c r="M644">
        <v>0.44979919678714858</v>
      </c>
      <c r="N644">
        <v>0.86345381526104414</v>
      </c>
      <c r="O644">
        <v>0.34538152610441769</v>
      </c>
      <c r="P644">
        <v>0.52610441767068272</v>
      </c>
      <c r="Q644">
        <v>0</v>
      </c>
      <c r="R644">
        <v>8.0321285140562242E-3</v>
      </c>
      <c r="S644">
        <v>4.0160642570281121E-3</v>
      </c>
      <c r="T644">
        <v>8.0321285140562242E-3</v>
      </c>
      <c r="U644">
        <v>4.0160642570281121E-3</v>
      </c>
      <c r="V644">
        <v>0</v>
      </c>
      <c r="W644">
        <v>0.15261044176706828</v>
      </c>
      <c r="X644">
        <v>0.44176706827309237</v>
      </c>
      <c r="Y644">
        <v>0.59437751004016059</v>
      </c>
      <c r="Z644">
        <v>0.19277108433734941</v>
      </c>
      <c r="AA644">
        <v>0</v>
      </c>
      <c r="AB644">
        <v>0.17269076305220885</v>
      </c>
      <c r="AC644">
        <v>9.2369477911646583E-2</v>
      </c>
      <c r="AD644">
        <v>2.0080321285140562E-2</v>
      </c>
      <c r="AE644">
        <v>4.8192771084337352E-2</v>
      </c>
      <c r="AF644">
        <v>0</v>
      </c>
      <c r="AG644">
        <v>6.0240963855421686E-2</v>
      </c>
      <c r="AH644">
        <v>0.20080321285140562</v>
      </c>
      <c r="AI644">
        <v>1.6064257028112448E-2</v>
      </c>
      <c r="AJ644">
        <v>4.0160642570281124E-2</v>
      </c>
      <c r="AL644" s="1">
        <v>0.10441767068273092</v>
      </c>
      <c r="AN644" t="s">
        <v>65</v>
      </c>
      <c r="AO644">
        <v>16</v>
      </c>
      <c r="AP644" s="2">
        <v>0.23666666666666666</v>
      </c>
      <c r="AQ644">
        <v>230</v>
      </c>
      <c r="AT644" s="1">
        <v>5.6224899598393573E-2</v>
      </c>
      <c r="AU644" s="1">
        <v>0.8875502008032129</v>
      </c>
    </row>
    <row r="645" spans="1:47" x14ac:dyDescent="0.3">
      <c r="A645" t="s">
        <v>281</v>
      </c>
      <c r="B645">
        <v>0</v>
      </c>
      <c r="C645" s="1">
        <v>0.63453815261044177</v>
      </c>
      <c r="D645">
        <v>0.56224899598393574</v>
      </c>
      <c r="E645">
        <v>0.20080321285140562</v>
      </c>
      <c r="F645">
        <v>0.63855421686746983</v>
      </c>
      <c r="G645">
        <v>0</v>
      </c>
      <c r="H645">
        <v>0.33333333333333331</v>
      </c>
      <c r="I645">
        <v>0.66265060240963858</v>
      </c>
      <c r="J645">
        <v>0.59036144578313254</v>
      </c>
      <c r="K645">
        <v>0.57429718875502012</v>
      </c>
      <c r="L645">
        <v>0</v>
      </c>
      <c r="M645">
        <v>0.76305220883534142</v>
      </c>
      <c r="N645">
        <v>0.26506024096385544</v>
      </c>
      <c r="O645">
        <v>0.47791164658634538</v>
      </c>
      <c r="P645">
        <v>0.63855421686746983</v>
      </c>
      <c r="Q645">
        <v>0</v>
      </c>
      <c r="R645">
        <v>0.34538152610441769</v>
      </c>
      <c r="S645">
        <v>0.28112449799196787</v>
      </c>
      <c r="T645">
        <v>0.2289156626506024</v>
      </c>
      <c r="U645">
        <v>0.44578313253012047</v>
      </c>
      <c r="V645">
        <v>0</v>
      </c>
      <c r="W645">
        <v>0.71887550200803207</v>
      </c>
      <c r="X645">
        <v>7.2289156626506021E-2</v>
      </c>
      <c r="Y645">
        <v>0.71485943775100402</v>
      </c>
      <c r="Z645">
        <v>0.65461847389558236</v>
      </c>
      <c r="AA645">
        <v>0</v>
      </c>
      <c r="AB645">
        <v>0.17670682730923695</v>
      </c>
      <c r="AC645">
        <v>0.57429718875502012</v>
      </c>
      <c r="AD645">
        <v>0.10843373493975904</v>
      </c>
      <c r="AE645">
        <v>0.15261044176706828</v>
      </c>
      <c r="AF645">
        <v>0</v>
      </c>
      <c r="AG645">
        <v>0.73895582329317266</v>
      </c>
      <c r="AH645">
        <v>0.38955823293172692</v>
      </c>
      <c r="AI645">
        <v>0.28112449799196787</v>
      </c>
      <c r="AJ645">
        <v>0.68273092369477917</v>
      </c>
      <c r="AL645" s="1">
        <v>0.6506024096385542</v>
      </c>
      <c r="AN645" t="s">
        <v>59</v>
      </c>
      <c r="AO645">
        <v>65</v>
      </c>
      <c r="AP645" s="2">
        <v>0.62</v>
      </c>
      <c r="AQ645">
        <v>115</v>
      </c>
      <c r="AT645" s="1">
        <v>0.93172690763052213</v>
      </c>
      <c r="AU645" s="1">
        <v>0.11646586345381527</v>
      </c>
    </row>
    <row r="646" spans="1:47" x14ac:dyDescent="0.3">
      <c r="A646" t="s">
        <v>282</v>
      </c>
      <c r="B646">
        <v>0</v>
      </c>
      <c r="C646" s="1">
        <v>0.41365461847389556</v>
      </c>
      <c r="D646">
        <v>0.48192771084337349</v>
      </c>
      <c r="E646">
        <v>0.29317269076305219</v>
      </c>
      <c r="F646">
        <v>0.51807228915662651</v>
      </c>
      <c r="G646">
        <v>0</v>
      </c>
      <c r="H646">
        <v>0.59036144578313254</v>
      </c>
      <c r="I646">
        <v>0.91967871485943775</v>
      </c>
      <c r="J646">
        <v>0.95983935742971882</v>
      </c>
      <c r="K646">
        <v>0.87951807228915657</v>
      </c>
      <c r="L646">
        <v>0</v>
      </c>
      <c r="M646">
        <v>0.47389558232931728</v>
      </c>
      <c r="N646">
        <v>0.46987951807228917</v>
      </c>
      <c r="O646">
        <v>0.55020080321285136</v>
      </c>
      <c r="P646">
        <v>0.46586345381526106</v>
      </c>
      <c r="Q646">
        <v>0</v>
      </c>
      <c r="R646">
        <v>0.21285140562248997</v>
      </c>
      <c r="S646">
        <v>0.31726907630522089</v>
      </c>
      <c r="T646">
        <v>0.18473895582329317</v>
      </c>
      <c r="U646">
        <v>0.37751004016064255</v>
      </c>
      <c r="V646">
        <v>0</v>
      </c>
      <c r="W646">
        <v>0.5662650602409639</v>
      </c>
      <c r="X646">
        <v>0.48192771084337349</v>
      </c>
      <c r="Y646">
        <v>0.72289156626506024</v>
      </c>
      <c r="Z646">
        <v>0.58232931726907633</v>
      </c>
      <c r="AA646">
        <v>0</v>
      </c>
      <c r="AB646">
        <v>0.78714859437751006</v>
      </c>
      <c r="AC646">
        <v>6.8273092369477914E-2</v>
      </c>
      <c r="AD646">
        <v>0.30923694779116467</v>
      </c>
      <c r="AE646">
        <v>0.40160642570281124</v>
      </c>
      <c r="AF646">
        <v>0</v>
      </c>
      <c r="AG646">
        <v>0.42168674698795183</v>
      </c>
      <c r="AH646">
        <v>0.43373493975903615</v>
      </c>
      <c r="AI646">
        <v>0.39357429718875503</v>
      </c>
      <c r="AJ646">
        <v>0.51807228915662651</v>
      </c>
      <c r="AL646" s="1">
        <v>0.54216867469879515</v>
      </c>
      <c r="AN646" t="s">
        <v>62</v>
      </c>
      <c r="AO646">
        <v>77</v>
      </c>
      <c r="AP646" s="2">
        <v>0.69666666666666666</v>
      </c>
      <c r="AQ646">
        <v>92</v>
      </c>
      <c r="AT646" s="1">
        <v>0.8393574297188755</v>
      </c>
      <c r="AU646" s="1">
        <v>0.61044176706827313</v>
      </c>
    </row>
    <row r="647" spans="1:47" x14ac:dyDescent="0.3">
      <c r="A647" t="s">
        <v>283</v>
      </c>
      <c r="B647">
        <v>0</v>
      </c>
      <c r="C647" s="1">
        <v>0.16867469879518071</v>
      </c>
      <c r="D647">
        <v>0.14056224899598393</v>
      </c>
      <c r="E647">
        <v>0.63453815261044177</v>
      </c>
      <c r="F647">
        <v>0.20883534136546184</v>
      </c>
      <c r="G647">
        <v>0</v>
      </c>
      <c r="H647">
        <v>0.17670682730923695</v>
      </c>
      <c r="I647">
        <v>0.66265060240963858</v>
      </c>
      <c r="J647">
        <v>0.73493975903614461</v>
      </c>
      <c r="K647">
        <v>0.48995983935742971</v>
      </c>
      <c r="L647">
        <v>0</v>
      </c>
      <c r="M647">
        <v>0.35742971887550201</v>
      </c>
      <c r="N647">
        <v>0.54216867469879515</v>
      </c>
      <c r="O647">
        <v>0.28915662650602408</v>
      </c>
      <c r="P647">
        <v>0.29317269076305219</v>
      </c>
      <c r="Q647">
        <v>0</v>
      </c>
      <c r="R647">
        <v>0.36546184738955823</v>
      </c>
      <c r="S647">
        <v>0.39759036144578314</v>
      </c>
      <c r="T647">
        <v>0.55020080321285136</v>
      </c>
      <c r="U647">
        <v>0.40963855421686746</v>
      </c>
      <c r="V647">
        <v>0</v>
      </c>
      <c r="W647">
        <v>0.60642570281124497</v>
      </c>
      <c r="X647">
        <v>0.86345381526104414</v>
      </c>
      <c r="Y647">
        <v>0.44979919678714858</v>
      </c>
      <c r="Z647">
        <v>0.67871485943775101</v>
      </c>
      <c r="AA647">
        <v>0</v>
      </c>
      <c r="AB647">
        <v>0.92369477911646591</v>
      </c>
      <c r="AC647">
        <v>0.10040160642570281</v>
      </c>
      <c r="AD647">
        <v>0.92369477911646591</v>
      </c>
      <c r="AE647">
        <v>0.75502008032128509</v>
      </c>
      <c r="AF647">
        <v>0</v>
      </c>
      <c r="AG647">
        <v>0.21686746987951808</v>
      </c>
      <c r="AH647">
        <v>0.27710843373493976</v>
      </c>
      <c r="AI647">
        <v>0.45783132530120479</v>
      </c>
      <c r="AJ647">
        <v>0.18875502008032127</v>
      </c>
      <c r="AL647" s="1">
        <v>0.28112449799196787</v>
      </c>
      <c r="AN647" t="s">
        <v>67</v>
      </c>
      <c r="AO647">
        <v>78</v>
      </c>
      <c r="AP647" s="2">
        <v>0.48666666666666669</v>
      </c>
      <c r="AQ647">
        <v>155</v>
      </c>
      <c r="AT647" s="1">
        <v>0.83132530120481929</v>
      </c>
      <c r="AU647" s="1">
        <v>0.65461847389558236</v>
      </c>
    </row>
    <row r="648" spans="1:47" x14ac:dyDescent="0.3">
      <c r="A648" t="s">
        <v>284</v>
      </c>
      <c r="B648">
        <v>0</v>
      </c>
      <c r="C648" s="1">
        <v>0.60642570281124497</v>
      </c>
      <c r="D648">
        <v>0.77108433734939763</v>
      </c>
      <c r="E648">
        <v>0.77911646586345384</v>
      </c>
      <c r="F648">
        <v>0.70682730923694781</v>
      </c>
      <c r="G648">
        <v>0</v>
      </c>
      <c r="H648">
        <v>0.82329317269076308</v>
      </c>
      <c r="I648">
        <v>0.82329317269076308</v>
      </c>
      <c r="J648">
        <v>0.93975903614457834</v>
      </c>
      <c r="K648">
        <v>0.85542168674698793</v>
      </c>
      <c r="L648">
        <v>0</v>
      </c>
      <c r="M648">
        <v>0.64257028112449799</v>
      </c>
      <c r="N648">
        <v>0.65863453815261042</v>
      </c>
      <c r="O648">
        <v>0.73895582329317266</v>
      </c>
      <c r="P648">
        <v>0.56224899598393574</v>
      </c>
      <c r="Q648">
        <v>0</v>
      </c>
      <c r="R648">
        <v>0.52208835341365467</v>
      </c>
      <c r="S648">
        <v>0.19678714859437751</v>
      </c>
      <c r="T648">
        <v>0.80321285140562249</v>
      </c>
      <c r="U648">
        <v>0.46987951807228917</v>
      </c>
      <c r="V648">
        <v>0</v>
      </c>
      <c r="W648">
        <v>0.55020080321285136</v>
      </c>
      <c r="X648">
        <v>0.69076305220883538</v>
      </c>
      <c r="Y648">
        <v>0.77108433734939763</v>
      </c>
      <c r="Z648">
        <v>0.54216867469879515</v>
      </c>
      <c r="AA648">
        <v>0</v>
      </c>
      <c r="AB648">
        <v>0.31726907630522089</v>
      </c>
      <c r="AC648">
        <v>0.60240963855421692</v>
      </c>
      <c r="AD648">
        <v>0.81526104417670686</v>
      </c>
      <c r="AE648">
        <v>0.8875502008032129</v>
      </c>
      <c r="AF648">
        <v>0</v>
      </c>
      <c r="AG648">
        <v>0.60642570281124497</v>
      </c>
      <c r="AH648">
        <v>0.79518072289156627</v>
      </c>
      <c r="AI648">
        <v>0.84337349397590367</v>
      </c>
      <c r="AJ648">
        <v>0.66666666666666663</v>
      </c>
      <c r="AL648" s="1">
        <v>0.76305220883534142</v>
      </c>
      <c r="AN648" t="s">
        <v>60</v>
      </c>
      <c r="AO648">
        <v>69</v>
      </c>
      <c r="AP648" s="2">
        <v>0.72666666666666668</v>
      </c>
      <c r="AQ648">
        <v>83</v>
      </c>
      <c r="AT648" s="1">
        <v>0.67068273092369479</v>
      </c>
      <c r="AU648" s="1">
        <v>0.66666666666666663</v>
      </c>
    </row>
    <row r="649" spans="1:47" x14ac:dyDescent="0.3">
      <c r="A649" t="s">
        <v>285</v>
      </c>
      <c r="B649">
        <v>0</v>
      </c>
      <c r="C649" s="1">
        <v>0.55421686746987953</v>
      </c>
      <c r="D649">
        <v>0.37349397590361444</v>
      </c>
      <c r="E649">
        <v>0.37751004016064255</v>
      </c>
      <c r="F649">
        <v>0.25301204819277107</v>
      </c>
      <c r="G649">
        <v>0</v>
      </c>
      <c r="H649">
        <v>0.6224899598393574</v>
      </c>
      <c r="I649">
        <v>0.30522088353413657</v>
      </c>
      <c r="J649">
        <v>0.63052208835341361</v>
      </c>
      <c r="K649">
        <v>0.38152610441767071</v>
      </c>
      <c r="L649">
        <v>0</v>
      </c>
      <c r="M649">
        <v>0.83132530120481929</v>
      </c>
      <c r="N649">
        <v>0.94377510040160639</v>
      </c>
      <c r="O649">
        <v>0.49799196787148592</v>
      </c>
      <c r="P649">
        <v>0.94779116465863456</v>
      </c>
      <c r="Q649">
        <v>0</v>
      </c>
      <c r="R649">
        <v>0.70682730923694781</v>
      </c>
      <c r="S649">
        <v>0.57028112449799195</v>
      </c>
      <c r="T649">
        <v>0.71887550200803207</v>
      </c>
      <c r="U649">
        <v>0.45381526104417669</v>
      </c>
      <c r="V649">
        <v>0</v>
      </c>
      <c r="W649">
        <v>0.92771084337349397</v>
      </c>
      <c r="X649">
        <v>0.98393574297188757</v>
      </c>
      <c r="Y649">
        <v>0.4859437751004016</v>
      </c>
      <c r="Z649">
        <v>0.97590361445783136</v>
      </c>
      <c r="AA649">
        <v>0</v>
      </c>
      <c r="AB649">
        <v>0.1606425702811245</v>
      </c>
      <c r="AC649">
        <v>0.35742971887550201</v>
      </c>
      <c r="AD649">
        <v>0.28112449799196787</v>
      </c>
      <c r="AE649">
        <v>0.15261044176706828</v>
      </c>
      <c r="AF649">
        <v>0</v>
      </c>
      <c r="AG649">
        <v>0.70682730923694781</v>
      </c>
      <c r="AH649">
        <v>0.67068273092369479</v>
      </c>
      <c r="AI649">
        <v>0.42971887550200805</v>
      </c>
      <c r="AJ649">
        <v>0.60642570281124497</v>
      </c>
      <c r="AL649" s="1">
        <v>0.79518072289156627</v>
      </c>
      <c r="AN649" t="s">
        <v>85</v>
      </c>
      <c r="AO649">
        <v>77</v>
      </c>
      <c r="AP649" s="2">
        <v>0.68333333333333335</v>
      </c>
      <c r="AQ649">
        <v>96</v>
      </c>
      <c r="AT649" s="1">
        <v>0.18875502008032127</v>
      </c>
      <c r="AU649" s="1">
        <v>0.96787148594377514</v>
      </c>
    </row>
    <row r="650" spans="1:47" x14ac:dyDescent="0.3">
      <c r="A650" t="s">
        <v>286</v>
      </c>
      <c r="B650">
        <v>0</v>
      </c>
      <c r="C650" s="1">
        <v>0.36144578313253012</v>
      </c>
      <c r="D650">
        <v>0.49397590361445781</v>
      </c>
      <c r="E650">
        <v>0.50200803212851408</v>
      </c>
      <c r="F650">
        <v>0.34538152610441769</v>
      </c>
      <c r="G650">
        <v>0</v>
      </c>
      <c r="H650">
        <v>0.18875502008032127</v>
      </c>
      <c r="I650">
        <v>0.45783132530120479</v>
      </c>
      <c r="J650">
        <v>0.69076305220883538</v>
      </c>
      <c r="K650">
        <v>0.31726907630522089</v>
      </c>
      <c r="L650">
        <v>0</v>
      </c>
      <c r="M650">
        <v>0.3534136546184739</v>
      </c>
      <c r="N650">
        <v>0.74698795180722888</v>
      </c>
      <c r="O650">
        <v>0.65863453815261042</v>
      </c>
      <c r="P650">
        <v>0.50200803212851408</v>
      </c>
      <c r="Q650">
        <v>0</v>
      </c>
      <c r="R650">
        <v>0.42570281124497994</v>
      </c>
      <c r="S650">
        <v>0.38554216867469882</v>
      </c>
      <c r="T650">
        <v>0.38554216867469882</v>
      </c>
      <c r="U650">
        <v>0.26104417670682734</v>
      </c>
      <c r="V650">
        <v>0</v>
      </c>
      <c r="W650">
        <v>0.38152610441767071</v>
      </c>
      <c r="X650">
        <v>0.49799196787148592</v>
      </c>
      <c r="Y650">
        <v>0.42971887550200805</v>
      </c>
      <c r="Z650">
        <v>0.32128514056224899</v>
      </c>
      <c r="AA650">
        <v>0</v>
      </c>
      <c r="AB650">
        <v>0.71887550200803207</v>
      </c>
      <c r="AC650">
        <v>0.44979919678714858</v>
      </c>
      <c r="AD650">
        <v>0.55421686746987953</v>
      </c>
      <c r="AE650">
        <v>0.71887550200803207</v>
      </c>
      <c r="AF650">
        <v>0</v>
      </c>
      <c r="AG650">
        <v>0.34538152610441769</v>
      </c>
      <c r="AH650">
        <v>0.57831325301204817</v>
      </c>
      <c r="AI650">
        <v>0.61044176706827313</v>
      </c>
      <c r="AJ650">
        <v>0.38554216867469882</v>
      </c>
      <c r="AL650" s="1">
        <v>0.25702811244979917</v>
      </c>
      <c r="AN650" t="s">
        <v>76</v>
      </c>
      <c r="AO650">
        <v>81</v>
      </c>
      <c r="AP650" s="2">
        <v>0.43</v>
      </c>
      <c r="AQ650">
        <v>172</v>
      </c>
      <c r="AT650" s="1">
        <v>0.55020080321285136</v>
      </c>
      <c r="AU650" s="1">
        <v>0.64658634538152615</v>
      </c>
    </row>
    <row r="651" spans="1:47" x14ac:dyDescent="0.3">
      <c r="A651" t="s">
        <v>287</v>
      </c>
      <c r="B651">
        <v>0</v>
      </c>
      <c r="C651" s="1">
        <v>0.99196787148594379</v>
      </c>
      <c r="D651">
        <v>0.42168674698795183</v>
      </c>
      <c r="E651">
        <v>0.78714859437751006</v>
      </c>
      <c r="F651">
        <v>0.75903614457831325</v>
      </c>
      <c r="G651">
        <v>0</v>
      </c>
      <c r="H651">
        <v>0.99196787148594379</v>
      </c>
      <c r="I651">
        <v>9.2369477911646583E-2</v>
      </c>
      <c r="J651">
        <v>0.2289156626506024</v>
      </c>
      <c r="K651">
        <v>0.57429718875502012</v>
      </c>
      <c r="L651">
        <v>0</v>
      </c>
      <c r="M651">
        <v>0.96787148594377514</v>
      </c>
      <c r="N651">
        <v>0.65863453815261042</v>
      </c>
      <c r="O651">
        <v>0.50200803212851408</v>
      </c>
      <c r="P651">
        <v>0.7831325301204819</v>
      </c>
      <c r="Q651">
        <v>0</v>
      </c>
      <c r="R651">
        <v>0.77510040160642568</v>
      </c>
      <c r="S651">
        <v>0.1646586345381526</v>
      </c>
      <c r="T651">
        <v>0.68273092369477917</v>
      </c>
      <c r="U651">
        <v>0.34538152610441769</v>
      </c>
      <c r="V651">
        <v>0</v>
      </c>
      <c r="W651">
        <v>0.76706827309236947</v>
      </c>
      <c r="X651">
        <v>0.38554216867469882</v>
      </c>
      <c r="Y651">
        <v>0.52610441767068272</v>
      </c>
      <c r="Z651">
        <v>0.55823293172690758</v>
      </c>
      <c r="AA651">
        <v>0</v>
      </c>
      <c r="AB651">
        <v>0.51807228915662651</v>
      </c>
      <c r="AC651">
        <v>0.82730923694779113</v>
      </c>
      <c r="AD651">
        <v>0.3493975903614458</v>
      </c>
      <c r="AE651">
        <v>0.13654618473895583</v>
      </c>
      <c r="AF651">
        <v>0</v>
      </c>
      <c r="AG651">
        <v>0.97590361445783136</v>
      </c>
      <c r="AH651">
        <v>0.51004016064257029</v>
      </c>
      <c r="AI651">
        <v>0.67469879518072284</v>
      </c>
      <c r="AJ651">
        <v>0.87148594377510036</v>
      </c>
      <c r="AL651" s="1">
        <v>0.87550200803212852</v>
      </c>
      <c r="AN651" t="s">
        <v>55</v>
      </c>
      <c r="AO651">
        <v>82</v>
      </c>
      <c r="AP651" s="2">
        <v>0.88666666666666671</v>
      </c>
      <c r="AQ651">
        <v>35</v>
      </c>
      <c r="AT651" s="1">
        <v>0.10040160642570281</v>
      </c>
      <c r="AU651" s="1">
        <v>0.91566265060240959</v>
      </c>
    </row>
    <row r="652" spans="1:47" x14ac:dyDescent="0.3">
      <c r="A652" t="s">
        <v>288</v>
      </c>
      <c r="B652">
        <v>0</v>
      </c>
      <c r="C652" s="1">
        <v>8.8353413654618476E-2</v>
      </c>
      <c r="D652">
        <v>0.10441767068273092</v>
      </c>
      <c r="E652">
        <v>0.2289156626506024</v>
      </c>
      <c r="F652">
        <v>6.0240963855421686E-2</v>
      </c>
      <c r="G652">
        <v>0</v>
      </c>
      <c r="H652">
        <v>0.18875502008032127</v>
      </c>
      <c r="I652">
        <v>0.38152610441767071</v>
      </c>
      <c r="J652">
        <v>0.2289156626506024</v>
      </c>
      <c r="K652">
        <v>0.26104417670682734</v>
      </c>
      <c r="L652">
        <v>0</v>
      </c>
      <c r="M652">
        <v>4.0160642570281124E-2</v>
      </c>
      <c r="N652">
        <v>0.18875502008032127</v>
      </c>
      <c r="O652">
        <v>0.20481927710843373</v>
      </c>
      <c r="P652">
        <v>0.12851405622489959</v>
      </c>
      <c r="Q652">
        <v>0</v>
      </c>
      <c r="R652">
        <v>4.4176706827309238E-2</v>
      </c>
      <c r="S652">
        <v>6.4257028112449793E-2</v>
      </c>
      <c r="T652">
        <v>0.46184738955823296</v>
      </c>
      <c r="U652">
        <v>4.4176706827309238E-2</v>
      </c>
      <c r="V652">
        <v>0</v>
      </c>
      <c r="W652">
        <v>4.0160642570281121E-3</v>
      </c>
      <c r="X652">
        <v>6.8273092369477914E-2</v>
      </c>
      <c r="Y652">
        <v>0.1606425702811245</v>
      </c>
      <c r="Z652">
        <v>7.6305220883534142E-2</v>
      </c>
      <c r="AA652">
        <v>0</v>
      </c>
      <c r="AB652">
        <v>0.21285140562248997</v>
      </c>
      <c r="AC652">
        <v>0.19678714859437751</v>
      </c>
      <c r="AD652">
        <v>0.63855421686746983</v>
      </c>
      <c r="AE652">
        <v>0.6224899598393574</v>
      </c>
      <c r="AF652">
        <v>0</v>
      </c>
      <c r="AG652">
        <v>3.2128514056224897E-2</v>
      </c>
      <c r="AH652">
        <v>9.6385542168674704E-2</v>
      </c>
      <c r="AI652">
        <v>0.1606425702811245</v>
      </c>
      <c r="AJ652">
        <v>7.6305220883534142E-2</v>
      </c>
      <c r="AL652" s="1">
        <v>2.4096385542168676E-2</v>
      </c>
      <c r="AN652" t="s">
        <v>289</v>
      </c>
      <c r="AO652">
        <v>46</v>
      </c>
      <c r="AP652" s="2">
        <v>0.18333333333333332</v>
      </c>
      <c r="AQ652">
        <v>246</v>
      </c>
      <c r="AT652" s="1">
        <v>0.40963855421686746</v>
      </c>
      <c r="AU652" s="1">
        <v>0.10843373493975904</v>
      </c>
    </row>
    <row r="653" spans="1:47" x14ac:dyDescent="0.3">
      <c r="A653" t="s">
        <v>290</v>
      </c>
      <c r="B653">
        <v>0</v>
      </c>
      <c r="C653" s="1">
        <v>5.2208835341365459E-2</v>
      </c>
      <c r="D653">
        <v>0.24096385542168675</v>
      </c>
      <c r="E653">
        <v>0.58232931726907633</v>
      </c>
      <c r="F653">
        <v>0.24096385542168675</v>
      </c>
      <c r="G653">
        <v>0</v>
      </c>
      <c r="H653">
        <v>0.11244979919678715</v>
      </c>
      <c r="I653">
        <v>7.2289156626506021E-2</v>
      </c>
      <c r="J653">
        <v>0.11646586345381527</v>
      </c>
      <c r="K653">
        <v>4.0160642570281124E-2</v>
      </c>
      <c r="L653">
        <v>0</v>
      </c>
      <c r="M653">
        <v>0.40160642570281124</v>
      </c>
      <c r="N653">
        <v>0.29317269076305219</v>
      </c>
      <c r="O653">
        <v>0.40963855421686746</v>
      </c>
      <c r="P653">
        <v>0.35742971887550201</v>
      </c>
      <c r="Q653">
        <v>0</v>
      </c>
      <c r="R653">
        <v>0.14056224899598393</v>
      </c>
      <c r="S653">
        <v>0.33734939759036142</v>
      </c>
      <c r="T653">
        <v>0.57028112449799195</v>
      </c>
      <c r="U653">
        <v>0.32128514056224899</v>
      </c>
      <c r="V653">
        <v>0</v>
      </c>
      <c r="W653">
        <v>0.4859437751004016</v>
      </c>
      <c r="X653">
        <v>0.48995983935742971</v>
      </c>
      <c r="Y653">
        <v>0.54618473895582331</v>
      </c>
      <c r="Z653">
        <v>0.66666666666666663</v>
      </c>
      <c r="AA653">
        <v>0</v>
      </c>
      <c r="AB653">
        <v>0.42570281124497994</v>
      </c>
      <c r="AC653">
        <v>0.11244979919678715</v>
      </c>
      <c r="AD653">
        <v>0.90763052208835338</v>
      </c>
      <c r="AE653">
        <v>0.75502008032128509</v>
      </c>
      <c r="AF653">
        <v>0</v>
      </c>
      <c r="AG653">
        <v>0.14457831325301204</v>
      </c>
      <c r="AH653">
        <v>0.20883534136546184</v>
      </c>
      <c r="AI653">
        <v>0.49799196787148592</v>
      </c>
      <c r="AJ653">
        <v>0.25301204819277107</v>
      </c>
      <c r="AL653" s="1">
        <v>9.6385542168674704E-2</v>
      </c>
      <c r="AN653" t="s">
        <v>89</v>
      </c>
      <c r="AO653">
        <v>81</v>
      </c>
      <c r="AP653" s="2">
        <v>0.26666666666666666</v>
      </c>
      <c r="AQ653">
        <v>221</v>
      </c>
      <c r="AT653" s="1">
        <v>0.11646586345381527</v>
      </c>
      <c r="AU653" s="1">
        <v>0.32931726907630521</v>
      </c>
    </row>
    <row r="654" spans="1:47" x14ac:dyDescent="0.3">
      <c r="A654" t="s">
        <v>291</v>
      </c>
      <c r="B654">
        <v>0</v>
      </c>
      <c r="C654" s="1">
        <v>0.85542168674698793</v>
      </c>
      <c r="D654">
        <v>0.85943775100401609</v>
      </c>
      <c r="E654">
        <v>0.44979919678714858</v>
      </c>
      <c r="F654">
        <v>0.85140562248995988</v>
      </c>
      <c r="G654">
        <v>0</v>
      </c>
      <c r="H654">
        <v>0.77510040160642568</v>
      </c>
      <c r="I654">
        <v>0.36144578313253012</v>
      </c>
      <c r="J654">
        <v>0.46184738955823296</v>
      </c>
      <c r="K654">
        <v>0.48995983935742971</v>
      </c>
      <c r="L654">
        <v>0</v>
      </c>
      <c r="M654">
        <v>0.31726907630522089</v>
      </c>
      <c r="N654">
        <v>0.55823293172690758</v>
      </c>
      <c r="O654">
        <v>0.44578313253012047</v>
      </c>
      <c r="P654">
        <v>0.56224899598393574</v>
      </c>
      <c r="Q654">
        <v>0</v>
      </c>
      <c r="R654">
        <v>0.89156626506024095</v>
      </c>
      <c r="S654">
        <v>0.93172690763052213</v>
      </c>
      <c r="T654">
        <v>0.51004016064257029</v>
      </c>
      <c r="U654">
        <v>0.90361445783132532</v>
      </c>
      <c r="V654">
        <v>0</v>
      </c>
      <c r="W654">
        <v>0.40562248995983935</v>
      </c>
      <c r="X654">
        <v>0.49397590361445781</v>
      </c>
      <c r="Y654">
        <v>0.20883534136546184</v>
      </c>
      <c r="Z654">
        <v>0.44979919678714858</v>
      </c>
      <c r="AA654">
        <v>0</v>
      </c>
      <c r="AB654">
        <v>0.28112449799196787</v>
      </c>
      <c r="AC654">
        <v>0.82730923694779113</v>
      </c>
      <c r="AD654">
        <v>0.25301204819277107</v>
      </c>
      <c r="AE654">
        <v>0.3534136546184739</v>
      </c>
      <c r="AF654">
        <v>0</v>
      </c>
      <c r="AG654">
        <v>0.66265060240963858</v>
      </c>
      <c r="AH654">
        <v>0.82329317269076308</v>
      </c>
      <c r="AI654">
        <v>0.44578313253012047</v>
      </c>
      <c r="AJ654">
        <v>0.80321285140562249</v>
      </c>
      <c r="AL654" s="1">
        <v>0.77911646586345384</v>
      </c>
      <c r="AN654" t="s">
        <v>84</v>
      </c>
      <c r="AO654">
        <v>60</v>
      </c>
      <c r="AP654" s="2">
        <v>0.71333333333333337</v>
      </c>
      <c r="AQ654">
        <v>87</v>
      </c>
      <c r="AT654" s="1">
        <v>0.42168674698795183</v>
      </c>
      <c r="AU654" s="1">
        <v>0.22489959839357429</v>
      </c>
    </row>
    <row r="655" spans="1:47" x14ac:dyDescent="0.3">
      <c r="A655" t="s">
        <v>292</v>
      </c>
      <c r="B655">
        <v>0</v>
      </c>
      <c r="C655" s="1">
        <v>0.89558232931726911</v>
      </c>
      <c r="D655">
        <v>0.75100401606425704</v>
      </c>
      <c r="E655">
        <v>0.85943775100401609</v>
      </c>
      <c r="F655">
        <v>0.73895582329317266</v>
      </c>
      <c r="G655">
        <v>0</v>
      </c>
      <c r="H655">
        <v>0.86746987951807231</v>
      </c>
      <c r="I655">
        <v>0.85943775100401609</v>
      </c>
      <c r="J655">
        <v>0.93975903614457834</v>
      </c>
      <c r="K655">
        <v>0.89558232931726911</v>
      </c>
      <c r="L655">
        <v>0</v>
      </c>
      <c r="M655">
        <v>0.18072289156626506</v>
      </c>
      <c r="N655">
        <v>0.3534136546184739</v>
      </c>
      <c r="O655">
        <v>0.63855421686746983</v>
      </c>
      <c r="P655">
        <v>0.23293172690763053</v>
      </c>
      <c r="Q655">
        <v>0</v>
      </c>
      <c r="R655">
        <v>0.97991967871485941</v>
      </c>
      <c r="S655">
        <v>0.77911646586345384</v>
      </c>
      <c r="T655">
        <v>0.85943775100401609</v>
      </c>
      <c r="U655">
        <v>0.85943775100401609</v>
      </c>
      <c r="V655">
        <v>0</v>
      </c>
      <c r="W655">
        <v>0.12851405622489959</v>
      </c>
      <c r="X655">
        <v>0.51405622489959835</v>
      </c>
      <c r="Y655">
        <v>0.29317269076305219</v>
      </c>
      <c r="Z655">
        <v>0.21686746987951808</v>
      </c>
      <c r="AA655">
        <v>0</v>
      </c>
      <c r="AB655">
        <v>0.46586345381526106</v>
      </c>
      <c r="AC655">
        <v>0.98393574297188757</v>
      </c>
      <c r="AD655">
        <v>0.60642570281124497</v>
      </c>
      <c r="AE655">
        <v>0.81526104417670686</v>
      </c>
      <c r="AF655">
        <v>0</v>
      </c>
      <c r="AG655">
        <v>0.57429718875502012</v>
      </c>
      <c r="AH655">
        <v>0.55421686746987953</v>
      </c>
      <c r="AI655">
        <v>0.80722891566265065</v>
      </c>
      <c r="AJ655">
        <v>0.51405622489959835</v>
      </c>
      <c r="AL655" s="1">
        <v>0.74297188755020083</v>
      </c>
      <c r="AN655" t="s">
        <v>69</v>
      </c>
      <c r="AO655">
        <v>78</v>
      </c>
      <c r="AP655" s="2">
        <v>0.76666666666666672</v>
      </c>
      <c r="AQ655">
        <v>71</v>
      </c>
      <c r="AT655" s="1">
        <v>0.8393574297188755</v>
      </c>
      <c r="AU655" s="1">
        <v>0.33734939759036142</v>
      </c>
    </row>
    <row r="656" spans="1:47" x14ac:dyDescent="0.3">
      <c r="A656" t="s">
        <v>293</v>
      </c>
      <c r="B656">
        <v>0</v>
      </c>
      <c r="C656" s="1">
        <v>0.93172690763052213</v>
      </c>
      <c r="D656">
        <v>0.81927710843373491</v>
      </c>
      <c r="E656">
        <v>0.76305220883534142</v>
      </c>
      <c r="F656">
        <v>0.92369477911646591</v>
      </c>
      <c r="G656">
        <v>0</v>
      </c>
      <c r="H656">
        <v>0.57028112449799195</v>
      </c>
      <c r="I656">
        <v>0.73895582329317266</v>
      </c>
      <c r="J656">
        <v>0.76305220883534142</v>
      </c>
      <c r="K656">
        <v>0.72289156626506024</v>
      </c>
      <c r="L656">
        <v>0</v>
      </c>
      <c r="M656">
        <v>0.6224899598393574</v>
      </c>
      <c r="N656">
        <v>0.60240963855421692</v>
      </c>
      <c r="O656">
        <v>0.33333333333333331</v>
      </c>
      <c r="P656">
        <v>0.58232931726907633</v>
      </c>
      <c r="Q656">
        <v>0</v>
      </c>
      <c r="R656">
        <v>0.48192771084337349</v>
      </c>
      <c r="S656">
        <v>0.8875502008032129</v>
      </c>
      <c r="T656">
        <v>0.68273092369477917</v>
      </c>
      <c r="U656">
        <v>0.77510040160642568</v>
      </c>
      <c r="V656">
        <v>0</v>
      </c>
      <c r="W656">
        <v>2.4096385542168676E-2</v>
      </c>
      <c r="X656">
        <v>0.27309236947791166</v>
      </c>
      <c r="Y656">
        <v>0.26104417670682734</v>
      </c>
      <c r="Z656">
        <v>0.1646586345381526</v>
      </c>
      <c r="AA656">
        <v>0</v>
      </c>
      <c r="AB656">
        <v>0.75903614457831325</v>
      </c>
      <c r="AC656">
        <v>0.50200803212851408</v>
      </c>
      <c r="AD656">
        <v>0.44176706827309237</v>
      </c>
      <c r="AE656">
        <v>0.28915662650602408</v>
      </c>
      <c r="AF656">
        <v>0</v>
      </c>
      <c r="AG656">
        <v>0.86746987951807231</v>
      </c>
      <c r="AH656">
        <v>0.80321285140562249</v>
      </c>
      <c r="AI656">
        <v>0.57429718875502012</v>
      </c>
      <c r="AJ656">
        <v>0.87550200803212852</v>
      </c>
      <c r="AL656" s="1">
        <v>0.70682730923694781</v>
      </c>
      <c r="AN656" t="s">
        <v>55</v>
      </c>
      <c r="AO656">
        <v>81</v>
      </c>
      <c r="AP656" s="2">
        <v>0.82666666666666666</v>
      </c>
      <c r="AQ656">
        <v>53</v>
      </c>
      <c r="AT656" s="1">
        <v>0.77108433734939763</v>
      </c>
      <c r="AU656" s="1">
        <v>0.13253012048192772</v>
      </c>
    </row>
    <row r="657" spans="1:47" x14ac:dyDescent="0.3">
      <c r="A657" t="s">
        <v>294</v>
      </c>
      <c r="B657">
        <v>0</v>
      </c>
      <c r="C657" s="1">
        <v>0.3493975903614458</v>
      </c>
      <c r="D657">
        <v>0.40562248995983935</v>
      </c>
      <c r="E657">
        <v>0.42168674698795183</v>
      </c>
      <c r="F657">
        <v>0.34538152610441769</v>
      </c>
      <c r="G657">
        <v>0</v>
      </c>
      <c r="H657">
        <v>0.31325301204819278</v>
      </c>
      <c r="I657">
        <v>0.79919678714859432</v>
      </c>
      <c r="J657">
        <v>0.93975903614457834</v>
      </c>
      <c r="K657">
        <v>0.69477911646586343</v>
      </c>
      <c r="L657">
        <v>0</v>
      </c>
      <c r="M657">
        <v>0.25702811244979917</v>
      </c>
      <c r="N657">
        <v>0.20481927710843373</v>
      </c>
      <c r="O657">
        <v>2.8112449799196786E-2</v>
      </c>
      <c r="P657">
        <v>0.1646586345381526</v>
      </c>
      <c r="Q657">
        <v>0</v>
      </c>
      <c r="R657">
        <v>0.59839357429718876</v>
      </c>
      <c r="S657">
        <v>0.53012048192771088</v>
      </c>
      <c r="T657">
        <v>0.20883534136546184</v>
      </c>
      <c r="U657">
        <v>0.57429718875502012</v>
      </c>
      <c r="V657">
        <v>0</v>
      </c>
      <c r="W657">
        <v>0.18875502008032127</v>
      </c>
      <c r="X657">
        <v>0.30522088353413657</v>
      </c>
      <c r="Y657">
        <v>4.8192771084337352E-2</v>
      </c>
      <c r="Z657">
        <v>0.10040160642570281</v>
      </c>
      <c r="AA657">
        <v>0</v>
      </c>
      <c r="AB657">
        <v>0.67871485943775101</v>
      </c>
      <c r="AC657">
        <v>0.43775100401606426</v>
      </c>
      <c r="AD657">
        <v>0.47389558232931728</v>
      </c>
      <c r="AE657">
        <v>6.0240963855421686E-2</v>
      </c>
      <c r="AF657">
        <v>0</v>
      </c>
      <c r="AG657">
        <v>0.30522088353413657</v>
      </c>
      <c r="AH657">
        <v>0.28514056224899598</v>
      </c>
      <c r="AI657">
        <v>9.6385542168674704E-2</v>
      </c>
      <c r="AJ657">
        <v>0.21686746987951808</v>
      </c>
      <c r="AL657" s="1">
        <v>0.28915662650602408</v>
      </c>
      <c r="AN657" t="s">
        <v>71</v>
      </c>
      <c r="AO657">
        <v>54</v>
      </c>
      <c r="AP657" s="2">
        <v>0.44666666666666666</v>
      </c>
      <c r="AQ657">
        <v>167</v>
      </c>
      <c r="AT657" s="1">
        <v>0.51004016064257029</v>
      </c>
      <c r="AU657" s="1">
        <v>0.49799196787148592</v>
      </c>
    </row>
    <row r="658" spans="1:47" x14ac:dyDescent="0.3">
      <c r="A658" t="s">
        <v>295</v>
      </c>
      <c r="B658">
        <v>0</v>
      </c>
      <c r="C658" s="1">
        <v>8.0321285140562249E-2</v>
      </c>
      <c r="D658">
        <v>4.8192771084337352E-2</v>
      </c>
      <c r="E658">
        <v>0.10843373493975904</v>
      </c>
      <c r="F658">
        <v>4.8192771084337352E-2</v>
      </c>
      <c r="G658">
        <v>0</v>
      </c>
      <c r="H658">
        <v>0.6224899598393574</v>
      </c>
      <c r="I658">
        <v>0.71887550200803207</v>
      </c>
      <c r="J658">
        <v>0.67068273092369479</v>
      </c>
      <c r="K658">
        <v>0.73493975903614461</v>
      </c>
      <c r="L658">
        <v>0</v>
      </c>
      <c r="M658">
        <v>0.71485943775100402</v>
      </c>
      <c r="N658">
        <v>0.37349397590361444</v>
      </c>
      <c r="O658">
        <v>0.40160642570281124</v>
      </c>
      <c r="P658">
        <v>0.44979919678714858</v>
      </c>
      <c r="Q658">
        <v>0</v>
      </c>
      <c r="R658">
        <v>0.28915662650602408</v>
      </c>
      <c r="S658">
        <v>0.22489959839357429</v>
      </c>
      <c r="T658">
        <v>0.14859437751004015</v>
      </c>
      <c r="U658">
        <v>0.2289156626506024</v>
      </c>
      <c r="V658">
        <v>0</v>
      </c>
      <c r="W658">
        <v>0.77108433734939763</v>
      </c>
      <c r="X658">
        <v>0.40160642570281124</v>
      </c>
      <c r="Y658">
        <v>0.67871485943775101</v>
      </c>
      <c r="Z658">
        <v>0.33734939759036142</v>
      </c>
      <c r="AA658">
        <v>0</v>
      </c>
      <c r="AB658">
        <v>0.61445783132530118</v>
      </c>
      <c r="AC658">
        <v>0.42570281124497994</v>
      </c>
      <c r="AD658">
        <v>0.30522088353413657</v>
      </c>
      <c r="AE658">
        <v>0.28915662650602408</v>
      </c>
      <c r="AF658">
        <v>0</v>
      </c>
      <c r="AG658">
        <v>0.26506024096385544</v>
      </c>
      <c r="AH658">
        <v>0.12449799196787148</v>
      </c>
      <c r="AI658">
        <v>0.18072289156626506</v>
      </c>
      <c r="AJ658">
        <v>0.14457831325301204</v>
      </c>
      <c r="AL658" s="1">
        <v>0.33734939759036142</v>
      </c>
      <c r="AN658" t="s">
        <v>52</v>
      </c>
      <c r="AO658">
        <v>78</v>
      </c>
      <c r="AP658" s="2">
        <v>0.50666666666666671</v>
      </c>
      <c r="AQ658">
        <v>149</v>
      </c>
      <c r="AT658" s="1">
        <v>0.89156626506024095</v>
      </c>
      <c r="AU658" s="1">
        <v>0.30120481927710846</v>
      </c>
    </row>
    <row r="659" spans="1:47" x14ac:dyDescent="0.3">
      <c r="A659" t="s">
        <v>296</v>
      </c>
      <c r="B659">
        <v>0</v>
      </c>
      <c r="C659" s="1">
        <v>0.70682730923694781</v>
      </c>
      <c r="D659">
        <v>0.65863453815261042</v>
      </c>
      <c r="E659">
        <v>0.95983935742971882</v>
      </c>
      <c r="F659">
        <v>0.73895582329317266</v>
      </c>
      <c r="G659">
        <v>0</v>
      </c>
      <c r="H659">
        <v>0.27710843373493976</v>
      </c>
      <c r="I659">
        <v>0.73895582329317266</v>
      </c>
      <c r="J659">
        <v>0.53413654618473894</v>
      </c>
      <c r="K659">
        <v>0.61847389558232935</v>
      </c>
      <c r="L659">
        <v>0</v>
      </c>
      <c r="M659">
        <v>0.36546184738955823</v>
      </c>
      <c r="N659">
        <v>8.0321285140562249E-2</v>
      </c>
      <c r="O659">
        <v>0.37349397590361444</v>
      </c>
      <c r="P659">
        <v>0.14457831325301204</v>
      </c>
      <c r="Q659">
        <v>0</v>
      </c>
      <c r="R659">
        <v>0.65461847389558236</v>
      </c>
      <c r="S659">
        <v>0.79919678714859432</v>
      </c>
      <c r="T659">
        <v>0.89558232931726911</v>
      </c>
      <c r="U659">
        <v>0.71084337349397586</v>
      </c>
      <c r="V659">
        <v>0</v>
      </c>
      <c r="W659">
        <v>0.3493975903614458</v>
      </c>
      <c r="X659">
        <v>5.6224899598393573E-2</v>
      </c>
      <c r="Y659">
        <v>0.88353413654618473</v>
      </c>
      <c r="Z659">
        <v>0.14859437751004015</v>
      </c>
      <c r="AA659">
        <v>0</v>
      </c>
      <c r="AB659">
        <v>0.99598393574297184</v>
      </c>
      <c r="AC659">
        <v>0.7831325301204819</v>
      </c>
      <c r="AD659">
        <v>0.95180722891566261</v>
      </c>
      <c r="AE659">
        <v>0.87148594377510036</v>
      </c>
      <c r="AF659">
        <v>0</v>
      </c>
      <c r="AG659">
        <v>0.53413654618473894</v>
      </c>
      <c r="AH659">
        <v>0.31726907630522089</v>
      </c>
      <c r="AI659">
        <v>0.79116465863453811</v>
      </c>
      <c r="AJ659">
        <v>0.44578313253012047</v>
      </c>
      <c r="AL659" s="1">
        <v>0.50200803212851408</v>
      </c>
      <c r="AN659" t="s">
        <v>63</v>
      </c>
      <c r="AO659">
        <v>79</v>
      </c>
      <c r="AP659" s="2">
        <v>0.73333333333333328</v>
      </c>
      <c r="AQ659">
        <v>81</v>
      </c>
      <c r="AT659" s="1">
        <v>0.87550200803212852</v>
      </c>
      <c r="AU659" s="1">
        <v>0.27710843373493976</v>
      </c>
    </row>
    <row r="660" spans="1:47" x14ac:dyDescent="0.3">
      <c r="A660" t="s">
        <v>297</v>
      </c>
      <c r="B660">
        <v>0</v>
      </c>
      <c r="C660" s="1">
        <v>2.0080321285140562E-2</v>
      </c>
      <c r="D660">
        <v>2.0080321285140562E-2</v>
      </c>
      <c r="E660">
        <v>2.0080321285140562E-2</v>
      </c>
      <c r="F660">
        <v>1.6064257028112448E-2</v>
      </c>
      <c r="G660">
        <v>0</v>
      </c>
      <c r="H660">
        <v>4.0160642570281121E-3</v>
      </c>
      <c r="I660">
        <v>2.8112449799196786E-2</v>
      </c>
      <c r="J660">
        <v>6.4257028112449793E-2</v>
      </c>
      <c r="K660">
        <v>8.0321285140562242E-3</v>
      </c>
      <c r="L660">
        <v>0</v>
      </c>
      <c r="M660">
        <v>7.6305220883534142E-2</v>
      </c>
      <c r="N660">
        <v>0.3253012048192771</v>
      </c>
      <c r="O660">
        <v>0.80722891566265065</v>
      </c>
      <c r="P660">
        <v>0.27309236947791166</v>
      </c>
      <c r="Q660">
        <v>0</v>
      </c>
      <c r="R660">
        <v>9.2369477911646583E-2</v>
      </c>
      <c r="S660">
        <v>0.11244979919678715</v>
      </c>
      <c r="T660">
        <v>2.4096385542168676E-2</v>
      </c>
      <c r="U660">
        <v>9.2369477911646583E-2</v>
      </c>
      <c r="V660">
        <v>0</v>
      </c>
      <c r="W660">
        <v>0.10441767068273092</v>
      </c>
      <c r="X660">
        <v>0.51807228915662651</v>
      </c>
      <c r="Y660">
        <v>0.93172690763052213</v>
      </c>
      <c r="Z660">
        <v>0.38955823293172692</v>
      </c>
      <c r="AA660">
        <v>0</v>
      </c>
      <c r="AB660">
        <v>0.25702811244979917</v>
      </c>
      <c r="AC660">
        <v>0.14859437751004015</v>
      </c>
      <c r="AD660">
        <v>3.614457831325301E-2</v>
      </c>
      <c r="AE660">
        <v>0.45783132530120479</v>
      </c>
      <c r="AF660">
        <v>0</v>
      </c>
      <c r="AG660">
        <v>2.0080321285140562E-2</v>
      </c>
      <c r="AH660">
        <v>6.4257028112449793E-2</v>
      </c>
      <c r="AI660">
        <v>0.12048192771084337</v>
      </c>
      <c r="AJ660">
        <v>6.4257028112449793E-2</v>
      </c>
      <c r="AL660" s="1">
        <v>4.0160642570281121E-3</v>
      </c>
      <c r="AN660" t="s">
        <v>73</v>
      </c>
      <c r="AO660">
        <v>75</v>
      </c>
      <c r="AP660" s="2">
        <v>0.17333333333333334</v>
      </c>
      <c r="AQ660">
        <v>249</v>
      </c>
      <c r="AT660" s="1">
        <v>0.40963855421686746</v>
      </c>
      <c r="AU660" s="1">
        <v>0.22489959839357429</v>
      </c>
    </row>
    <row r="661" spans="1:47" x14ac:dyDescent="0.3">
      <c r="A661" t="s">
        <v>298</v>
      </c>
      <c r="B661">
        <v>0</v>
      </c>
      <c r="C661" s="1">
        <v>0.71485943775100402</v>
      </c>
      <c r="D661">
        <v>0.86345381526104414</v>
      </c>
      <c r="E661">
        <v>0.95180722891566261</v>
      </c>
      <c r="F661">
        <v>0.93574297188755018</v>
      </c>
      <c r="G661">
        <v>0</v>
      </c>
      <c r="H661">
        <v>0.26506024096385544</v>
      </c>
      <c r="I661">
        <v>0.71887550200803207</v>
      </c>
      <c r="J661">
        <v>0.31726907630522089</v>
      </c>
      <c r="K661">
        <v>0.61847389558232935</v>
      </c>
      <c r="L661">
        <v>0</v>
      </c>
      <c r="M661">
        <v>0.97991967871485941</v>
      </c>
      <c r="N661">
        <v>0.95180722891566261</v>
      </c>
      <c r="O661">
        <v>0.24096385542168675</v>
      </c>
      <c r="P661">
        <v>0.95983935742971882</v>
      </c>
      <c r="Q661">
        <v>0</v>
      </c>
      <c r="R661">
        <v>0.51807228915662651</v>
      </c>
      <c r="S661">
        <v>0.52610441767068272</v>
      </c>
      <c r="T661">
        <v>0.76706827309236947</v>
      </c>
      <c r="U661">
        <v>0.67068273092369479</v>
      </c>
      <c r="V661">
        <v>0</v>
      </c>
      <c r="W661">
        <v>0.87951807228915657</v>
      </c>
      <c r="X661">
        <v>0.68674698795180722</v>
      </c>
      <c r="Y661">
        <v>0.12048192771084337</v>
      </c>
      <c r="Z661">
        <v>0.66666666666666663</v>
      </c>
      <c r="AA661">
        <v>0</v>
      </c>
      <c r="AB661">
        <v>3.614457831325301E-2</v>
      </c>
      <c r="AC661">
        <v>0.69477911646586343</v>
      </c>
      <c r="AD661">
        <v>0.87951807228915657</v>
      </c>
      <c r="AE661">
        <v>0.22489959839357429</v>
      </c>
      <c r="AF661">
        <v>0</v>
      </c>
      <c r="AG661">
        <v>0.96385542168674698</v>
      </c>
      <c r="AH661">
        <v>0.96385542168674698</v>
      </c>
      <c r="AI661">
        <v>0.63052208835341361</v>
      </c>
      <c r="AJ661">
        <v>0.97590361445783136</v>
      </c>
      <c r="AL661" s="1">
        <v>0.89558232931726911</v>
      </c>
      <c r="AN661" t="s">
        <v>81</v>
      </c>
      <c r="AO661">
        <v>46</v>
      </c>
      <c r="AP661" s="2">
        <v>0.67333333333333334</v>
      </c>
      <c r="AQ661">
        <v>99</v>
      </c>
      <c r="AT661" s="1">
        <v>0.99196787148594379</v>
      </c>
      <c r="AU661" s="1">
        <v>0.32931726907630521</v>
      </c>
    </row>
    <row r="662" spans="1:47" x14ac:dyDescent="0.3">
      <c r="A662" t="s">
        <v>299</v>
      </c>
      <c r="B662">
        <v>0</v>
      </c>
      <c r="C662" s="1">
        <v>0.90763052208835338</v>
      </c>
      <c r="D662">
        <v>0.91164658634538154</v>
      </c>
      <c r="E662">
        <v>0.87951807228915657</v>
      </c>
      <c r="F662">
        <v>0.94779116465863456</v>
      </c>
      <c r="G662">
        <v>0</v>
      </c>
      <c r="H662">
        <v>0.6224899598393574</v>
      </c>
      <c r="I662">
        <v>0.73895582329317266</v>
      </c>
      <c r="J662">
        <v>0.71084337349397586</v>
      </c>
      <c r="K662">
        <v>0.75100401606425704</v>
      </c>
      <c r="L662">
        <v>0</v>
      </c>
      <c r="M662">
        <v>0.36947791164658633</v>
      </c>
      <c r="N662">
        <v>0.21285140562248997</v>
      </c>
      <c r="O662">
        <v>0.6506024096385542</v>
      </c>
      <c r="P662">
        <v>0.26104417670682734</v>
      </c>
      <c r="Q662">
        <v>0</v>
      </c>
      <c r="R662">
        <v>0.59437751004016059</v>
      </c>
      <c r="S662">
        <v>0.56224899598393574</v>
      </c>
      <c r="T662">
        <v>0.89156626506024095</v>
      </c>
      <c r="U662">
        <v>0.6224899598393574</v>
      </c>
      <c r="V662">
        <v>0</v>
      </c>
      <c r="W662">
        <v>0.50200803212851408</v>
      </c>
      <c r="X662">
        <v>0.18473895582329317</v>
      </c>
      <c r="Y662">
        <v>0.77108433734939763</v>
      </c>
      <c r="Z662">
        <v>0.23293172690763053</v>
      </c>
      <c r="AA662">
        <v>0</v>
      </c>
      <c r="AB662">
        <v>0.20481927710843373</v>
      </c>
      <c r="AC662">
        <v>0.77911646586345384</v>
      </c>
      <c r="AD662">
        <v>0.51807228915662651</v>
      </c>
      <c r="AE662">
        <v>0.73493975903614461</v>
      </c>
      <c r="AF662">
        <v>0</v>
      </c>
      <c r="AG662">
        <v>0.75903614457831325</v>
      </c>
      <c r="AH662">
        <v>0.61847389558232935</v>
      </c>
      <c r="AI662">
        <v>0.81927710843373491</v>
      </c>
      <c r="AJ662">
        <v>0.73092369477911645</v>
      </c>
      <c r="AL662" s="1">
        <v>0.67469879518072284</v>
      </c>
      <c r="AN662" t="s">
        <v>79</v>
      </c>
      <c r="AO662">
        <v>75</v>
      </c>
      <c r="AP662" s="2">
        <v>0.64666666666666661</v>
      </c>
      <c r="AQ662">
        <v>107</v>
      </c>
      <c r="AT662" s="1">
        <v>0.1646586345381526</v>
      </c>
      <c r="AU662" s="1">
        <v>0.65461847389558236</v>
      </c>
    </row>
    <row r="663" spans="1:47" x14ac:dyDescent="0.3">
      <c r="A663" t="s">
        <v>300</v>
      </c>
      <c r="B663">
        <v>0</v>
      </c>
      <c r="C663" s="1">
        <v>0.34136546184738958</v>
      </c>
      <c r="D663">
        <v>0.47791164658634538</v>
      </c>
      <c r="E663">
        <v>0.94779116465863456</v>
      </c>
      <c r="F663">
        <v>0.3253012048192771</v>
      </c>
      <c r="G663">
        <v>0</v>
      </c>
      <c r="H663">
        <v>0.41767068273092367</v>
      </c>
      <c r="I663">
        <v>0.95180722891566261</v>
      </c>
      <c r="J663">
        <v>0.89156626506024095</v>
      </c>
      <c r="K663">
        <v>0.8875502008032129</v>
      </c>
      <c r="L663">
        <v>0</v>
      </c>
      <c r="M663">
        <v>0.87951807228915657</v>
      </c>
      <c r="N663">
        <v>0.51405622489959835</v>
      </c>
      <c r="O663">
        <v>0.55020080321285136</v>
      </c>
      <c r="P663">
        <v>0.6224899598393574</v>
      </c>
      <c r="Q663">
        <v>0</v>
      </c>
      <c r="R663">
        <v>0.67871485943775101</v>
      </c>
      <c r="S663">
        <v>0.59839357429718876</v>
      </c>
      <c r="T663">
        <v>0.97590361445783136</v>
      </c>
      <c r="U663">
        <v>0.60240963855421692</v>
      </c>
      <c r="V663">
        <v>0</v>
      </c>
      <c r="W663">
        <v>0.95983935742971882</v>
      </c>
      <c r="X663">
        <v>0.73895582329317266</v>
      </c>
      <c r="Y663">
        <v>0.90763052208835338</v>
      </c>
      <c r="Z663">
        <v>0.79518072289156627</v>
      </c>
      <c r="AA663">
        <v>0</v>
      </c>
      <c r="AB663">
        <v>0.95180722891566261</v>
      </c>
      <c r="AC663">
        <v>0.6224899598393574</v>
      </c>
      <c r="AD663">
        <v>0.97590361445783136</v>
      </c>
      <c r="AE663">
        <v>0.84738955823293172</v>
      </c>
      <c r="AF663">
        <v>0</v>
      </c>
      <c r="AG663">
        <v>0.57028112449799195</v>
      </c>
      <c r="AH663">
        <v>0.45381526104417669</v>
      </c>
      <c r="AI663">
        <v>0.85140562248995988</v>
      </c>
      <c r="AJ663">
        <v>0.42570281124497994</v>
      </c>
      <c r="AL663" s="1">
        <v>0.76706827309236947</v>
      </c>
      <c r="AN663" t="s">
        <v>71</v>
      </c>
      <c r="AO663">
        <v>78</v>
      </c>
      <c r="AP663" s="2">
        <v>0.91</v>
      </c>
      <c r="AQ663">
        <v>28</v>
      </c>
      <c r="AT663" s="1">
        <v>0.75100401606425704</v>
      </c>
      <c r="AU663" s="1">
        <v>0.84337349397590367</v>
      </c>
    </row>
    <row r="664" spans="1:47" x14ac:dyDescent="0.3">
      <c r="A664" t="s">
        <v>301</v>
      </c>
      <c r="B664">
        <v>0</v>
      </c>
      <c r="C664" s="1">
        <v>0.30522088353413657</v>
      </c>
      <c r="D664">
        <v>0.85140562248995988</v>
      </c>
      <c r="E664">
        <v>4.0160642570281124E-2</v>
      </c>
      <c r="F664">
        <v>0.60240963855421692</v>
      </c>
      <c r="G664">
        <v>0</v>
      </c>
      <c r="H664">
        <v>0.22489959839357429</v>
      </c>
      <c r="I664">
        <v>5.2208835341365459E-2</v>
      </c>
      <c r="J664">
        <v>0.28915662650602408</v>
      </c>
      <c r="K664">
        <v>5.2208835341365459E-2</v>
      </c>
      <c r="L664">
        <v>0</v>
      </c>
      <c r="M664">
        <v>0.63855421686746983</v>
      </c>
      <c r="N664">
        <v>0.3534136546184739</v>
      </c>
      <c r="O664">
        <v>0.20080321285140562</v>
      </c>
      <c r="P664">
        <v>0.36144578313253012</v>
      </c>
      <c r="Q664">
        <v>0</v>
      </c>
      <c r="R664">
        <v>0.44176706827309237</v>
      </c>
      <c r="S664">
        <v>0.74698795180722888</v>
      </c>
      <c r="T664">
        <v>4.8192771084337352E-2</v>
      </c>
      <c r="U664">
        <v>0.51004016064257029</v>
      </c>
      <c r="V664">
        <v>0</v>
      </c>
      <c r="W664">
        <v>0.74297188755020083</v>
      </c>
      <c r="X664">
        <v>0.33333333333333331</v>
      </c>
      <c r="Y664">
        <v>0.75903614457831325</v>
      </c>
      <c r="Z664">
        <v>0.62650602409638556</v>
      </c>
      <c r="AA664">
        <v>0</v>
      </c>
      <c r="AB664">
        <v>0.14859437751004015</v>
      </c>
      <c r="AC664">
        <v>3.614457831325301E-2</v>
      </c>
      <c r="AD664">
        <v>5.2208835341365459E-2</v>
      </c>
      <c r="AE664">
        <v>4.0160642570281124E-2</v>
      </c>
      <c r="AF664">
        <v>0</v>
      </c>
      <c r="AG664">
        <v>0.40963855421686746</v>
      </c>
      <c r="AH664">
        <v>0.67871485943775101</v>
      </c>
      <c r="AI664">
        <v>4.8192771084337352E-2</v>
      </c>
      <c r="AJ664">
        <v>0.48995983935742971</v>
      </c>
      <c r="AL664" s="1">
        <v>0.35742971887550201</v>
      </c>
      <c r="AN664" t="s">
        <v>65</v>
      </c>
      <c r="AO664">
        <v>44</v>
      </c>
      <c r="AP664" s="2">
        <v>0.41</v>
      </c>
      <c r="AQ664">
        <v>178</v>
      </c>
      <c r="AT664" s="1">
        <v>9.2369477911646583E-2</v>
      </c>
      <c r="AU664" s="1">
        <v>0.6987951807228916</v>
      </c>
    </row>
    <row r="665" spans="1:47" x14ac:dyDescent="0.3">
      <c r="A665" t="s">
        <v>47</v>
      </c>
      <c r="B665">
        <v>0</v>
      </c>
      <c r="C665" s="1">
        <v>0.97590361445783136</v>
      </c>
      <c r="D665">
        <v>0.84738955823293172</v>
      </c>
      <c r="E665">
        <v>0.66666666666666663</v>
      </c>
      <c r="F665">
        <v>0.88353413654618473</v>
      </c>
      <c r="G665">
        <v>0</v>
      </c>
      <c r="H665">
        <v>0.27710843373493976</v>
      </c>
      <c r="I665">
        <v>0.81526104417670686</v>
      </c>
      <c r="J665">
        <v>0.73493975903614461</v>
      </c>
      <c r="K665">
        <v>0.71084337349397586</v>
      </c>
      <c r="L665">
        <v>0</v>
      </c>
      <c r="M665">
        <v>0.79518072289156627</v>
      </c>
      <c r="N665">
        <v>0.8112449799196787</v>
      </c>
      <c r="O665">
        <v>0.8875502008032129</v>
      </c>
      <c r="P665">
        <v>0.89959839357429716</v>
      </c>
      <c r="Q665">
        <v>0</v>
      </c>
      <c r="R665">
        <v>0.58634538152610438</v>
      </c>
      <c r="S665">
        <v>0.27309236947791166</v>
      </c>
      <c r="T665">
        <v>0.20883534136546184</v>
      </c>
      <c r="U665">
        <v>0.31726907630522089</v>
      </c>
      <c r="V665">
        <v>0</v>
      </c>
      <c r="W665">
        <v>0.86345381526104414</v>
      </c>
      <c r="X665">
        <v>0.97590361445783136</v>
      </c>
      <c r="Y665">
        <v>0.90361445783132532</v>
      </c>
      <c r="Z665">
        <v>0.96787148594377514</v>
      </c>
      <c r="AA665">
        <v>0</v>
      </c>
      <c r="AB665">
        <v>0.25301204819277107</v>
      </c>
      <c r="AC665">
        <v>0.71485943775100402</v>
      </c>
      <c r="AD665">
        <v>0.34136546184738958</v>
      </c>
      <c r="AE665">
        <v>0.67871485943775101</v>
      </c>
      <c r="AF665">
        <v>0</v>
      </c>
      <c r="AG665">
        <v>0.94377510040160639</v>
      </c>
      <c r="AH665">
        <v>0.90763052208835338</v>
      </c>
      <c r="AI665">
        <v>0.87951807228915657</v>
      </c>
      <c r="AJ665">
        <v>0.93975903614457834</v>
      </c>
      <c r="AL665" s="1">
        <v>0.91566265060240959</v>
      </c>
      <c r="AN665" t="s">
        <v>57</v>
      </c>
      <c r="AO665">
        <v>72</v>
      </c>
      <c r="AP665" s="2">
        <v>0.85333333333333339</v>
      </c>
      <c r="AQ665">
        <v>45</v>
      </c>
      <c r="AT665" s="1">
        <v>2.8112449799196786E-2</v>
      </c>
      <c r="AU665" s="1">
        <v>0.96385542168674698</v>
      </c>
    </row>
    <row r="666" spans="1:47" x14ac:dyDescent="0.3">
      <c r="A666" t="s">
        <v>302</v>
      </c>
      <c r="B666">
        <v>0</v>
      </c>
      <c r="C666" s="1">
        <v>0.87550200803212852</v>
      </c>
      <c r="D666">
        <v>0.65461847389558236</v>
      </c>
      <c r="E666">
        <v>0.80722891566265065</v>
      </c>
      <c r="F666">
        <v>0.85943775100401609</v>
      </c>
      <c r="G666">
        <v>0</v>
      </c>
      <c r="H666">
        <v>0.86345381526104414</v>
      </c>
      <c r="I666">
        <v>0.59437751004016059</v>
      </c>
      <c r="J666">
        <v>0.83534136546184734</v>
      </c>
      <c r="K666">
        <v>0.73493975903614461</v>
      </c>
      <c r="L666">
        <v>0</v>
      </c>
      <c r="M666">
        <v>0.65863453815261042</v>
      </c>
      <c r="N666">
        <v>0.52208835341365467</v>
      </c>
      <c r="O666">
        <v>0.54618473895582331</v>
      </c>
      <c r="P666">
        <v>0.54618473895582331</v>
      </c>
      <c r="Q666">
        <v>0</v>
      </c>
      <c r="R666">
        <v>0.30120481927710846</v>
      </c>
      <c r="S666">
        <v>0.64658634538152615</v>
      </c>
      <c r="T666">
        <v>0.74297188755020083</v>
      </c>
      <c r="U666">
        <v>0.57028112449799195</v>
      </c>
      <c r="V666">
        <v>0</v>
      </c>
      <c r="W666">
        <v>8.8353413654618476E-2</v>
      </c>
      <c r="X666">
        <v>0.14859437751004015</v>
      </c>
      <c r="Y666">
        <v>0.66265060240963858</v>
      </c>
      <c r="Z666">
        <v>0.14859437751004015</v>
      </c>
      <c r="AA666">
        <v>0</v>
      </c>
      <c r="AB666">
        <v>0.80321285140562249</v>
      </c>
      <c r="AC666">
        <v>0.55823293172690758</v>
      </c>
      <c r="AD666">
        <v>0.52610441767068272</v>
      </c>
      <c r="AE666">
        <v>0.50602409638554213</v>
      </c>
      <c r="AF666">
        <v>0</v>
      </c>
      <c r="AG666">
        <v>0.84738955823293172</v>
      </c>
      <c r="AH666">
        <v>0.61445783132530118</v>
      </c>
      <c r="AI666">
        <v>0.70682730923694781</v>
      </c>
      <c r="AJ666">
        <v>0.79116465863453811</v>
      </c>
      <c r="AL666" s="1">
        <v>0.67068273092369479</v>
      </c>
      <c r="AN666" t="s">
        <v>55</v>
      </c>
      <c r="AO666">
        <v>79</v>
      </c>
      <c r="AP666" s="2">
        <v>0.81</v>
      </c>
      <c r="AQ666">
        <v>58</v>
      </c>
      <c r="AT666" s="1">
        <v>0.85943775100401609</v>
      </c>
      <c r="AU666" s="1">
        <v>0.58634538152610438</v>
      </c>
    </row>
    <row r="667" spans="1:47" x14ac:dyDescent="0.3">
      <c r="A667" t="s">
        <v>303</v>
      </c>
      <c r="B667">
        <v>0</v>
      </c>
      <c r="C667" s="1">
        <v>0.84738955823293172</v>
      </c>
      <c r="D667">
        <v>0.59036144578313254</v>
      </c>
      <c r="E667">
        <v>0.92771084337349397</v>
      </c>
      <c r="F667">
        <v>0.78714859437751006</v>
      </c>
      <c r="G667">
        <v>0</v>
      </c>
      <c r="H667">
        <v>0.86746987951807231</v>
      </c>
      <c r="I667">
        <v>0.85943775100401609</v>
      </c>
      <c r="J667">
        <v>0.90763052208835338</v>
      </c>
      <c r="K667">
        <v>0.89558232931726911</v>
      </c>
      <c r="L667">
        <v>0</v>
      </c>
      <c r="M667">
        <v>0.62650602409638556</v>
      </c>
      <c r="N667">
        <v>0.41365461847389556</v>
      </c>
      <c r="O667">
        <v>0.28915662650602408</v>
      </c>
      <c r="P667">
        <v>0.50200803212851408</v>
      </c>
      <c r="Q667">
        <v>0</v>
      </c>
      <c r="R667">
        <v>0.92771084337349397</v>
      </c>
      <c r="S667">
        <v>0.64257028112449799</v>
      </c>
      <c r="T667">
        <v>0.8393574297188755</v>
      </c>
      <c r="U667">
        <v>0.85943775100401609</v>
      </c>
      <c r="V667">
        <v>0</v>
      </c>
      <c r="W667">
        <v>0.70281124497991965</v>
      </c>
      <c r="X667">
        <v>0.81526104417670686</v>
      </c>
      <c r="Y667">
        <v>0.74698795180722888</v>
      </c>
      <c r="Z667">
        <v>0.8393574297188755</v>
      </c>
      <c r="AA667">
        <v>0</v>
      </c>
      <c r="AB667">
        <v>0.98393574297188757</v>
      </c>
      <c r="AC667">
        <v>0.79116465863453811</v>
      </c>
      <c r="AD667">
        <v>0.7269076305220884</v>
      </c>
      <c r="AE667">
        <v>0.50602409638554213</v>
      </c>
      <c r="AF667">
        <v>0</v>
      </c>
      <c r="AG667">
        <v>0.80722891566265065</v>
      </c>
      <c r="AH667">
        <v>0.48995983935742971</v>
      </c>
      <c r="AI667">
        <v>0.66265060240963858</v>
      </c>
      <c r="AJ667">
        <v>0.73493975903614461</v>
      </c>
      <c r="AL667" s="1">
        <v>0.93574297188755018</v>
      </c>
      <c r="AN667" t="s">
        <v>63</v>
      </c>
      <c r="AO667">
        <v>78</v>
      </c>
      <c r="AP667" s="2">
        <v>0.98666666666666669</v>
      </c>
      <c r="AQ667">
        <v>5</v>
      </c>
      <c r="AT667" s="1">
        <v>0.10441767068273092</v>
      </c>
      <c r="AU667" s="1">
        <v>0.66666666666666663</v>
      </c>
    </row>
    <row r="668" spans="1:47" x14ac:dyDescent="0.3">
      <c r="A668" t="s">
        <v>304</v>
      </c>
      <c r="B668">
        <v>0</v>
      </c>
      <c r="C668" s="1">
        <v>0.24096385542168675</v>
      </c>
      <c r="D668">
        <v>0.20481927710843373</v>
      </c>
      <c r="E668">
        <v>0.28514056224899598</v>
      </c>
      <c r="F668">
        <v>0.1646586345381526</v>
      </c>
      <c r="G668">
        <v>0</v>
      </c>
      <c r="H668">
        <v>0.11244979919678715</v>
      </c>
      <c r="I668">
        <v>0.30522088353413657</v>
      </c>
      <c r="J668">
        <v>0.28915662650602408</v>
      </c>
      <c r="K668">
        <v>0.21285140562248997</v>
      </c>
      <c r="L668">
        <v>0</v>
      </c>
      <c r="M668">
        <v>0.64658634538152615</v>
      </c>
      <c r="N668">
        <v>0.93172690763052213</v>
      </c>
      <c r="O668">
        <v>0.45783132530120479</v>
      </c>
      <c r="P668">
        <v>0.77911646586345384</v>
      </c>
      <c r="Q668">
        <v>0</v>
      </c>
      <c r="R668">
        <v>0.24096385542168675</v>
      </c>
      <c r="S668">
        <v>0.24497991967871485</v>
      </c>
      <c r="T668">
        <v>0.46184738955823296</v>
      </c>
      <c r="U668">
        <v>0.20883534136546184</v>
      </c>
      <c r="V668">
        <v>0</v>
      </c>
      <c r="W668">
        <v>0.6506024096385542</v>
      </c>
      <c r="X668">
        <v>0.95983935742971882</v>
      </c>
      <c r="Y668">
        <v>0.55823293172690758</v>
      </c>
      <c r="Z668">
        <v>0.8393574297188755</v>
      </c>
      <c r="AA668">
        <v>0</v>
      </c>
      <c r="AB668">
        <v>0.47791164658634538</v>
      </c>
      <c r="AC668">
        <v>0.13654618473895583</v>
      </c>
      <c r="AD668">
        <v>0.37349397590361444</v>
      </c>
      <c r="AE668">
        <v>0.32128514056224899</v>
      </c>
      <c r="AF668">
        <v>0</v>
      </c>
      <c r="AG668">
        <v>0.38554216867469882</v>
      </c>
      <c r="AH668">
        <v>0.51405622489959835</v>
      </c>
      <c r="AI668">
        <v>0.34136546184738958</v>
      </c>
      <c r="AJ668">
        <v>0.38152610441767071</v>
      </c>
      <c r="AL668" s="1">
        <v>0.3253012048192771</v>
      </c>
      <c r="AN668" t="s">
        <v>85</v>
      </c>
      <c r="AO668">
        <v>74</v>
      </c>
      <c r="AP668" s="2">
        <v>0.45</v>
      </c>
      <c r="AQ668">
        <v>166</v>
      </c>
      <c r="AT668" s="1">
        <v>0.46586345381526106</v>
      </c>
      <c r="AU668" s="1">
        <v>0.27710843373493976</v>
      </c>
    </row>
    <row r="669" spans="1:47" x14ac:dyDescent="0.3">
      <c r="A669" t="s">
        <v>305</v>
      </c>
      <c r="B669">
        <v>0</v>
      </c>
      <c r="C669" s="1">
        <v>0.78714859437751006</v>
      </c>
      <c r="D669">
        <v>0.96787148594377514</v>
      </c>
      <c r="E669">
        <v>0.88353413654618473</v>
      </c>
      <c r="F669">
        <v>0.94779116465863456</v>
      </c>
      <c r="G669">
        <v>0</v>
      </c>
      <c r="H669">
        <v>0.88353413654618473</v>
      </c>
      <c r="I669">
        <v>0.77108433734939763</v>
      </c>
      <c r="J669">
        <v>0.53413654618473894</v>
      </c>
      <c r="K669">
        <v>0.85542168674698793</v>
      </c>
      <c r="L669">
        <v>0</v>
      </c>
      <c r="M669">
        <v>0.40963855421686746</v>
      </c>
      <c r="N669">
        <v>0.22088353413654618</v>
      </c>
      <c r="O669">
        <v>0.55020080321285136</v>
      </c>
      <c r="P669">
        <v>0.32128514056224899</v>
      </c>
      <c r="Q669">
        <v>0</v>
      </c>
      <c r="R669">
        <v>0.86746987951807231</v>
      </c>
      <c r="S669">
        <v>0.98393574297188757</v>
      </c>
      <c r="T669">
        <v>0.79116465863453811</v>
      </c>
      <c r="U669">
        <v>0.95582329317269077</v>
      </c>
      <c r="V669">
        <v>0</v>
      </c>
      <c r="W669">
        <v>0.33734939759036142</v>
      </c>
      <c r="X669">
        <v>0.18473895582329317</v>
      </c>
      <c r="Y669">
        <v>0.30923694779116467</v>
      </c>
      <c r="Z669">
        <v>0.19277108433734941</v>
      </c>
      <c r="AA669">
        <v>0</v>
      </c>
      <c r="AB669">
        <v>0.58634538152610438</v>
      </c>
      <c r="AC669">
        <v>0.74698795180722888</v>
      </c>
      <c r="AD669">
        <v>0.75100401606425704</v>
      </c>
      <c r="AE669">
        <v>0.75502008032128509</v>
      </c>
      <c r="AF669">
        <v>0</v>
      </c>
      <c r="AG669">
        <v>0.63052208835341361</v>
      </c>
      <c r="AH669">
        <v>0.73493975903614461</v>
      </c>
      <c r="AI669">
        <v>0.79518072289156627</v>
      </c>
      <c r="AJ669">
        <v>0.75903614457831325</v>
      </c>
      <c r="AL669" s="1">
        <v>0.83534136546184734</v>
      </c>
      <c r="AN669" t="s">
        <v>88</v>
      </c>
      <c r="AO669">
        <v>71</v>
      </c>
      <c r="AP669" s="2">
        <v>0.8666666666666667</v>
      </c>
      <c r="AQ669">
        <v>41</v>
      </c>
      <c r="AT669" s="1">
        <v>0.57831325301204817</v>
      </c>
      <c r="AU669" s="1">
        <v>0.51004016064257029</v>
      </c>
    </row>
    <row r="670" spans="1:47" x14ac:dyDescent="0.3">
      <c r="A670" t="s">
        <v>306</v>
      </c>
      <c r="B670">
        <v>0</v>
      </c>
      <c r="C670" s="1">
        <v>0.45783132530120479</v>
      </c>
      <c r="D670">
        <v>0.41767068273092367</v>
      </c>
      <c r="E670">
        <v>0.61044176706827313</v>
      </c>
      <c r="F670">
        <v>0.58232931726907633</v>
      </c>
      <c r="G670">
        <v>0</v>
      </c>
      <c r="H670">
        <v>0.18875502008032127</v>
      </c>
      <c r="I670">
        <v>0.48192771084337349</v>
      </c>
      <c r="J670">
        <v>0.18875502008032127</v>
      </c>
      <c r="K670">
        <v>0.32128514056224899</v>
      </c>
      <c r="L670">
        <v>0</v>
      </c>
      <c r="M670">
        <v>0.53413654618473894</v>
      </c>
      <c r="N670">
        <v>0.15261044176706828</v>
      </c>
      <c r="O670">
        <v>2.8112449799196786E-2</v>
      </c>
      <c r="P670">
        <v>0.10843373493975904</v>
      </c>
      <c r="Q670">
        <v>0</v>
      </c>
      <c r="R670">
        <v>0.4859437751004016</v>
      </c>
      <c r="S670">
        <v>0.40963855421686746</v>
      </c>
      <c r="T670">
        <v>0.3253012048192771</v>
      </c>
      <c r="U670">
        <v>0.67068273092369479</v>
      </c>
      <c r="V670">
        <v>0</v>
      </c>
      <c r="W670">
        <v>0.48995983935742971</v>
      </c>
      <c r="X670">
        <v>0.42168674698795183</v>
      </c>
      <c r="Y670">
        <v>9.2369477911646583E-2</v>
      </c>
      <c r="Z670">
        <v>0.1646586345381526</v>
      </c>
      <c r="AA670">
        <v>0</v>
      </c>
      <c r="AB670">
        <v>0.16867469879518071</v>
      </c>
      <c r="AC670">
        <v>0.48192771084337349</v>
      </c>
      <c r="AD670">
        <v>0.55421686746987953</v>
      </c>
      <c r="AE670">
        <v>4.0160642570281124E-2</v>
      </c>
      <c r="AF670">
        <v>0</v>
      </c>
      <c r="AG670">
        <v>0.46184738955823296</v>
      </c>
      <c r="AH670">
        <v>0.26907630522088355</v>
      </c>
      <c r="AI670">
        <v>0.14457831325301204</v>
      </c>
      <c r="AJ670">
        <v>0.29317269076305219</v>
      </c>
      <c r="AL670" s="1">
        <v>0.33333333333333331</v>
      </c>
      <c r="AN670" t="s">
        <v>307</v>
      </c>
      <c r="AO670">
        <v>50</v>
      </c>
      <c r="AP670" s="2">
        <v>0.4</v>
      </c>
      <c r="AQ670">
        <v>181</v>
      </c>
      <c r="AT670" s="1">
        <v>0.34538152610441769</v>
      </c>
      <c r="AU670" s="1">
        <v>0.80722891566265065</v>
      </c>
    </row>
    <row r="671" spans="1:47" x14ac:dyDescent="0.3">
      <c r="A671" t="s">
        <v>308</v>
      </c>
      <c r="B671">
        <v>0</v>
      </c>
      <c r="C671" s="1">
        <v>5.6224899598393573E-2</v>
      </c>
      <c r="D671">
        <v>0.28112449799196787</v>
      </c>
      <c r="E671">
        <v>0.76305220883534142</v>
      </c>
      <c r="F671">
        <v>0.11244979919678715</v>
      </c>
      <c r="G671">
        <v>0</v>
      </c>
      <c r="H671">
        <v>0.72289156626506024</v>
      </c>
      <c r="I671">
        <v>0.1606425702811245</v>
      </c>
      <c r="J671">
        <v>0.39759036144578314</v>
      </c>
      <c r="K671">
        <v>0.27710843373493976</v>
      </c>
      <c r="L671">
        <v>0</v>
      </c>
      <c r="M671">
        <v>0.68674698795180722</v>
      </c>
      <c r="N671">
        <v>0.28514056224899598</v>
      </c>
      <c r="O671">
        <v>0.95582329317269077</v>
      </c>
      <c r="P671">
        <v>0.46586345381526106</v>
      </c>
      <c r="Q671">
        <v>0</v>
      </c>
      <c r="R671">
        <v>0.35742971887550201</v>
      </c>
      <c r="S671">
        <v>0.71887550200803207</v>
      </c>
      <c r="T671">
        <v>0.78714859437751006</v>
      </c>
      <c r="U671">
        <v>0.40160642570281124</v>
      </c>
      <c r="V671">
        <v>0</v>
      </c>
      <c r="W671">
        <v>0.91566265060240959</v>
      </c>
      <c r="X671">
        <v>0.53012048192771088</v>
      </c>
      <c r="Y671">
        <v>0.98795180722891562</v>
      </c>
      <c r="Z671">
        <v>0.94377510040160639</v>
      </c>
      <c r="AA671">
        <v>0</v>
      </c>
      <c r="AB671">
        <v>1.6064257028112448E-2</v>
      </c>
      <c r="AC671">
        <v>0.30120481927710846</v>
      </c>
      <c r="AD671">
        <v>0.98393574297188757</v>
      </c>
      <c r="AE671">
        <v>1</v>
      </c>
      <c r="AF671">
        <v>0</v>
      </c>
      <c r="AG671">
        <v>0.2289156626506024</v>
      </c>
      <c r="AH671">
        <v>0.22489959839357429</v>
      </c>
      <c r="AI671">
        <v>0.9718875502008032</v>
      </c>
      <c r="AJ671">
        <v>0.20481927710843373</v>
      </c>
      <c r="AL671" s="1">
        <v>0.40562248995983935</v>
      </c>
      <c r="AN671" t="s">
        <v>67</v>
      </c>
      <c r="AO671">
        <v>43</v>
      </c>
      <c r="AP671" s="2">
        <v>0.34</v>
      </c>
      <c r="AQ671">
        <v>199</v>
      </c>
      <c r="AT671" s="1">
        <v>4.8192771084337352E-2</v>
      </c>
      <c r="AU671" s="1">
        <v>0.61044176706827313</v>
      </c>
    </row>
    <row r="672" spans="1:47" x14ac:dyDescent="0.3">
      <c r="A672" t="s">
        <v>309</v>
      </c>
      <c r="B672">
        <v>0</v>
      </c>
      <c r="C672" s="1">
        <v>8.4337349397590355E-2</v>
      </c>
      <c r="D672">
        <v>0.12851405622489959</v>
      </c>
      <c r="E672">
        <v>0.15261044176706828</v>
      </c>
      <c r="F672">
        <v>0.17269076305220885</v>
      </c>
      <c r="G672">
        <v>0</v>
      </c>
      <c r="H672">
        <v>0.59036144578313254</v>
      </c>
      <c r="I672">
        <v>0.36144578313253012</v>
      </c>
      <c r="J672">
        <v>0.77108433734939763</v>
      </c>
      <c r="K672">
        <v>0.39357429718875503</v>
      </c>
      <c r="L672">
        <v>0</v>
      </c>
      <c r="M672">
        <v>0.61445783132530118</v>
      </c>
      <c r="N672">
        <v>0.18473895582329317</v>
      </c>
      <c r="O672">
        <v>0.42570281124497994</v>
      </c>
      <c r="P672">
        <v>0.63855421686746983</v>
      </c>
      <c r="Q672">
        <v>0</v>
      </c>
      <c r="R672">
        <v>0.55421686746987953</v>
      </c>
      <c r="S672">
        <v>0.79116465863453811</v>
      </c>
      <c r="T672">
        <v>0.47791164658634538</v>
      </c>
      <c r="U672">
        <v>0.7831325301204819</v>
      </c>
      <c r="V672">
        <v>0</v>
      </c>
      <c r="W672">
        <v>0.91164658634538154</v>
      </c>
      <c r="X672">
        <v>0.19277108433734941</v>
      </c>
      <c r="Y672">
        <v>0.80321285140562249</v>
      </c>
      <c r="Z672">
        <v>0.82730923694779113</v>
      </c>
      <c r="AA672">
        <v>0</v>
      </c>
      <c r="AB672">
        <v>0.26506024096385544</v>
      </c>
      <c r="AC672">
        <v>0.89558232931726911</v>
      </c>
      <c r="AD672">
        <v>0.42971887550200805</v>
      </c>
      <c r="AE672">
        <v>0.28915662650602408</v>
      </c>
      <c r="AF672">
        <v>0</v>
      </c>
      <c r="AG672">
        <v>0.21285140562248997</v>
      </c>
      <c r="AH672">
        <v>0.11646586345381527</v>
      </c>
      <c r="AI672">
        <v>0.21686746987951808</v>
      </c>
      <c r="AJ672">
        <v>0.31325301204819278</v>
      </c>
      <c r="AL672" s="1">
        <v>0.5381526104417671</v>
      </c>
      <c r="AN672" t="s">
        <v>52</v>
      </c>
      <c r="AO672">
        <v>38</v>
      </c>
      <c r="AP672" s="2">
        <v>0.56000000000000005</v>
      </c>
      <c r="AQ672">
        <v>133</v>
      </c>
      <c r="AT672" s="1">
        <v>9.6385542168674704E-2</v>
      </c>
      <c r="AU672" s="1">
        <v>0.47389558232931728</v>
      </c>
    </row>
    <row r="673" spans="1:47" x14ac:dyDescent="0.3">
      <c r="A673" t="s">
        <v>310</v>
      </c>
      <c r="B673">
        <v>0</v>
      </c>
      <c r="C673" s="1">
        <v>0.77108433734939763</v>
      </c>
      <c r="D673">
        <v>0.65863453815261042</v>
      </c>
      <c r="E673">
        <v>0.80722891566265065</v>
      </c>
      <c r="F673">
        <v>0.75903614457831325</v>
      </c>
      <c r="G673">
        <v>0</v>
      </c>
      <c r="H673">
        <v>0.89558232931726911</v>
      </c>
      <c r="I673">
        <v>0.93975903614457834</v>
      </c>
      <c r="J673">
        <v>0.9718875502008032</v>
      </c>
      <c r="K673">
        <v>0.95180722891566261</v>
      </c>
      <c r="L673">
        <v>0</v>
      </c>
      <c r="M673">
        <v>0.20883534136546184</v>
      </c>
      <c r="N673">
        <v>0.44979919678714858</v>
      </c>
      <c r="O673">
        <v>0.80722891566265065</v>
      </c>
      <c r="P673">
        <v>0.23293172690763053</v>
      </c>
      <c r="Q673">
        <v>0</v>
      </c>
      <c r="R673">
        <v>0.94377510040160639</v>
      </c>
      <c r="S673">
        <v>0.79518072289156627</v>
      </c>
      <c r="T673">
        <v>0.95582329317269077</v>
      </c>
      <c r="U673">
        <v>0.81927710843373491</v>
      </c>
      <c r="V673">
        <v>0</v>
      </c>
      <c r="W673">
        <v>0.50602409638554213</v>
      </c>
      <c r="X673">
        <v>0.6224899598393574</v>
      </c>
      <c r="Y673">
        <v>0.66265060240963858</v>
      </c>
      <c r="Z673">
        <v>0.37349397590361444</v>
      </c>
      <c r="AA673">
        <v>0</v>
      </c>
      <c r="AB673">
        <v>0.96787148594377514</v>
      </c>
      <c r="AC673">
        <v>0.93975903614457834</v>
      </c>
      <c r="AD673">
        <v>0.7269076305220884</v>
      </c>
      <c r="AE673">
        <v>0.90361445783132532</v>
      </c>
      <c r="AF673">
        <v>0</v>
      </c>
      <c r="AG673">
        <v>0.51807228915662651</v>
      </c>
      <c r="AH673">
        <v>0.56224899598393574</v>
      </c>
      <c r="AI673">
        <v>0.87148594377510036</v>
      </c>
      <c r="AJ673">
        <v>0.52610441767068272</v>
      </c>
      <c r="AL673" s="1">
        <v>0.79919678714859432</v>
      </c>
      <c r="AN673" t="s">
        <v>80</v>
      </c>
      <c r="AO673">
        <v>67</v>
      </c>
      <c r="AP673" s="2">
        <v>0.93333333333333335</v>
      </c>
      <c r="AQ673">
        <v>21</v>
      </c>
      <c r="AT673" s="1">
        <v>0.46184738955823296</v>
      </c>
      <c r="AU673" s="1">
        <v>0.79116465863453811</v>
      </c>
    </row>
    <row r="674" spans="1:47" x14ac:dyDescent="0.3">
      <c r="A674" t="s">
        <v>311</v>
      </c>
      <c r="B674">
        <v>0</v>
      </c>
      <c r="C674" s="1">
        <v>0.71084337349397586</v>
      </c>
      <c r="D674">
        <v>0.87148594377510036</v>
      </c>
      <c r="E674">
        <v>0.91164658634538154</v>
      </c>
      <c r="F674">
        <v>0.86345381526104414</v>
      </c>
      <c r="G674">
        <v>0</v>
      </c>
      <c r="H674">
        <v>0.88353413654618473</v>
      </c>
      <c r="I674">
        <v>0.41365461847389556</v>
      </c>
      <c r="J674">
        <v>0.18875502008032127</v>
      </c>
      <c r="K674">
        <v>0.65863453815261042</v>
      </c>
      <c r="L674">
        <v>0</v>
      </c>
      <c r="M674">
        <v>0.6506024096385542</v>
      </c>
      <c r="N674">
        <v>0.81526104417670686</v>
      </c>
      <c r="O674">
        <v>0.67068273092369479</v>
      </c>
      <c r="P674">
        <v>0.54618473895582331</v>
      </c>
      <c r="Q674">
        <v>0</v>
      </c>
      <c r="R674">
        <v>0.23293172690763053</v>
      </c>
      <c r="S674">
        <v>0.3493975903614458</v>
      </c>
      <c r="T674">
        <v>0.75100401606425704</v>
      </c>
      <c r="U674">
        <v>0.3534136546184739</v>
      </c>
      <c r="V674">
        <v>0</v>
      </c>
      <c r="W674">
        <v>0.30923694779116467</v>
      </c>
      <c r="X674">
        <v>0.36947791164658633</v>
      </c>
      <c r="Y674">
        <v>0.37751004016064255</v>
      </c>
      <c r="Z674">
        <v>0.13654618473895583</v>
      </c>
      <c r="AA674">
        <v>0</v>
      </c>
      <c r="AB674">
        <v>0.72289156626506024</v>
      </c>
      <c r="AC674">
        <v>0.18072289156626506</v>
      </c>
      <c r="AD674">
        <v>0.83534136546184734</v>
      </c>
      <c r="AE674">
        <v>0.77911646586345384</v>
      </c>
      <c r="AF674">
        <v>0</v>
      </c>
      <c r="AG674">
        <v>0.69076305220883538</v>
      </c>
      <c r="AH674">
        <v>0.92369477911646591</v>
      </c>
      <c r="AI674">
        <v>0.87550200803212852</v>
      </c>
      <c r="AJ674">
        <v>0.80722891566265065</v>
      </c>
      <c r="AL674" s="1">
        <v>0.60642570281124497</v>
      </c>
      <c r="AN674" t="s">
        <v>83</v>
      </c>
      <c r="AO674">
        <v>78</v>
      </c>
      <c r="AP674" s="2">
        <v>0.71</v>
      </c>
      <c r="AQ674">
        <v>88</v>
      </c>
      <c r="AT674" s="1">
        <v>0.70281124497991965</v>
      </c>
      <c r="AU674" s="1">
        <v>0.15662650602409639</v>
      </c>
    </row>
    <row r="675" spans="1:47" x14ac:dyDescent="0.3">
      <c r="A675" t="s">
        <v>312</v>
      </c>
      <c r="B675">
        <v>0</v>
      </c>
      <c r="C675" s="1">
        <v>0.65461847389558236</v>
      </c>
      <c r="D675">
        <v>0.70682730923694781</v>
      </c>
      <c r="E675">
        <v>0.74698795180722888</v>
      </c>
      <c r="F675">
        <v>0.6506024096385542</v>
      </c>
      <c r="G675">
        <v>0</v>
      </c>
      <c r="H675">
        <v>4.0160642570281121E-3</v>
      </c>
      <c r="I675">
        <v>0.76305220883534142</v>
      </c>
      <c r="J675">
        <v>0.89156626506024095</v>
      </c>
      <c r="K675">
        <v>0.47791164658634538</v>
      </c>
      <c r="L675">
        <v>0</v>
      </c>
      <c r="M675">
        <v>0.92771084337349397</v>
      </c>
      <c r="N675">
        <v>0.68273092369477917</v>
      </c>
      <c r="O675">
        <v>0.95983935742971882</v>
      </c>
      <c r="P675">
        <v>0.75100401606425704</v>
      </c>
      <c r="Q675">
        <v>0</v>
      </c>
      <c r="R675">
        <v>0.8112449799196787</v>
      </c>
      <c r="S675">
        <v>0.91566265060240959</v>
      </c>
      <c r="T675">
        <v>0.8112449799196787</v>
      </c>
      <c r="U675">
        <v>0.85943775100401609</v>
      </c>
      <c r="V675">
        <v>0</v>
      </c>
      <c r="W675">
        <v>0.88353413654618473</v>
      </c>
      <c r="X675">
        <v>0.87550200803212852</v>
      </c>
      <c r="Y675">
        <v>0.9718875502008032</v>
      </c>
      <c r="Z675">
        <v>0.77108433734939763</v>
      </c>
      <c r="AA675">
        <v>0</v>
      </c>
      <c r="AB675">
        <v>0.57831325301204817</v>
      </c>
      <c r="AC675">
        <v>0.55421686746987953</v>
      </c>
      <c r="AD675">
        <v>0.77510040160642568</v>
      </c>
      <c r="AE675">
        <v>0.96385542168674698</v>
      </c>
      <c r="AF675">
        <v>0</v>
      </c>
      <c r="AG675">
        <v>0.89156626506024095</v>
      </c>
      <c r="AH675">
        <v>0.77108433734939763</v>
      </c>
      <c r="AI675">
        <v>0.96787148594377514</v>
      </c>
      <c r="AJ675">
        <v>0.76305220883534142</v>
      </c>
      <c r="AL675" s="1">
        <v>0.84738955823293172</v>
      </c>
      <c r="AN675" t="s">
        <v>68</v>
      </c>
      <c r="AO675">
        <v>63</v>
      </c>
      <c r="AP675" s="2">
        <v>0.87666666666666671</v>
      </c>
      <c r="AQ675">
        <v>38</v>
      </c>
      <c r="AT675" s="1">
        <v>0.2289156626506024</v>
      </c>
      <c r="AU675" s="1">
        <v>0.73493975903614461</v>
      </c>
    </row>
    <row r="676" spans="1:47" x14ac:dyDescent="0.3">
      <c r="A676" t="s">
        <v>313</v>
      </c>
      <c r="B676">
        <v>0</v>
      </c>
      <c r="C676" s="1">
        <v>0.30923694779116467</v>
      </c>
      <c r="D676">
        <v>0.51004016064257029</v>
      </c>
      <c r="E676">
        <v>0.61847389558232935</v>
      </c>
      <c r="F676">
        <v>0.53413654618473894</v>
      </c>
      <c r="G676">
        <v>0</v>
      </c>
      <c r="H676">
        <v>0.22489959839357429</v>
      </c>
      <c r="I676">
        <v>0.57429718875502012</v>
      </c>
      <c r="J676">
        <v>0.69076305220883538</v>
      </c>
      <c r="K676">
        <v>0.41767068273092367</v>
      </c>
      <c r="L676">
        <v>0</v>
      </c>
      <c r="M676">
        <v>0.10441767068273092</v>
      </c>
      <c r="N676">
        <v>0.27309236947791166</v>
      </c>
      <c r="O676">
        <v>0.70281124497991965</v>
      </c>
      <c r="P676">
        <v>0.11646586345381527</v>
      </c>
      <c r="Q676">
        <v>0</v>
      </c>
      <c r="R676">
        <v>0.2971887550200803</v>
      </c>
      <c r="S676">
        <v>0.44578313253012047</v>
      </c>
      <c r="T676">
        <v>0.85542168674698793</v>
      </c>
      <c r="U676">
        <v>0.54216867469879515</v>
      </c>
      <c r="V676">
        <v>0</v>
      </c>
      <c r="W676">
        <v>0.26907630522088355</v>
      </c>
      <c r="X676">
        <v>0.40160642570281124</v>
      </c>
      <c r="Y676">
        <v>0.65461847389558236</v>
      </c>
      <c r="Z676">
        <v>0.19277108433734941</v>
      </c>
      <c r="AA676">
        <v>0</v>
      </c>
      <c r="AB676">
        <v>0.76305220883534142</v>
      </c>
      <c r="AC676">
        <v>0.44578313253012047</v>
      </c>
      <c r="AD676">
        <v>0.86746987951807231</v>
      </c>
      <c r="AE676">
        <v>0.92369477911646591</v>
      </c>
      <c r="AF676">
        <v>0</v>
      </c>
      <c r="AG676">
        <v>0.18072289156626506</v>
      </c>
      <c r="AH676">
        <v>0.3493975903614458</v>
      </c>
      <c r="AI676">
        <v>0.70281124497991965</v>
      </c>
      <c r="AJ676">
        <v>0.28112449799196787</v>
      </c>
      <c r="AL676" s="1">
        <v>0.15662650602409639</v>
      </c>
      <c r="AN676" t="s">
        <v>80</v>
      </c>
      <c r="AO676">
        <v>71</v>
      </c>
      <c r="AP676" s="2">
        <v>0.38666666666666666</v>
      </c>
      <c r="AQ676">
        <v>185</v>
      </c>
      <c r="AT676" s="1">
        <v>0.75100401606425704</v>
      </c>
      <c r="AU676" s="1">
        <v>0.25301204819277107</v>
      </c>
    </row>
    <row r="677" spans="1:47" x14ac:dyDescent="0.3">
      <c r="A677" t="s">
        <v>314</v>
      </c>
      <c r="B677">
        <v>0</v>
      </c>
      <c r="C677" s="1">
        <v>0.3534136546184739</v>
      </c>
      <c r="D677">
        <v>0.61044176706827313</v>
      </c>
      <c r="E677">
        <v>0.6987951807228916</v>
      </c>
      <c r="F677">
        <v>0.48995983935742971</v>
      </c>
      <c r="G677">
        <v>0</v>
      </c>
      <c r="H677">
        <v>0.45783132530120479</v>
      </c>
      <c r="I677">
        <v>0.6224899598393574</v>
      </c>
      <c r="J677">
        <v>0.57028112449799195</v>
      </c>
      <c r="K677">
        <v>0.57429718875502012</v>
      </c>
      <c r="L677">
        <v>0</v>
      </c>
      <c r="M677">
        <v>0.28514056224899598</v>
      </c>
      <c r="N677">
        <v>9.2369477911646583E-2</v>
      </c>
      <c r="O677">
        <v>0.73092369477911645</v>
      </c>
      <c r="P677">
        <v>0.19678714859437751</v>
      </c>
      <c r="Q677">
        <v>0</v>
      </c>
      <c r="R677">
        <v>0.16867469879518071</v>
      </c>
      <c r="S677">
        <v>0.46184738955823296</v>
      </c>
      <c r="T677">
        <v>0.71887550200803207</v>
      </c>
      <c r="U677">
        <v>0.37751004016064255</v>
      </c>
      <c r="V677">
        <v>0</v>
      </c>
      <c r="W677">
        <v>0.37349397590361444</v>
      </c>
      <c r="X677">
        <v>6.0240963855421686E-2</v>
      </c>
      <c r="Y677">
        <v>0.42971887550200805</v>
      </c>
      <c r="Z677">
        <v>0.17269076305220885</v>
      </c>
      <c r="AA677">
        <v>0</v>
      </c>
      <c r="AB677">
        <v>0.7831325301204819</v>
      </c>
      <c r="AC677">
        <v>0.20481927710843373</v>
      </c>
      <c r="AD677">
        <v>0.85943775100401609</v>
      </c>
      <c r="AE677">
        <v>0.91164658634538154</v>
      </c>
      <c r="AF677">
        <v>0</v>
      </c>
      <c r="AG677">
        <v>0.31726907630522089</v>
      </c>
      <c r="AH677">
        <v>0.33333333333333331</v>
      </c>
      <c r="AI677">
        <v>0.80321285140562249</v>
      </c>
      <c r="AJ677">
        <v>0.34136546184738958</v>
      </c>
      <c r="AL677" s="1">
        <v>0.28514056224899598</v>
      </c>
      <c r="AN677" t="s">
        <v>69</v>
      </c>
      <c r="AO677">
        <v>82</v>
      </c>
      <c r="AP677" s="2">
        <v>0.45666666666666667</v>
      </c>
      <c r="AQ677">
        <v>164</v>
      </c>
      <c r="AT677" s="1">
        <v>0.95180722891566261</v>
      </c>
      <c r="AU677" s="1">
        <v>0.25301204819277107</v>
      </c>
    </row>
    <row r="678" spans="1:47" x14ac:dyDescent="0.3">
      <c r="A678" t="s">
        <v>315</v>
      </c>
      <c r="B678">
        <v>0</v>
      </c>
      <c r="C678" s="1">
        <v>0.6224899598393574</v>
      </c>
      <c r="D678">
        <v>0.73092369477911645</v>
      </c>
      <c r="E678">
        <v>0.40963855421686746</v>
      </c>
      <c r="F678">
        <v>0.58634538152610438</v>
      </c>
      <c r="G678">
        <v>0</v>
      </c>
      <c r="H678">
        <v>0.31325301204819278</v>
      </c>
      <c r="I678">
        <v>0.66265060240963858</v>
      </c>
      <c r="J678">
        <v>0.53413654618473894</v>
      </c>
      <c r="K678">
        <v>0.57429718875502012</v>
      </c>
      <c r="L678">
        <v>0</v>
      </c>
      <c r="M678">
        <v>0.69477911646586343</v>
      </c>
      <c r="N678">
        <v>0.61044176706827313</v>
      </c>
      <c r="O678">
        <v>0.68273092369477917</v>
      </c>
      <c r="P678">
        <v>0.71887550200803207</v>
      </c>
      <c r="Q678">
        <v>0</v>
      </c>
      <c r="R678">
        <v>0.67068273092369479</v>
      </c>
      <c r="S678">
        <v>0.75502008032128509</v>
      </c>
      <c r="T678">
        <v>0.27309236947791166</v>
      </c>
      <c r="U678">
        <v>0.63052208835341361</v>
      </c>
      <c r="V678">
        <v>0</v>
      </c>
      <c r="W678">
        <v>0.61847389558232935</v>
      </c>
      <c r="X678">
        <v>0.30522088353413657</v>
      </c>
      <c r="Y678">
        <v>0.37751004016064255</v>
      </c>
      <c r="Z678">
        <v>0.49397590361445781</v>
      </c>
      <c r="AA678">
        <v>0</v>
      </c>
      <c r="AB678">
        <v>0.64257028112449799</v>
      </c>
      <c r="AC678">
        <v>0.57429718875502012</v>
      </c>
      <c r="AD678">
        <v>0.36546184738955823</v>
      </c>
      <c r="AE678">
        <v>0.52610441767068272</v>
      </c>
      <c r="AF678">
        <v>0</v>
      </c>
      <c r="AG678">
        <v>0.66666666666666663</v>
      </c>
      <c r="AH678">
        <v>0.73895582329317266</v>
      </c>
      <c r="AI678">
        <v>0.58634538152610438</v>
      </c>
      <c r="AJ678">
        <v>0.70281124497991965</v>
      </c>
      <c r="AL678" s="1">
        <v>0.67871485943775101</v>
      </c>
      <c r="AN678" t="s">
        <v>84</v>
      </c>
      <c r="AO678">
        <v>82</v>
      </c>
      <c r="AP678" s="2">
        <v>0.77</v>
      </c>
      <c r="AQ678">
        <v>70</v>
      </c>
      <c r="AT678" s="1">
        <v>0.71887550200803207</v>
      </c>
      <c r="AU678" s="1">
        <v>0.19678714859437751</v>
      </c>
    </row>
    <row r="679" spans="1:47" x14ac:dyDescent="0.3">
      <c r="A679" t="s">
        <v>316</v>
      </c>
      <c r="B679">
        <v>0</v>
      </c>
      <c r="C679" s="1">
        <v>0.87148594377510036</v>
      </c>
      <c r="D679">
        <v>0.46586345381526106</v>
      </c>
      <c r="E679">
        <v>0.6987951807228916</v>
      </c>
      <c r="F679">
        <v>0.69076305220883538</v>
      </c>
      <c r="G679">
        <v>0</v>
      </c>
      <c r="H679">
        <v>0.98393574297188757</v>
      </c>
      <c r="I679">
        <v>9.2369477911646583E-2</v>
      </c>
      <c r="J679">
        <v>0.46184738955823296</v>
      </c>
      <c r="K679">
        <v>0.51405622489959835</v>
      </c>
      <c r="L679">
        <v>0</v>
      </c>
      <c r="M679">
        <v>0.38955823293172692</v>
      </c>
      <c r="N679">
        <v>0.21285140562248997</v>
      </c>
      <c r="O679">
        <v>1</v>
      </c>
      <c r="P679">
        <v>0.13654618473895583</v>
      </c>
      <c r="Q679">
        <v>0</v>
      </c>
      <c r="R679">
        <v>0.57429718875502012</v>
      </c>
      <c r="S679">
        <v>1.6064257028112448E-2</v>
      </c>
      <c r="T679">
        <v>0.63052208835341361</v>
      </c>
      <c r="U679">
        <v>0.1606425702811245</v>
      </c>
      <c r="V679">
        <v>0</v>
      </c>
      <c r="W679">
        <v>0.41365461847389556</v>
      </c>
      <c r="X679">
        <v>0.31726907630522089</v>
      </c>
      <c r="Y679">
        <v>1</v>
      </c>
      <c r="Z679">
        <v>8.8353413654618476E-2</v>
      </c>
      <c r="AA679">
        <v>0</v>
      </c>
      <c r="AB679">
        <v>8.8353413654618476E-2</v>
      </c>
      <c r="AC679">
        <v>0.96787148594377514</v>
      </c>
      <c r="AD679">
        <v>0.59839357429718876</v>
      </c>
      <c r="AE679">
        <v>0.99196787148594379</v>
      </c>
      <c r="AF679">
        <v>0</v>
      </c>
      <c r="AG679">
        <v>0.71887550200803207</v>
      </c>
      <c r="AH679">
        <v>0.30522088353413657</v>
      </c>
      <c r="AI679">
        <v>1</v>
      </c>
      <c r="AJ679">
        <v>0.39759036144578314</v>
      </c>
      <c r="AL679" s="1">
        <v>0.45783132530120479</v>
      </c>
      <c r="AN679" t="s">
        <v>69</v>
      </c>
      <c r="AO679">
        <v>17</v>
      </c>
      <c r="AP679" s="2">
        <v>0.43666666666666665</v>
      </c>
      <c r="AQ679">
        <v>170</v>
      </c>
      <c r="AT679" s="1">
        <v>0.92369477911646591</v>
      </c>
      <c r="AU679" s="1">
        <v>4.0160642570281121E-3</v>
      </c>
    </row>
    <row r="680" spans="1:47" x14ac:dyDescent="0.3">
      <c r="A680" t="s">
        <v>317</v>
      </c>
      <c r="B680">
        <v>0</v>
      </c>
      <c r="C680" s="1">
        <v>0.67068273092369479</v>
      </c>
      <c r="D680">
        <v>0.52208835341365467</v>
      </c>
      <c r="E680">
        <v>0.36947791164658633</v>
      </c>
      <c r="F680">
        <v>0.54216867469879515</v>
      </c>
      <c r="G680">
        <v>0</v>
      </c>
      <c r="H680">
        <v>0.45783132530120479</v>
      </c>
      <c r="I680">
        <v>0.8393574297188755</v>
      </c>
      <c r="J680">
        <v>0.51004016064257029</v>
      </c>
      <c r="K680">
        <v>0.79919678714859432</v>
      </c>
      <c r="L680">
        <v>0</v>
      </c>
      <c r="M680">
        <v>0.61044176706827313</v>
      </c>
      <c r="N680">
        <v>0.44176706827309237</v>
      </c>
      <c r="O680">
        <v>0.33333333333333331</v>
      </c>
      <c r="P680">
        <v>0.65461847389558236</v>
      </c>
      <c r="Q680">
        <v>0</v>
      </c>
      <c r="R680">
        <v>0.55020080321285136</v>
      </c>
      <c r="S680">
        <v>0.70682730923694781</v>
      </c>
      <c r="T680">
        <v>0.20080321285140562</v>
      </c>
      <c r="U680">
        <v>0.59036144578313254</v>
      </c>
      <c r="V680">
        <v>0</v>
      </c>
      <c r="W680">
        <v>0.38955823293172692</v>
      </c>
      <c r="X680">
        <v>0.28112449799196787</v>
      </c>
      <c r="Y680">
        <v>6.8273092369477914E-2</v>
      </c>
      <c r="Z680">
        <v>0.36144578313253012</v>
      </c>
      <c r="AA680">
        <v>0</v>
      </c>
      <c r="AB680">
        <v>0.89959839357429716</v>
      </c>
      <c r="AC680">
        <v>0.49397590361445781</v>
      </c>
      <c r="AD680">
        <v>0.17269076305220885</v>
      </c>
      <c r="AE680">
        <v>0.19277108433734941</v>
      </c>
      <c r="AF680">
        <v>0</v>
      </c>
      <c r="AG680">
        <v>0.6224899598393574</v>
      </c>
      <c r="AH680">
        <v>0.44176706827309237</v>
      </c>
      <c r="AI680">
        <v>0.33734939759036142</v>
      </c>
      <c r="AJ680">
        <v>0.61445783132530118</v>
      </c>
      <c r="AL680" s="1">
        <v>0.64257028112449799</v>
      </c>
      <c r="AN680" t="s">
        <v>61</v>
      </c>
      <c r="AO680">
        <v>76</v>
      </c>
      <c r="AP680" s="2">
        <v>0.82333333333333336</v>
      </c>
      <c r="AQ680">
        <v>54</v>
      </c>
      <c r="AT680" s="1">
        <v>0.91566265060240959</v>
      </c>
      <c r="AU680" s="1">
        <v>0.33734939759036142</v>
      </c>
    </row>
    <row r="681" spans="1:47" x14ac:dyDescent="0.3">
      <c r="A681" t="s">
        <v>318</v>
      </c>
      <c r="B681">
        <v>0</v>
      </c>
      <c r="C681" s="1">
        <v>0.25702811244979917</v>
      </c>
      <c r="D681">
        <v>0.76706827309236947</v>
      </c>
      <c r="E681">
        <v>0.72289156626506024</v>
      </c>
      <c r="F681">
        <v>0.61847389558232935</v>
      </c>
      <c r="G681">
        <v>0</v>
      </c>
      <c r="H681">
        <v>0.72289156626506024</v>
      </c>
      <c r="I681">
        <v>0.43373493975903615</v>
      </c>
      <c r="J681">
        <v>0.39759036144578314</v>
      </c>
      <c r="K681">
        <v>0.54618473895582331</v>
      </c>
      <c r="L681">
        <v>0</v>
      </c>
      <c r="M681">
        <v>7.2289156626506021E-2</v>
      </c>
      <c r="N681">
        <v>0.10843373493975904</v>
      </c>
      <c r="O681">
        <v>0.10843373493975904</v>
      </c>
      <c r="P681">
        <v>0.11244979919678715</v>
      </c>
      <c r="Q681">
        <v>0</v>
      </c>
      <c r="R681">
        <v>0.40562248995983935</v>
      </c>
      <c r="S681">
        <v>0.70682730923694781</v>
      </c>
      <c r="T681">
        <v>0.87148594377510036</v>
      </c>
      <c r="U681">
        <v>0.55020080321285136</v>
      </c>
      <c r="V681">
        <v>0</v>
      </c>
      <c r="W681">
        <v>7.6305220883534142E-2</v>
      </c>
      <c r="X681">
        <v>9.2369477911646583E-2</v>
      </c>
      <c r="Y681">
        <v>0.22489959839357429</v>
      </c>
      <c r="Z681">
        <v>9.2369477911646583E-2</v>
      </c>
      <c r="AA681">
        <v>0</v>
      </c>
      <c r="AB681">
        <v>0.4859437751004016</v>
      </c>
      <c r="AC681">
        <v>0.10843373493975904</v>
      </c>
      <c r="AD681">
        <v>0.93172690763052213</v>
      </c>
      <c r="AE681">
        <v>0.67871485943775101</v>
      </c>
      <c r="AF681">
        <v>0</v>
      </c>
      <c r="AG681">
        <v>0.12851405622489959</v>
      </c>
      <c r="AH681">
        <v>0.42971887550200805</v>
      </c>
      <c r="AI681">
        <v>0.32128514056224899</v>
      </c>
      <c r="AJ681">
        <v>0.31726907630522089</v>
      </c>
      <c r="AL681" s="1">
        <v>0.21285140562248997</v>
      </c>
      <c r="AN681" t="s">
        <v>319</v>
      </c>
      <c r="AO681">
        <v>45</v>
      </c>
      <c r="AP681" s="2">
        <v>0.38</v>
      </c>
      <c r="AQ681">
        <v>187</v>
      </c>
      <c r="AT681" s="1">
        <v>0.81927710843373491</v>
      </c>
      <c r="AU681" s="1">
        <v>4.0160642570281121E-3</v>
      </c>
    </row>
    <row r="682" spans="1:47" x14ac:dyDescent="0.3">
      <c r="A682" t="s">
        <v>320</v>
      </c>
      <c r="B682">
        <v>0</v>
      </c>
      <c r="C682" s="1">
        <v>0.36546184738955823</v>
      </c>
      <c r="D682">
        <v>0.6506024096385542</v>
      </c>
      <c r="E682">
        <v>0.20883534136546184</v>
      </c>
      <c r="F682">
        <v>0.50602409638554213</v>
      </c>
      <c r="G682">
        <v>0</v>
      </c>
      <c r="H682">
        <v>0.6987951807228916</v>
      </c>
      <c r="I682">
        <v>0.55020080321285136</v>
      </c>
      <c r="J682">
        <v>0.49799196787148592</v>
      </c>
      <c r="K682">
        <v>0.61847389558232935</v>
      </c>
      <c r="L682">
        <v>0</v>
      </c>
      <c r="M682">
        <v>0.58232931726907633</v>
      </c>
      <c r="N682">
        <v>0.46184738955823296</v>
      </c>
      <c r="O682">
        <v>0.83534136546184734</v>
      </c>
      <c r="P682">
        <v>0.57831325301204817</v>
      </c>
      <c r="Q682">
        <v>0</v>
      </c>
      <c r="R682">
        <v>0.19277108433734941</v>
      </c>
      <c r="S682">
        <v>0.53413654618473894</v>
      </c>
      <c r="T682">
        <v>0.10843373493975904</v>
      </c>
      <c r="U682">
        <v>0.40963855421686746</v>
      </c>
      <c r="V682">
        <v>0</v>
      </c>
      <c r="W682">
        <v>0.7269076305220884</v>
      </c>
      <c r="X682">
        <v>0.73092369477911645</v>
      </c>
      <c r="Y682">
        <v>0.61445783132530118</v>
      </c>
      <c r="Z682">
        <v>0.7831325301204819</v>
      </c>
      <c r="AA682">
        <v>0</v>
      </c>
      <c r="AB682">
        <v>0.79116465863453811</v>
      </c>
      <c r="AC682">
        <v>0.12048192771084337</v>
      </c>
      <c r="AD682">
        <v>0.25702811244979917</v>
      </c>
      <c r="AE682">
        <v>0.57831325301204817</v>
      </c>
      <c r="AF682">
        <v>0</v>
      </c>
      <c r="AG682">
        <v>0.42971887550200805</v>
      </c>
      <c r="AH682">
        <v>0.5662650602409639</v>
      </c>
      <c r="AI682">
        <v>0.53413654618473894</v>
      </c>
      <c r="AJ682">
        <v>0.53413654618473894</v>
      </c>
      <c r="AL682" s="1">
        <v>0.57028112449799195</v>
      </c>
      <c r="AN682" t="s">
        <v>69</v>
      </c>
      <c r="AO682">
        <v>82</v>
      </c>
      <c r="AP682" s="2">
        <v>0.72333333333333338</v>
      </c>
      <c r="AQ682">
        <v>84</v>
      </c>
      <c r="AT682" s="1">
        <v>0.17670682730923695</v>
      </c>
      <c r="AU682" s="1">
        <v>0.65461847389558236</v>
      </c>
    </row>
    <row r="683" spans="1:47" x14ac:dyDescent="0.3">
      <c r="A683" t="s">
        <v>321</v>
      </c>
      <c r="B683">
        <v>0</v>
      </c>
      <c r="C683" s="1">
        <v>0.63052208835341361</v>
      </c>
      <c r="D683">
        <v>0.67068273092369479</v>
      </c>
      <c r="E683">
        <v>0.45783132530120479</v>
      </c>
      <c r="F683">
        <v>0.48995983935742971</v>
      </c>
      <c r="G683">
        <v>0</v>
      </c>
      <c r="H683">
        <v>0.92771084337349397</v>
      </c>
      <c r="I683">
        <v>0.50602409638554213</v>
      </c>
      <c r="J683">
        <v>0.42971887550200805</v>
      </c>
      <c r="K683">
        <v>0.80722891566265065</v>
      </c>
      <c r="L683">
        <v>0</v>
      </c>
      <c r="M683">
        <v>0.82730923694779113</v>
      </c>
      <c r="N683">
        <v>0.56224899598393574</v>
      </c>
      <c r="O683">
        <v>0.38554216867469882</v>
      </c>
      <c r="P683">
        <v>0.71887550200803207</v>
      </c>
      <c r="Q683">
        <v>0</v>
      </c>
      <c r="R683">
        <v>0.45783132530120479</v>
      </c>
      <c r="S683">
        <v>0.46987951807228917</v>
      </c>
      <c r="T683">
        <v>0.4859437751004016</v>
      </c>
      <c r="U683">
        <v>0.40963855421686746</v>
      </c>
      <c r="V683">
        <v>0</v>
      </c>
      <c r="W683">
        <v>0.42570281124497994</v>
      </c>
      <c r="X683">
        <v>0.31726907630522089</v>
      </c>
      <c r="Y683">
        <v>0.3493975903614458</v>
      </c>
      <c r="Z683">
        <v>0.42570281124497994</v>
      </c>
      <c r="AA683">
        <v>0</v>
      </c>
      <c r="AB683">
        <v>0.44176706827309237</v>
      </c>
      <c r="AC683">
        <v>0.46987951807228917</v>
      </c>
      <c r="AD683">
        <v>0.37349397590361444</v>
      </c>
      <c r="AE683">
        <v>0.14859437751004015</v>
      </c>
      <c r="AF683">
        <v>0</v>
      </c>
      <c r="AG683">
        <v>0.78714859437751006</v>
      </c>
      <c r="AH683">
        <v>0.65461847389558236</v>
      </c>
      <c r="AI683">
        <v>0.41365461847389556</v>
      </c>
      <c r="AJ683">
        <v>0.6224899598393574</v>
      </c>
      <c r="AL683" s="1">
        <v>0.69477911646586343</v>
      </c>
      <c r="AN683" t="s">
        <v>56</v>
      </c>
      <c r="AO683">
        <v>72</v>
      </c>
      <c r="AP683" s="2">
        <v>0.70666666666666667</v>
      </c>
      <c r="AQ683">
        <v>89</v>
      </c>
      <c r="AT683" s="1">
        <v>0.32931726907630521</v>
      </c>
      <c r="AU683" s="1">
        <v>0.54216867469879515</v>
      </c>
    </row>
    <row r="684" spans="1:47" x14ac:dyDescent="0.3">
      <c r="A684" t="s">
        <v>322</v>
      </c>
      <c r="B684">
        <v>0</v>
      </c>
      <c r="C684" s="1">
        <v>0.89959839357429716</v>
      </c>
      <c r="D684">
        <v>0.83534136546184734</v>
      </c>
      <c r="E684">
        <v>0.5662650602409639</v>
      </c>
      <c r="F684">
        <v>0.73493975903614461</v>
      </c>
      <c r="G684">
        <v>0</v>
      </c>
      <c r="H684">
        <v>0.5381526104417671</v>
      </c>
      <c r="I684">
        <v>0.30522088353413657</v>
      </c>
      <c r="J684">
        <v>0.57028112449799195</v>
      </c>
      <c r="K684">
        <v>0.34136546184738958</v>
      </c>
      <c r="L684">
        <v>0</v>
      </c>
      <c r="M684">
        <v>0.7269076305220884</v>
      </c>
      <c r="N684">
        <v>0.61445783132530118</v>
      </c>
      <c r="O684">
        <v>0.37349397590361444</v>
      </c>
      <c r="P684">
        <v>0.69477911646586343</v>
      </c>
      <c r="Q684">
        <v>0</v>
      </c>
      <c r="R684">
        <v>0.93574297188755018</v>
      </c>
      <c r="S684">
        <v>0.90361445783132532</v>
      </c>
      <c r="T684">
        <v>0.6224899598393574</v>
      </c>
      <c r="U684">
        <v>0.81927710843373491</v>
      </c>
      <c r="V684">
        <v>0</v>
      </c>
      <c r="W684">
        <v>0.25301204819277107</v>
      </c>
      <c r="X684">
        <v>0.28915662650602408</v>
      </c>
      <c r="Y684">
        <v>0.23694779116465864</v>
      </c>
      <c r="Z684">
        <v>0.33734939759036142</v>
      </c>
      <c r="AA684">
        <v>0</v>
      </c>
      <c r="AB684">
        <v>0.13253012048192772</v>
      </c>
      <c r="AC684">
        <v>0.68674698795180722</v>
      </c>
      <c r="AD684">
        <v>0.38554216867469882</v>
      </c>
      <c r="AE684">
        <v>0.17269076305220885</v>
      </c>
      <c r="AF684">
        <v>0</v>
      </c>
      <c r="AG684">
        <v>0.8875502008032129</v>
      </c>
      <c r="AH684">
        <v>0.84337349397590367</v>
      </c>
      <c r="AI684">
        <v>0.45381526104417669</v>
      </c>
      <c r="AJ684">
        <v>0.7831325301204819</v>
      </c>
      <c r="AL684" s="1">
        <v>0.77108433734939763</v>
      </c>
      <c r="AN684" t="s">
        <v>56</v>
      </c>
      <c r="AO684">
        <v>70</v>
      </c>
      <c r="AP684" s="2">
        <v>0.67</v>
      </c>
      <c r="AQ684">
        <v>100</v>
      </c>
      <c r="AT684" s="1">
        <v>0.15261044176706828</v>
      </c>
      <c r="AU684" s="1">
        <v>0.49799196787148592</v>
      </c>
    </row>
    <row r="685" spans="1:47" x14ac:dyDescent="0.3">
      <c r="A685" t="s">
        <v>90</v>
      </c>
      <c r="B685">
        <v>0</v>
      </c>
      <c r="C685" s="1">
        <v>0.72289156626506024</v>
      </c>
      <c r="D685">
        <v>0.80321285140562249</v>
      </c>
      <c r="E685">
        <v>0.67469879518072284</v>
      </c>
      <c r="F685">
        <v>0.60642570281124497</v>
      </c>
      <c r="G685">
        <v>0</v>
      </c>
      <c r="H685">
        <v>0.6224899598393574</v>
      </c>
      <c r="I685">
        <v>0.78714859437751006</v>
      </c>
      <c r="J685">
        <v>0.59036144578313254</v>
      </c>
      <c r="K685">
        <v>0.78714859437751006</v>
      </c>
      <c r="L685">
        <v>0</v>
      </c>
      <c r="M685">
        <v>0.63453815261044177</v>
      </c>
      <c r="N685">
        <v>0.69076305220883538</v>
      </c>
      <c r="O685">
        <v>0.67068273092369479</v>
      </c>
      <c r="P685">
        <v>0.70281124497991965</v>
      </c>
      <c r="Q685">
        <v>0</v>
      </c>
      <c r="R685">
        <v>0.82329317269076308</v>
      </c>
      <c r="S685">
        <v>0.81526104417670686</v>
      </c>
      <c r="T685">
        <v>0.71485943775100402</v>
      </c>
      <c r="U685">
        <v>0.70281124497991965</v>
      </c>
      <c r="V685">
        <v>0</v>
      </c>
      <c r="W685">
        <v>0.8112449799196787</v>
      </c>
      <c r="X685">
        <v>0.90361445783132532</v>
      </c>
      <c r="Y685">
        <v>0.28112449799196787</v>
      </c>
      <c r="Z685">
        <v>0.86746987951807231</v>
      </c>
      <c r="AA685">
        <v>0</v>
      </c>
      <c r="AB685">
        <v>0.36947791164658633</v>
      </c>
      <c r="AC685">
        <v>0.8875502008032129</v>
      </c>
      <c r="AD685">
        <v>0.64658634538152615</v>
      </c>
      <c r="AE685">
        <v>0.67871485943775101</v>
      </c>
      <c r="AF685">
        <v>0</v>
      </c>
      <c r="AG685">
        <v>0.71485943775100402</v>
      </c>
      <c r="AH685">
        <v>0.83132530120481929</v>
      </c>
      <c r="AI685">
        <v>0.72289156626506024</v>
      </c>
      <c r="AJ685">
        <v>0.72289156626506024</v>
      </c>
      <c r="AL685" s="1">
        <v>0.87148594377510036</v>
      </c>
      <c r="AN685" t="s">
        <v>69</v>
      </c>
      <c r="AO685">
        <v>71</v>
      </c>
      <c r="AP685" s="2">
        <v>0.84333333333333338</v>
      </c>
      <c r="AQ685">
        <v>48</v>
      </c>
      <c r="AT685" s="1">
        <v>0.69076305220883538</v>
      </c>
      <c r="AU685" s="1">
        <v>0.89558232931726911</v>
      </c>
    </row>
    <row r="686" spans="1:47" x14ac:dyDescent="0.3">
      <c r="A686" t="s">
        <v>323</v>
      </c>
      <c r="B686">
        <v>0</v>
      </c>
      <c r="C686" s="1">
        <v>0.49397590361445781</v>
      </c>
      <c r="D686">
        <v>0.19277108433734941</v>
      </c>
      <c r="E686">
        <v>0.30522088353413657</v>
      </c>
      <c r="F686">
        <v>0.40963855421686746</v>
      </c>
      <c r="G686">
        <v>0</v>
      </c>
      <c r="H686">
        <v>0.89558232931726911</v>
      </c>
      <c r="I686">
        <v>0.36144578313253012</v>
      </c>
      <c r="J686">
        <v>0.42971887550200805</v>
      </c>
      <c r="K686">
        <v>0.61847389558232935</v>
      </c>
      <c r="L686">
        <v>0</v>
      </c>
      <c r="M686">
        <v>0.28915662650602408</v>
      </c>
      <c r="N686">
        <v>0.19277108433734941</v>
      </c>
      <c r="O686">
        <v>9.6385542168674704E-2</v>
      </c>
      <c r="P686">
        <v>0.30923694779116467</v>
      </c>
      <c r="Q686">
        <v>0</v>
      </c>
      <c r="R686">
        <v>0.9718875502008032</v>
      </c>
      <c r="S686">
        <v>0.77911646586345384</v>
      </c>
      <c r="T686">
        <v>0.73092369477911645</v>
      </c>
      <c r="U686">
        <v>0.95582329317269077</v>
      </c>
      <c r="V686">
        <v>0</v>
      </c>
      <c r="W686">
        <v>0.66265060240963858</v>
      </c>
      <c r="X686">
        <v>0.28915662650602408</v>
      </c>
      <c r="Y686">
        <v>0.22088353413654618</v>
      </c>
      <c r="Z686">
        <v>0.61044176706827313</v>
      </c>
      <c r="AA686">
        <v>0</v>
      </c>
      <c r="AB686">
        <v>0.89156626506024095</v>
      </c>
      <c r="AC686">
        <v>0.65461847389558236</v>
      </c>
      <c r="AD686">
        <v>0.32128514056224899</v>
      </c>
      <c r="AE686">
        <v>9.2369477911646583E-2</v>
      </c>
      <c r="AF686">
        <v>0</v>
      </c>
      <c r="AG686">
        <v>0.39357429718875503</v>
      </c>
      <c r="AH686">
        <v>0.1606425702811245</v>
      </c>
      <c r="AI686">
        <v>0.14056224899598393</v>
      </c>
      <c r="AJ686">
        <v>0.32931726907630521</v>
      </c>
      <c r="AL686" s="1">
        <v>0.63855421686746983</v>
      </c>
      <c r="AN686" t="s">
        <v>70</v>
      </c>
      <c r="AO686">
        <v>72</v>
      </c>
      <c r="AP686" s="2">
        <v>0.82</v>
      </c>
      <c r="AQ686">
        <v>55</v>
      </c>
      <c r="AT686" s="1">
        <v>0.79116465863453811</v>
      </c>
      <c r="AU686" s="1">
        <v>9.6385542168674704E-2</v>
      </c>
    </row>
    <row r="687" spans="1:47" x14ac:dyDescent="0.3">
      <c r="A687" t="s">
        <v>324</v>
      </c>
      <c r="B687">
        <v>0</v>
      </c>
      <c r="C687" s="1">
        <v>0.58232931726907633</v>
      </c>
      <c r="D687">
        <v>0.45381526104417669</v>
      </c>
      <c r="E687">
        <v>0.50200803212851408</v>
      </c>
      <c r="F687">
        <v>0.44176706827309237</v>
      </c>
      <c r="G687">
        <v>0</v>
      </c>
      <c r="H687">
        <v>0.51807228915662651</v>
      </c>
      <c r="I687">
        <v>0.65461847389558236</v>
      </c>
      <c r="J687">
        <v>0.59036144578313254</v>
      </c>
      <c r="K687">
        <v>0.64257028112449799</v>
      </c>
      <c r="L687">
        <v>0</v>
      </c>
      <c r="M687">
        <v>0.70281124497991965</v>
      </c>
      <c r="N687">
        <v>0.34136546184738958</v>
      </c>
      <c r="O687">
        <v>0.39759036144578314</v>
      </c>
      <c r="P687">
        <v>0.46586345381526106</v>
      </c>
      <c r="Q687">
        <v>0</v>
      </c>
      <c r="R687">
        <v>0.8112449799196787</v>
      </c>
      <c r="S687">
        <v>0.71887550200803207</v>
      </c>
      <c r="T687">
        <v>0.8393574297188755</v>
      </c>
      <c r="U687">
        <v>0.74698795180722888</v>
      </c>
      <c r="V687">
        <v>0</v>
      </c>
      <c r="W687">
        <v>0.67068273092369479</v>
      </c>
      <c r="X687">
        <v>0.39759036144578314</v>
      </c>
      <c r="Y687">
        <v>0.49799196787148592</v>
      </c>
      <c r="Z687">
        <v>0.46586345381526106</v>
      </c>
      <c r="AA687">
        <v>0</v>
      </c>
      <c r="AB687">
        <v>0.60642570281124497</v>
      </c>
      <c r="AC687">
        <v>0.63052208835341361</v>
      </c>
      <c r="AD687">
        <v>0.57831325301204817</v>
      </c>
      <c r="AE687">
        <v>0.44176706827309237</v>
      </c>
      <c r="AF687">
        <v>0</v>
      </c>
      <c r="AG687">
        <v>0.64658634538152615</v>
      </c>
      <c r="AH687">
        <v>0.36144578313253012</v>
      </c>
      <c r="AI687">
        <v>0.44176706827309237</v>
      </c>
      <c r="AJ687">
        <v>0.42971887550200805</v>
      </c>
      <c r="AL687" s="1">
        <v>0.68674698795180722</v>
      </c>
      <c r="AN687" t="s">
        <v>325</v>
      </c>
      <c r="AO687">
        <v>75</v>
      </c>
      <c r="AP687" s="2">
        <v>0.76333333333333331</v>
      </c>
      <c r="AQ687">
        <v>72</v>
      </c>
      <c r="AT687" s="1">
        <v>0.85943775100401609</v>
      </c>
      <c r="AU687" s="1">
        <v>0.93172690763052213</v>
      </c>
    </row>
    <row r="688" spans="1:47" x14ac:dyDescent="0.3">
      <c r="A688" t="s">
        <v>326</v>
      </c>
      <c r="B688">
        <v>0</v>
      </c>
      <c r="C688" s="1">
        <v>0.64658634538152615</v>
      </c>
      <c r="D688">
        <v>0.64257028112449799</v>
      </c>
      <c r="E688">
        <v>0.91164658634538154</v>
      </c>
      <c r="F688">
        <v>0.6506024096385542</v>
      </c>
      <c r="G688">
        <v>0</v>
      </c>
      <c r="H688">
        <v>0.83132530120481929</v>
      </c>
      <c r="I688">
        <v>0.99598393574297184</v>
      </c>
      <c r="J688">
        <v>0.90763052208835338</v>
      </c>
      <c r="K688">
        <v>0.99598393574297184</v>
      </c>
      <c r="L688">
        <v>0</v>
      </c>
      <c r="M688">
        <v>0.57831325301204817</v>
      </c>
      <c r="N688">
        <v>0.57028112449799195</v>
      </c>
      <c r="O688">
        <v>0.71485943775100402</v>
      </c>
      <c r="P688">
        <v>0.67068273092369479</v>
      </c>
      <c r="Q688">
        <v>0</v>
      </c>
      <c r="R688">
        <v>0.89959839357429716</v>
      </c>
      <c r="S688">
        <v>0.69076305220883538</v>
      </c>
      <c r="T688">
        <v>0.84738955823293172</v>
      </c>
      <c r="U688">
        <v>0.76305220883534142</v>
      </c>
      <c r="V688">
        <v>0</v>
      </c>
      <c r="W688">
        <v>0.78714859437751006</v>
      </c>
      <c r="X688">
        <v>0.54216867469879515</v>
      </c>
      <c r="Y688">
        <v>0.41365461847389556</v>
      </c>
      <c r="Z688">
        <v>0.7831325301204819</v>
      </c>
      <c r="AA688">
        <v>0</v>
      </c>
      <c r="AB688">
        <v>0.84738955823293172</v>
      </c>
      <c r="AC688">
        <v>0.3493975903614458</v>
      </c>
      <c r="AD688">
        <v>0.85542168674698793</v>
      </c>
      <c r="AE688">
        <v>0.8875502008032129</v>
      </c>
      <c r="AF688">
        <v>0</v>
      </c>
      <c r="AG688">
        <v>0.58232931726907633</v>
      </c>
      <c r="AH688">
        <v>0.64257028112449799</v>
      </c>
      <c r="AI688">
        <v>0.89558232931726911</v>
      </c>
      <c r="AJ688">
        <v>0.71485943775100402</v>
      </c>
      <c r="AL688" s="1">
        <v>0.90763052208835338</v>
      </c>
      <c r="AN688" t="s">
        <v>76</v>
      </c>
      <c r="AO688">
        <v>55</v>
      </c>
      <c r="AP688" s="2">
        <v>0.94666666666666666</v>
      </c>
      <c r="AQ688">
        <v>17</v>
      </c>
      <c r="AT688" s="1">
        <v>0.75100401606425704</v>
      </c>
      <c r="AU688" s="1">
        <v>0.46987951807228917</v>
      </c>
    </row>
    <row r="689" spans="1:47" x14ac:dyDescent="0.3">
      <c r="A689" t="s">
        <v>327</v>
      </c>
      <c r="B689">
        <v>0</v>
      </c>
      <c r="C689" s="1">
        <v>0.20080321285140562</v>
      </c>
      <c r="D689">
        <v>2.4096385542168676E-2</v>
      </c>
      <c r="E689">
        <v>0.12048192771084337</v>
      </c>
      <c r="F689">
        <v>7.2289156626506021E-2</v>
      </c>
      <c r="G689">
        <v>0</v>
      </c>
      <c r="H689">
        <v>0.37349397590361444</v>
      </c>
      <c r="I689">
        <v>0.10040160642570281</v>
      </c>
      <c r="J689">
        <v>5.6224899598393573E-2</v>
      </c>
      <c r="K689">
        <v>0.10441767068273092</v>
      </c>
      <c r="L689">
        <v>0</v>
      </c>
      <c r="M689">
        <v>1.2048192771084338E-2</v>
      </c>
      <c r="N689">
        <v>1.2048192771084338E-2</v>
      </c>
      <c r="O689">
        <v>7.6305220883534142E-2</v>
      </c>
      <c r="P689">
        <v>1.6064257028112448E-2</v>
      </c>
      <c r="Q689">
        <v>0</v>
      </c>
      <c r="R689">
        <v>0.57028112449799195</v>
      </c>
      <c r="S689">
        <v>9.6385542168674704E-2</v>
      </c>
      <c r="T689">
        <v>0.3493975903614458</v>
      </c>
      <c r="U689">
        <v>0.2289156626506024</v>
      </c>
      <c r="V689">
        <v>0</v>
      </c>
      <c r="W689">
        <v>0.35742971887550201</v>
      </c>
      <c r="X689">
        <v>0.20481927710843373</v>
      </c>
      <c r="Y689">
        <v>0.46184738955823296</v>
      </c>
      <c r="Z689">
        <v>0.24497991967871485</v>
      </c>
      <c r="AA689">
        <v>0</v>
      </c>
      <c r="AB689">
        <v>0.52208835341365467</v>
      </c>
      <c r="AC689">
        <v>6.0240963855421686E-2</v>
      </c>
      <c r="AD689">
        <v>0.18875502008032127</v>
      </c>
      <c r="AE689">
        <v>0.25702811244979917</v>
      </c>
      <c r="AF689">
        <v>0</v>
      </c>
      <c r="AG689">
        <v>4.4176706827309238E-2</v>
      </c>
      <c r="AH689">
        <v>4.0160642570281121E-3</v>
      </c>
      <c r="AI689">
        <v>6.0240963855421686E-2</v>
      </c>
      <c r="AJ689">
        <v>8.0321285140562242E-3</v>
      </c>
      <c r="AL689" s="1">
        <v>4.8192771084337352E-2</v>
      </c>
      <c r="AN689" t="s">
        <v>53</v>
      </c>
      <c r="AO689">
        <v>78</v>
      </c>
      <c r="AP689" s="2">
        <v>0.22333333333333333</v>
      </c>
      <c r="AQ689">
        <v>234</v>
      </c>
      <c r="AT689" s="1">
        <v>0.26104417670682734</v>
      </c>
      <c r="AU689" s="1">
        <v>0.40160642570281124</v>
      </c>
    </row>
    <row r="690" spans="1:47" x14ac:dyDescent="0.3">
      <c r="A690" t="s">
        <v>328</v>
      </c>
      <c r="B690">
        <v>0</v>
      </c>
      <c r="C690" s="1">
        <v>0.81526104417670686</v>
      </c>
      <c r="D690">
        <v>0.88353413654618473</v>
      </c>
      <c r="E690">
        <v>0.78714859437751006</v>
      </c>
      <c r="F690">
        <v>0.82730923694779113</v>
      </c>
      <c r="G690">
        <v>0</v>
      </c>
      <c r="H690">
        <v>0.49397590361445781</v>
      </c>
      <c r="I690">
        <v>0.20883534136546184</v>
      </c>
      <c r="J690">
        <v>0.18875502008032127</v>
      </c>
      <c r="K690">
        <v>0.25301204819277107</v>
      </c>
      <c r="L690">
        <v>0</v>
      </c>
      <c r="M690">
        <v>0.3493975903614458</v>
      </c>
      <c r="N690">
        <v>0.51004016064257029</v>
      </c>
      <c r="O690">
        <v>0.19277108433734941</v>
      </c>
      <c r="P690">
        <v>0.30923694779116467</v>
      </c>
      <c r="Q690">
        <v>0</v>
      </c>
      <c r="R690">
        <v>0.79116465863453811</v>
      </c>
      <c r="S690">
        <v>0.98795180722891562</v>
      </c>
      <c r="T690">
        <v>0.92369477911646591</v>
      </c>
      <c r="U690">
        <v>0.92771084337349397</v>
      </c>
      <c r="V690">
        <v>0</v>
      </c>
      <c r="W690">
        <v>0.39759036144578314</v>
      </c>
      <c r="X690">
        <v>0.65461847389558236</v>
      </c>
      <c r="Y690">
        <v>0.2289156626506024</v>
      </c>
      <c r="Z690">
        <v>0.28514056224899598</v>
      </c>
      <c r="AA690">
        <v>0</v>
      </c>
      <c r="AB690">
        <v>0.98795180722891562</v>
      </c>
      <c r="AC690">
        <v>0.4859437751004016</v>
      </c>
      <c r="AD690">
        <v>0.65863453815261042</v>
      </c>
      <c r="AE690">
        <v>0.36546184738955823</v>
      </c>
      <c r="AF690">
        <v>0</v>
      </c>
      <c r="AG690">
        <v>0.64257028112449799</v>
      </c>
      <c r="AH690">
        <v>0.82730923694779113</v>
      </c>
      <c r="AI690">
        <v>0.43775100401606426</v>
      </c>
      <c r="AJ690">
        <v>0.6224899598393574</v>
      </c>
      <c r="AL690" s="1">
        <v>0.59437751004016059</v>
      </c>
      <c r="AN690" t="s">
        <v>59</v>
      </c>
      <c r="AO690">
        <v>68</v>
      </c>
      <c r="AP690" s="2">
        <v>0.83</v>
      </c>
      <c r="AQ690">
        <v>52</v>
      </c>
      <c r="AT690" s="1">
        <v>0.34136546184738958</v>
      </c>
      <c r="AU690" s="1">
        <v>0.4859437751004016</v>
      </c>
    </row>
    <row r="691" spans="1:47" x14ac:dyDescent="0.3">
      <c r="A691" t="s">
        <v>329</v>
      </c>
      <c r="B691">
        <v>0</v>
      </c>
      <c r="C691" s="1">
        <v>0.30120481927710846</v>
      </c>
      <c r="D691">
        <v>0.36947791164658633</v>
      </c>
      <c r="E691">
        <v>0.12449799196787148</v>
      </c>
      <c r="F691">
        <v>0.32931726907630521</v>
      </c>
      <c r="G691">
        <v>0</v>
      </c>
      <c r="H691">
        <v>0.14859437751004015</v>
      </c>
      <c r="I691">
        <v>1.6064257028112448E-2</v>
      </c>
      <c r="J691">
        <v>6.4257028112449793E-2</v>
      </c>
      <c r="K691">
        <v>2.4096385542168676E-2</v>
      </c>
      <c r="L691">
        <v>0</v>
      </c>
      <c r="M691">
        <v>0.14859437751004015</v>
      </c>
      <c r="N691">
        <v>0.30923694779116467</v>
      </c>
      <c r="O691">
        <v>0.10843373493975904</v>
      </c>
      <c r="P691">
        <v>0.15261044176706828</v>
      </c>
      <c r="Q691">
        <v>0</v>
      </c>
      <c r="R691">
        <v>0.52208835341365467</v>
      </c>
      <c r="S691">
        <v>0.63855421686746983</v>
      </c>
      <c r="T691">
        <v>0.56224899598393574</v>
      </c>
      <c r="U691">
        <v>0.61044176706827313</v>
      </c>
      <c r="V691">
        <v>0</v>
      </c>
      <c r="W691">
        <v>0.84738955823293172</v>
      </c>
      <c r="X691">
        <v>0.88353413654618473</v>
      </c>
      <c r="Y691">
        <v>0.52610441767068272</v>
      </c>
      <c r="Z691">
        <v>0.74698795180722888</v>
      </c>
      <c r="AA691">
        <v>0</v>
      </c>
      <c r="AB691">
        <v>0.55823293172690758</v>
      </c>
      <c r="AC691">
        <v>0.29317269076305219</v>
      </c>
      <c r="AD691">
        <v>0.13654618473895583</v>
      </c>
      <c r="AE691">
        <v>6.0240963855421686E-2</v>
      </c>
      <c r="AF691">
        <v>0</v>
      </c>
      <c r="AG691">
        <v>0.20080321285140562</v>
      </c>
      <c r="AH691">
        <v>0.30923694779116467</v>
      </c>
      <c r="AI691">
        <v>6.8273092369477914E-2</v>
      </c>
      <c r="AJ691">
        <v>0.20883534136546184</v>
      </c>
      <c r="AL691" s="1">
        <v>0.18072289156626506</v>
      </c>
      <c r="AN691" t="s">
        <v>74</v>
      </c>
      <c r="AO691">
        <v>59</v>
      </c>
      <c r="AP691" s="2">
        <v>0.37</v>
      </c>
      <c r="AQ691">
        <v>190</v>
      </c>
      <c r="AT691" s="1">
        <v>0.27309236947791166</v>
      </c>
      <c r="AU691" s="1">
        <v>3.2128514056224897E-2</v>
      </c>
    </row>
    <row r="692" spans="1:47" x14ac:dyDescent="0.3">
      <c r="A692" t="s">
        <v>330</v>
      </c>
      <c r="B692">
        <v>0</v>
      </c>
      <c r="C692" s="1">
        <v>0.68674698795180722</v>
      </c>
      <c r="D692">
        <v>0.87550200803212852</v>
      </c>
      <c r="E692">
        <v>0.78714859437751006</v>
      </c>
      <c r="F692">
        <v>0.78714859437751006</v>
      </c>
      <c r="G692">
        <v>0</v>
      </c>
      <c r="H692">
        <v>0.80321285140562249</v>
      </c>
      <c r="I692">
        <v>0.24096385542168675</v>
      </c>
      <c r="J692">
        <v>0.31726907630522089</v>
      </c>
      <c r="K692">
        <v>0.38152610441767071</v>
      </c>
      <c r="L692">
        <v>0</v>
      </c>
      <c r="M692">
        <v>0.66265060240963858</v>
      </c>
      <c r="N692">
        <v>0.38554216867469882</v>
      </c>
      <c r="O692">
        <v>0.93574297188755018</v>
      </c>
      <c r="P692">
        <v>0.54618473895582331</v>
      </c>
      <c r="Q692">
        <v>0</v>
      </c>
      <c r="R692">
        <v>0.6224899598393574</v>
      </c>
      <c r="S692">
        <v>0.59839357429718876</v>
      </c>
      <c r="T692">
        <v>0.45783132530120479</v>
      </c>
      <c r="U692">
        <v>0.6224899598393574</v>
      </c>
      <c r="V692">
        <v>0</v>
      </c>
      <c r="W692">
        <v>0.48192771084337349</v>
      </c>
      <c r="X692">
        <v>0.19277108433734941</v>
      </c>
      <c r="Y692">
        <v>0.87148594377510036</v>
      </c>
      <c r="Z692">
        <v>0.32128514056224899</v>
      </c>
      <c r="AA692">
        <v>0</v>
      </c>
      <c r="AB692">
        <v>0.43373493975903615</v>
      </c>
      <c r="AC692">
        <v>0.51405622489959835</v>
      </c>
      <c r="AD692">
        <v>0.67068273092369479</v>
      </c>
      <c r="AE692">
        <v>0.91566265060240959</v>
      </c>
      <c r="AF692">
        <v>0</v>
      </c>
      <c r="AG692">
        <v>0.67871485943775101</v>
      </c>
      <c r="AH692">
        <v>0.71485943775100402</v>
      </c>
      <c r="AI692">
        <v>0.95582329317269077</v>
      </c>
      <c r="AJ692">
        <v>0.74297188755020083</v>
      </c>
      <c r="AL692" s="1">
        <v>0.66666666666666663</v>
      </c>
      <c r="AN692" t="s">
        <v>66</v>
      </c>
      <c r="AO692">
        <v>67</v>
      </c>
      <c r="AP692" s="2">
        <v>0.7</v>
      </c>
      <c r="AQ692">
        <v>91</v>
      </c>
      <c r="AT692" s="1">
        <v>0.48995983935742971</v>
      </c>
      <c r="AU692" s="1">
        <v>0.25301204819277107</v>
      </c>
    </row>
    <row r="693" spans="1:47" x14ac:dyDescent="0.3">
      <c r="A693" t="s">
        <v>331</v>
      </c>
      <c r="B693">
        <v>0</v>
      </c>
      <c r="C693" s="1">
        <v>0.45381526104417669</v>
      </c>
      <c r="D693">
        <v>0.80321285140562249</v>
      </c>
      <c r="E693">
        <v>0.5662650602409639</v>
      </c>
      <c r="F693">
        <v>0.63052208835341361</v>
      </c>
      <c r="G693">
        <v>0</v>
      </c>
      <c r="H693">
        <v>0.27710843373493976</v>
      </c>
      <c r="I693">
        <v>0.50602409638554213</v>
      </c>
      <c r="J693">
        <v>0.18875502008032127</v>
      </c>
      <c r="K693">
        <v>0.39357429718875503</v>
      </c>
      <c r="L693">
        <v>0</v>
      </c>
      <c r="M693">
        <v>0.95983935742971882</v>
      </c>
      <c r="N693">
        <v>0.95582329317269077</v>
      </c>
      <c r="O693">
        <v>0.72289156626506024</v>
      </c>
      <c r="P693">
        <v>0.96787148594377514</v>
      </c>
      <c r="Q693">
        <v>0</v>
      </c>
      <c r="R693">
        <v>0.20883534136546184</v>
      </c>
      <c r="S693">
        <v>0.51405622489959835</v>
      </c>
      <c r="T693">
        <v>0.3253012048192771</v>
      </c>
      <c r="U693">
        <v>0.40160642570281124</v>
      </c>
      <c r="V693">
        <v>0</v>
      </c>
      <c r="W693">
        <v>0.96787148594377514</v>
      </c>
      <c r="X693">
        <v>0.93975903614457834</v>
      </c>
      <c r="Y693">
        <v>0.41365461847389556</v>
      </c>
      <c r="Z693">
        <v>0.93574297188755018</v>
      </c>
      <c r="AA693">
        <v>0</v>
      </c>
      <c r="AB693">
        <v>0.77510040160642568</v>
      </c>
      <c r="AC693">
        <v>0.47389558232931728</v>
      </c>
      <c r="AD693">
        <v>0.59036144578313254</v>
      </c>
      <c r="AE693">
        <v>0.50602409638554213</v>
      </c>
      <c r="AF693">
        <v>0</v>
      </c>
      <c r="AG693">
        <v>0.83132530120481929</v>
      </c>
      <c r="AH693">
        <v>0.95582329317269077</v>
      </c>
      <c r="AI693">
        <v>0.69477911646586343</v>
      </c>
      <c r="AJ693">
        <v>0.90361445783132532</v>
      </c>
      <c r="AL693" s="1">
        <v>0.78714859437751006</v>
      </c>
      <c r="AN693" t="s">
        <v>66</v>
      </c>
      <c r="AO693">
        <v>58</v>
      </c>
      <c r="AP693" s="2">
        <v>0.89</v>
      </c>
      <c r="AQ693">
        <v>34</v>
      </c>
      <c r="AT693" s="1">
        <v>0.87550200803212852</v>
      </c>
      <c r="AU693" s="1">
        <v>0.73493975903614461</v>
      </c>
    </row>
    <row r="694" spans="1:47" x14ac:dyDescent="0.3">
      <c r="A694" t="s">
        <v>332</v>
      </c>
      <c r="B694">
        <v>0</v>
      </c>
      <c r="C694" s="1">
        <v>0.77510040160642568</v>
      </c>
      <c r="D694">
        <v>0.60240963855421692</v>
      </c>
      <c r="E694">
        <v>0.43775100401606426</v>
      </c>
      <c r="F694">
        <v>0.54618473895582331</v>
      </c>
      <c r="G694">
        <v>0</v>
      </c>
      <c r="H694">
        <v>0.72289156626506024</v>
      </c>
      <c r="I694">
        <v>0.63453815261044177</v>
      </c>
      <c r="J694">
        <v>0.80722891566265065</v>
      </c>
      <c r="K694">
        <v>0.68674698795180722</v>
      </c>
      <c r="L694">
        <v>0</v>
      </c>
      <c r="M694">
        <v>0.13253012048192772</v>
      </c>
      <c r="N694">
        <v>4.0160642570281124E-2</v>
      </c>
      <c r="O694">
        <v>0.25702811244979917</v>
      </c>
      <c r="P694">
        <v>4.0160642570281124E-2</v>
      </c>
      <c r="Q694">
        <v>0</v>
      </c>
      <c r="R694">
        <v>0.96787148594377514</v>
      </c>
      <c r="S694">
        <v>0.87550200803212852</v>
      </c>
      <c r="T694">
        <v>0.61847389558232935</v>
      </c>
      <c r="U694">
        <v>0.87951807228915657</v>
      </c>
      <c r="V694">
        <v>0</v>
      </c>
      <c r="W694">
        <v>7.2289156626506021E-2</v>
      </c>
      <c r="X694">
        <v>8.0321285140562242E-3</v>
      </c>
      <c r="Y694">
        <v>0.20883534136546184</v>
      </c>
      <c r="Z694">
        <v>8.0321285140562242E-3</v>
      </c>
      <c r="AA694">
        <v>0</v>
      </c>
      <c r="AB694">
        <v>0.66265060240963858</v>
      </c>
      <c r="AC694">
        <v>0.62650602409638556</v>
      </c>
      <c r="AD694">
        <v>0.2289156626506024</v>
      </c>
      <c r="AE694">
        <v>0.22489959839357429</v>
      </c>
      <c r="AF694">
        <v>0</v>
      </c>
      <c r="AG694">
        <v>0.46987951807228917</v>
      </c>
      <c r="AH694">
        <v>0.20481927710843373</v>
      </c>
      <c r="AI694">
        <v>0.31726907630522089</v>
      </c>
      <c r="AJ694">
        <v>0.18072289156626506</v>
      </c>
      <c r="AL694" s="1">
        <v>0.44979919678714858</v>
      </c>
      <c r="AN694" t="s">
        <v>85</v>
      </c>
      <c r="AO694">
        <v>70</v>
      </c>
      <c r="AP694" s="2">
        <v>0.59333333333333338</v>
      </c>
      <c r="AQ694">
        <v>123</v>
      </c>
      <c r="AT694" s="1">
        <v>0.47791164658634538</v>
      </c>
      <c r="AU694" s="1">
        <v>0.77510040160642568</v>
      </c>
    </row>
    <row r="695" spans="1:47" x14ac:dyDescent="0.3">
      <c r="A695" t="s">
        <v>333</v>
      </c>
      <c r="B695">
        <v>0</v>
      </c>
      <c r="C695" s="1">
        <v>0.73092369477911645</v>
      </c>
      <c r="D695">
        <v>0.3534136546184739</v>
      </c>
      <c r="E695">
        <v>0.55020080321285136</v>
      </c>
      <c r="F695">
        <v>0.54618473895582331</v>
      </c>
      <c r="G695">
        <v>0</v>
      </c>
      <c r="H695">
        <v>0.51807228915662651</v>
      </c>
      <c r="I695">
        <v>0.69076305220883538</v>
      </c>
      <c r="J695">
        <v>0.68674698795180722</v>
      </c>
      <c r="K695">
        <v>0.65863453815261042</v>
      </c>
      <c r="L695">
        <v>0</v>
      </c>
      <c r="M695">
        <v>0.14056224899598393</v>
      </c>
      <c r="N695">
        <v>5.6224899598393573E-2</v>
      </c>
      <c r="O695">
        <v>0.1606425702811245</v>
      </c>
      <c r="P695">
        <v>5.6224899598393573E-2</v>
      </c>
      <c r="Q695">
        <v>0</v>
      </c>
      <c r="R695">
        <v>0.98393574297188757</v>
      </c>
      <c r="S695">
        <v>0.80321285140562249</v>
      </c>
      <c r="T695">
        <v>0.46987951807228917</v>
      </c>
      <c r="U695">
        <v>0.93574297188755018</v>
      </c>
      <c r="V695">
        <v>0</v>
      </c>
      <c r="W695">
        <v>0.27710843373493976</v>
      </c>
      <c r="X695">
        <v>2.4096385542168676E-2</v>
      </c>
      <c r="Y695">
        <v>0.1606425702811245</v>
      </c>
      <c r="Z695">
        <v>5.6224899598393573E-2</v>
      </c>
      <c r="AA695">
        <v>0</v>
      </c>
      <c r="AB695">
        <v>0.38955823293172692</v>
      </c>
      <c r="AC695">
        <v>0.99598393574297184</v>
      </c>
      <c r="AD695">
        <v>0.33734939759036142</v>
      </c>
      <c r="AE695">
        <v>0.20883534136546184</v>
      </c>
      <c r="AF695">
        <v>0</v>
      </c>
      <c r="AG695">
        <v>0.45381526104417669</v>
      </c>
      <c r="AH695">
        <v>0.12048192771084337</v>
      </c>
      <c r="AI695">
        <v>0.28915662650602408</v>
      </c>
      <c r="AJ695">
        <v>0.20080321285140562</v>
      </c>
      <c r="AL695" s="1">
        <v>0.54618473895582331</v>
      </c>
      <c r="AN695" t="s">
        <v>67</v>
      </c>
      <c r="AO695">
        <v>63</v>
      </c>
      <c r="AP695" s="2">
        <v>0.6</v>
      </c>
      <c r="AQ695">
        <v>121</v>
      </c>
      <c r="AT695" s="1">
        <v>0.36144578313253012</v>
      </c>
      <c r="AU695" s="1">
        <v>0.84738955823293172</v>
      </c>
    </row>
    <row r="696" spans="1:47" x14ac:dyDescent="0.3">
      <c r="A696" t="s">
        <v>334</v>
      </c>
      <c r="B696">
        <v>0</v>
      </c>
      <c r="C696" s="1">
        <v>0.89156626506024095</v>
      </c>
      <c r="D696">
        <v>0.69477911646586343</v>
      </c>
      <c r="E696">
        <v>0.55020080321285136</v>
      </c>
      <c r="F696">
        <v>0.73895582329317266</v>
      </c>
      <c r="G696">
        <v>0</v>
      </c>
      <c r="H696">
        <v>0.75903614457831325</v>
      </c>
      <c r="I696">
        <v>0.41365461847389556</v>
      </c>
      <c r="J696">
        <v>0.42971887550200805</v>
      </c>
      <c r="K696">
        <v>0.54618473895582331</v>
      </c>
      <c r="L696">
        <v>0</v>
      </c>
      <c r="M696">
        <v>0.1646586345381526</v>
      </c>
      <c r="N696">
        <v>0.50602409638554213</v>
      </c>
      <c r="O696">
        <v>0.12449799196787148</v>
      </c>
      <c r="P696">
        <v>0.19678714859437751</v>
      </c>
      <c r="Q696">
        <v>0</v>
      </c>
      <c r="R696">
        <v>0.85542168674698793</v>
      </c>
      <c r="S696">
        <v>0.67068273092369479</v>
      </c>
      <c r="T696">
        <v>0.75903614457831325</v>
      </c>
      <c r="U696">
        <v>0.71084337349397586</v>
      </c>
      <c r="V696">
        <v>0</v>
      </c>
      <c r="W696">
        <v>6.8273092369477914E-2</v>
      </c>
      <c r="X696">
        <v>0.59036144578313254</v>
      </c>
      <c r="Y696">
        <v>0.12048192771084337</v>
      </c>
      <c r="Z696">
        <v>0.10040160642570281</v>
      </c>
      <c r="AA696">
        <v>0</v>
      </c>
      <c r="AB696">
        <v>0.3493975903614458</v>
      </c>
      <c r="AC696">
        <v>0.36546184738955823</v>
      </c>
      <c r="AD696">
        <v>0.24096385542168675</v>
      </c>
      <c r="AE696">
        <v>0.13654618473895583</v>
      </c>
      <c r="AF696">
        <v>0</v>
      </c>
      <c r="AG696">
        <v>0.55020080321285136</v>
      </c>
      <c r="AH696">
        <v>0.63453815261044177</v>
      </c>
      <c r="AI696">
        <v>0.24096385542168675</v>
      </c>
      <c r="AJ696">
        <v>0.47791164658634538</v>
      </c>
      <c r="AL696" s="1">
        <v>0.51405622489959835</v>
      </c>
      <c r="AN696" t="s">
        <v>59</v>
      </c>
      <c r="AO696">
        <v>75</v>
      </c>
      <c r="AP696" s="2">
        <v>0.54666666666666663</v>
      </c>
      <c r="AQ696">
        <v>137</v>
      </c>
      <c r="AT696" s="1">
        <v>8.8353413654618476E-2</v>
      </c>
      <c r="AU696" s="1">
        <v>0.79116465863453811</v>
      </c>
    </row>
    <row r="697" spans="1:47" x14ac:dyDescent="0.3">
      <c r="A697" t="s">
        <v>335</v>
      </c>
      <c r="B697">
        <v>0</v>
      </c>
      <c r="C697" s="1">
        <v>0.48995983935742971</v>
      </c>
      <c r="D697">
        <v>0.27309236947791166</v>
      </c>
      <c r="E697">
        <v>0.14457831325301204</v>
      </c>
      <c r="F697">
        <v>0.27309236947791166</v>
      </c>
      <c r="G697">
        <v>0</v>
      </c>
      <c r="H697">
        <v>0.72289156626506024</v>
      </c>
      <c r="I697">
        <v>0.30522088353413657</v>
      </c>
      <c r="J697">
        <v>0.69076305220883538</v>
      </c>
      <c r="K697">
        <v>0.41767068273092367</v>
      </c>
      <c r="L697">
        <v>0</v>
      </c>
      <c r="M697">
        <v>0.2289156626506024</v>
      </c>
      <c r="N697">
        <v>0.30923694779116467</v>
      </c>
      <c r="O697">
        <v>0.77911646586345384</v>
      </c>
      <c r="P697">
        <v>0.34538152610441769</v>
      </c>
      <c r="Q697">
        <v>0</v>
      </c>
      <c r="R697">
        <v>0.58232931726907633</v>
      </c>
      <c r="S697">
        <v>0.31325301204819278</v>
      </c>
      <c r="T697">
        <v>0.25702811244979917</v>
      </c>
      <c r="U697">
        <v>0.46987951807228917</v>
      </c>
      <c r="V697">
        <v>0</v>
      </c>
      <c r="W697">
        <v>0.19678714859437751</v>
      </c>
      <c r="X697">
        <v>0.28514056224899598</v>
      </c>
      <c r="Y697">
        <v>0.89558232931726911</v>
      </c>
      <c r="Z697">
        <v>0.24497991967871485</v>
      </c>
      <c r="AA697">
        <v>0</v>
      </c>
      <c r="AB697">
        <v>0.73493975903614461</v>
      </c>
      <c r="AC697">
        <v>0.26506024096385544</v>
      </c>
      <c r="AD697">
        <v>0.12048192771084337</v>
      </c>
      <c r="AE697">
        <v>0.54216867469879515</v>
      </c>
      <c r="AF697">
        <v>0</v>
      </c>
      <c r="AG697">
        <v>0.3534136546184739</v>
      </c>
      <c r="AH697">
        <v>0.24497991967871485</v>
      </c>
      <c r="AI697">
        <v>0.41365461847389556</v>
      </c>
      <c r="AJ697">
        <v>0.26907630522088355</v>
      </c>
      <c r="AL697" s="1">
        <v>0.30923694779116467</v>
      </c>
      <c r="AN697" t="s">
        <v>85</v>
      </c>
      <c r="AO697">
        <v>81</v>
      </c>
      <c r="AP697" s="2">
        <v>0.47333333333333333</v>
      </c>
      <c r="AQ697">
        <v>159</v>
      </c>
      <c r="AT697" s="1">
        <v>0.43775100401606426</v>
      </c>
      <c r="AU697" s="1">
        <v>0.58634538152610438</v>
      </c>
    </row>
    <row r="698" spans="1:47" x14ac:dyDescent="0.3">
      <c r="A698" t="s">
        <v>336</v>
      </c>
      <c r="B698">
        <v>0</v>
      </c>
      <c r="C698" s="1">
        <v>0.62650602409638556</v>
      </c>
      <c r="D698">
        <v>0.81526104417670686</v>
      </c>
      <c r="E698">
        <v>0.89156626506024095</v>
      </c>
      <c r="F698">
        <v>0.77510040160642568</v>
      </c>
      <c r="G698">
        <v>0</v>
      </c>
      <c r="H698">
        <v>0.88353413654618473</v>
      </c>
      <c r="I698">
        <v>0.55020080321285136</v>
      </c>
      <c r="J698">
        <v>0.39759036144578314</v>
      </c>
      <c r="K698">
        <v>0.72289156626506024</v>
      </c>
      <c r="L698">
        <v>0</v>
      </c>
      <c r="M698">
        <v>0.49799196787148592</v>
      </c>
      <c r="N698">
        <v>0.69477911646586343</v>
      </c>
      <c r="O698">
        <v>0.34538152610441769</v>
      </c>
      <c r="P698">
        <v>0.46586345381526106</v>
      </c>
      <c r="Q698">
        <v>0</v>
      </c>
      <c r="R698">
        <v>0.66265060240963858</v>
      </c>
      <c r="S698">
        <v>0.96385542168674698</v>
      </c>
      <c r="T698">
        <v>0.92771084337349397</v>
      </c>
      <c r="U698">
        <v>0.89959839357429716</v>
      </c>
      <c r="V698">
        <v>0</v>
      </c>
      <c r="W698">
        <v>0.49397590361445781</v>
      </c>
      <c r="X698">
        <v>0.7831325301204819</v>
      </c>
      <c r="Y698">
        <v>0.40160642570281124</v>
      </c>
      <c r="Z698">
        <v>0.52610441767068272</v>
      </c>
      <c r="AA698">
        <v>0</v>
      </c>
      <c r="AB698">
        <v>0.49397590361445781</v>
      </c>
      <c r="AC698">
        <v>0.81927710843373491</v>
      </c>
      <c r="AD698">
        <v>0.90763052208835338</v>
      </c>
      <c r="AE698">
        <v>0.71887550200803207</v>
      </c>
      <c r="AF698">
        <v>0</v>
      </c>
      <c r="AG698">
        <v>0.53413654618473894</v>
      </c>
      <c r="AH698">
        <v>0.84738955823293172</v>
      </c>
      <c r="AI698">
        <v>0.6506024096385542</v>
      </c>
      <c r="AJ698">
        <v>0.70682730923694781</v>
      </c>
      <c r="AL698" s="1">
        <v>0.75502008032128509</v>
      </c>
      <c r="AN698" t="s">
        <v>62</v>
      </c>
      <c r="AO698">
        <v>75</v>
      </c>
      <c r="AP698" s="2">
        <v>0.77333333333333332</v>
      </c>
      <c r="AQ698">
        <v>69</v>
      </c>
      <c r="AT698" s="1">
        <v>0.90763052208835338</v>
      </c>
      <c r="AU698" s="1">
        <v>0.45381526104417669</v>
      </c>
    </row>
    <row r="699" spans="1:47" x14ac:dyDescent="0.3">
      <c r="A699" t="s">
        <v>337</v>
      </c>
      <c r="B699">
        <v>0</v>
      </c>
      <c r="C699" s="1">
        <v>0.19678714859437751</v>
      </c>
      <c r="D699">
        <v>0.20481927710843373</v>
      </c>
      <c r="E699">
        <v>6.0240963855421686E-2</v>
      </c>
      <c r="F699">
        <v>0.19277108433734941</v>
      </c>
      <c r="G699">
        <v>0</v>
      </c>
      <c r="H699">
        <v>0.41767068273092367</v>
      </c>
      <c r="I699">
        <v>0.41365461847389556</v>
      </c>
      <c r="J699">
        <v>0.67068273092369479</v>
      </c>
      <c r="K699">
        <v>0.37349397590361444</v>
      </c>
      <c r="L699">
        <v>0</v>
      </c>
      <c r="M699">
        <v>0.17670682730923695</v>
      </c>
      <c r="N699">
        <v>0.1646586345381526</v>
      </c>
      <c r="O699">
        <v>0.6224899598393574</v>
      </c>
      <c r="P699">
        <v>0.22088353413654618</v>
      </c>
      <c r="Q699">
        <v>0</v>
      </c>
      <c r="R699">
        <v>0.28915662650602408</v>
      </c>
      <c r="S699">
        <v>0.2971887550200803</v>
      </c>
      <c r="T699">
        <v>7.2289156626506021E-2</v>
      </c>
      <c r="U699">
        <v>0.27309236947791166</v>
      </c>
      <c r="V699">
        <v>0</v>
      </c>
      <c r="W699">
        <v>0.20080321285140562</v>
      </c>
      <c r="X699">
        <v>0.16867469879518071</v>
      </c>
      <c r="Y699">
        <v>0.8112449799196787</v>
      </c>
      <c r="Z699">
        <v>0.30120481927710846</v>
      </c>
      <c r="AA699">
        <v>0</v>
      </c>
      <c r="AB699">
        <v>0.20080321285140562</v>
      </c>
      <c r="AC699">
        <v>0.39759036144578314</v>
      </c>
      <c r="AD699">
        <v>7.2289156626506021E-2</v>
      </c>
      <c r="AE699">
        <v>0.42570281124497994</v>
      </c>
      <c r="AF699">
        <v>0</v>
      </c>
      <c r="AG699">
        <v>0.1606425702811245</v>
      </c>
      <c r="AH699">
        <v>0.13654618473895583</v>
      </c>
      <c r="AI699">
        <v>0.19277108433734941</v>
      </c>
      <c r="AJ699">
        <v>0.15662650602409639</v>
      </c>
      <c r="AL699" s="1">
        <v>0.10843373493975904</v>
      </c>
      <c r="AN699" t="s">
        <v>77</v>
      </c>
      <c r="AO699">
        <v>81</v>
      </c>
      <c r="AP699" s="2">
        <v>0.25</v>
      </c>
      <c r="AQ699">
        <v>226</v>
      </c>
      <c r="AT699" s="1">
        <v>0.45381526104417669</v>
      </c>
      <c r="AU699" s="1">
        <v>0.61847389558232935</v>
      </c>
    </row>
    <row r="700" spans="1:47" x14ac:dyDescent="0.3">
      <c r="A700" t="s">
        <v>338</v>
      </c>
      <c r="B700">
        <v>0</v>
      </c>
      <c r="C700" s="1">
        <v>0.1646586345381526</v>
      </c>
      <c r="D700">
        <v>0.18473895582329317</v>
      </c>
      <c r="E700">
        <v>0.38955823293172692</v>
      </c>
      <c r="F700">
        <v>0.18473895582329317</v>
      </c>
      <c r="G700">
        <v>0</v>
      </c>
      <c r="H700">
        <v>0.10040160642570281</v>
      </c>
      <c r="I700">
        <v>0.24096385542168675</v>
      </c>
      <c r="J700">
        <v>0.39759036144578314</v>
      </c>
      <c r="K700">
        <v>0.15662650602409639</v>
      </c>
      <c r="L700">
        <v>0</v>
      </c>
      <c r="M700">
        <v>0.34136546184738958</v>
      </c>
      <c r="N700">
        <v>0.19277108433734941</v>
      </c>
      <c r="O700">
        <v>0.10843373493975904</v>
      </c>
      <c r="P700">
        <v>0.32128514056224899</v>
      </c>
      <c r="Q700">
        <v>0</v>
      </c>
      <c r="R700">
        <v>0.37751004016064255</v>
      </c>
      <c r="S700">
        <v>0.15261044176706828</v>
      </c>
      <c r="T700">
        <v>0.37349397590361444</v>
      </c>
      <c r="U700">
        <v>0.28514056224899598</v>
      </c>
      <c r="V700">
        <v>0</v>
      </c>
      <c r="W700">
        <v>0.26104417670682734</v>
      </c>
      <c r="X700">
        <v>0.14457831325301204</v>
      </c>
      <c r="Y700">
        <v>0.10040160642570281</v>
      </c>
      <c r="Z700">
        <v>0.30120481927710846</v>
      </c>
      <c r="AA700">
        <v>0</v>
      </c>
      <c r="AB700">
        <v>0.85140562248995988</v>
      </c>
      <c r="AC700">
        <v>0.25702811244979917</v>
      </c>
      <c r="AD700">
        <v>0.62650602409638556</v>
      </c>
      <c r="AE700">
        <v>0.24497991967871485</v>
      </c>
      <c r="AF700">
        <v>0</v>
      </c>
      <c r="AG700">
        <v>0.19678714859437751</v>
      </c>
      <c r="AH700">
        <v>0.15261044176706828</v>
      </c>
      <c r="AI700">
        <v>0.17670682730923695</v>
      </c>
      <c r="AJ700">
        <v>0.19277108433734941</v>
      </c>
      <c r="AL700" s="1">
        <v>7.2289156626506021E-2</v>
      </c>
      <c r="AN700" t="s">
        <v>71</v>
      </c>
      <c r="AO700">
        <v>78</v>
      </c>
      <c r="AP700" s="2">
        <v>0.27666666666666667</v>
      </c>
      <c r="AQ700">
        <v>218</v>
      </c>
      <c r="AT700" s="1">
        <v>0.12048192771084337</v>
      </c>
      <c r="AU700" s="1">
        <v>8.4337349397590355E-2</v>
      </c>
    </row>
    <row r="701" spans="1:47" x14ac:dyDescent="0.3">
      <c r="A701" t="s">
        <v>339</v>
      </c>
      <c r="B701">
        <v>0</v>
      </c>
      <c r="C701" s="1">
        <v>0.17269076305220885</v>
      </c>
      <c r="D701">
        <v>0.22489959839357429</v>
      </c>
      <c r="E701">
        <v>0.12851405622489959</v>
      </c>
      <c r="F701">
        <v>6.0240963855421686E-2</v>
      </c>
      <c r="G701">
        <v>0</v>
      </c>
      <c r="H701">
        <v>0.41767068273092367</v>
      </c>
      <c r="I701">
        <v>0.26907630522088355</v>
      </c>
      <c r="J701">
        <v>4.0160642570281121E-3</v>
      </c>
      <c r="K701">
        <v>0.27710843373493976</v>
      </c>
      <c r="L701">
        <v>0</v>
      </c>
      <c r="M701">
        <v>0.91967871485943775</v>
      </c>
      <c r="N701">
        <v>0.84738955823293172</v>
      </c>
      <c r="O701">
        <v>0.12449799196787148</v>
      </c>
      <c r="P701">
        <v>0.84738955823293172</v>
      </c>
      <c r="Q701">
        <v>0</v>
      </c>
      <c r="R701">
        <v>0.44578313253012047</v>
      </c>
      <c r="S701">
        <v>0.69477911646586343</v>
      </c>
      <c r="T701">
        <v>5.6224899598393573E-2</v>
      </c>
      <c r="U701">
        <v>0.30120481927710846</v>
      </c>
      <c r="V701">
        <v>0</v>
      </c>
      <c r="W701">
        <v>0.99598393574297184</v>
      </c>
      <c r="X701">
        <v>0.89156626506024095</v>
      </c>
      <c r="Y701">
        <v>0.13654618473895583</v>
      </c>
      <c r="Z701">
        <v>0.98393574297188757</v>
      </c>
      <c r="AA701">
        <v>0</v>
      </c>
      <c r="AB701">
        <v>0.22088353413654618</v>
      </c>
      <c r="AC701">
        <v>0.76706827309236947</v>
      </c>
      <c r="AD701">
        <v>0.1606425702811245</v>
      </c>
      <c r="AE701">
        <v>2.8112449799196786E-2</v>
      </c>
      <c r="AF701">
        <v>0</v>
      </c>
      <c r="AG701">
        <v>0.50602409638554213</v>
      </c>
      <c r="AH701">
        <v>0.45381526104417669</v>
      </c>
      <c r="AI701">
        <v>8.4337349397590355E-2</v>
      </c>
      <c r="AJ701">
        <v>0.30923694779116467</v>
      </c>
      <c r="AL701" s="1">
        <v>0.60240963855421692</v>
      </c>
      <c r="AN701" t="s">
        <v>67</v>
      </c>
      <c r="AO701">
        <v>26</v>
      </c>
      <c r="AP701" s="2">
        <v>0.59</v>
      </c>
      <c r="AQ701">
        <v>124</v>
      </c>
      <c r="AT701" s="1">
        <v>0.1646586345381526</v>
      </c>
      <c r="AU701" s="1">
        <v>0.87951807228915657</v>
      </c>
    </row>
    <row r="702" spans="1:47" x14ac:dyDescent="0.3">
      <c r="A702" t="s">
        <v>340</v>
      </c>
      <c r="B702">
        <v>0</v>
      </c>
      <c r="C702" s="1">
        <v>0.42570281124497994</v>
      </c>
      <c r="D702">
        <v>0.6224899598393574</v>
      </c>
      <c r="E702">
        <v>0.34538152610441769</v>
      </c>
      <c r="F702">
        <v>0.60642570281124497</v>
      </c>
      <c r="G702">
        <v>0</v>
      </c>
      <c r="H702">
        <v>0.89558232931726911</v>
      </c>
      <c r="I702">
        <v>0.43373493975903615</v>
      </c>
      <c r="J702">
        <v>0.67068273092369479</v>
      </c>
      <c r="K702">
        <v>0.67068273092369479</v>
      </c>
      <c r="L702">
        <v>0</v>
      </c>
      <c r="M702">
        <v>0.18473895582329317</v>
      </c>
      <c r="N702">
        <v>0.36947791164658633</v>
      </c>
      <c r="O702">
        <v>0.52208835341365467</v>
      </c>
      <c r="P702">
        <v>0.19678714859437751</v>
      </c>
      <c r="Q702">
        <v>0</v>
      </c>
      <c r="R702">
        <v>0.51004016064257029</v>
      </c>
      <c r="S702">
        <v>0.65461847389558236</v>
      </c>
      <c r="T702">
        <v>0.40963855421686746</v>
      </c>
      <c r="U702">
        <v>0.63052208835341361</v>
      </c>
      <c r="V702">
        <v>0</v>
      </c>
      <c r="W702">
        <v>0.15662650602409639</v>
      </c>
      <c r="X702">
        <v>0.11646586345381527</v>
      </c>
      <c r="Y702">
        <v>0.54618473895582331</v>
      </c>
      <c r="Z702">
        <v>0.10040160642570281</v>
      </c>
      <c r="AA702">
        <v>0</v>
      </c>
      <c r="AB702">
        <v>0.45783132530120479</v>
      </c>
      <c r="AC702">
        <v>0.75100401606425704</v>
      </c>
      <c r="AD702">
        <v>0.31726907630522089</v>
      </c>
      <c r="AE702">
        <v>0.54216867469879515</v>
      </c>
      <c r="AF702">
        <v>0</v>
      </c>
      <c r="AG702">
        <v>0.30120481927710846</v>
      </c>
      <c r="AH702">
        <v>0.49799196787148592</v>
      </c>
      <c r="AI702">
        <v>0.42168674698795183</v>
      </c>
      <c r="AJ702">
        <v>0.40562248995983935</v>
      </c>
      <c r="AL702" s="1">
        <v>0.36546184738955823</v>
      </c>
      <c r="AN702" t="s">
        <v>267</v>
      </c>
      <c r="AO702">
        <v>85</v>
      </c>
      <c r="AP702" s="2">
        <v>0.47666666666666668</v>
      </c>
      <c r="AQ702">
        <v>158</v>
      </c>
      <c r="AT702" s="1">
        <v>0.60642570281124497</v>
      </c>
      <c r="AU702" s="1">
        <v>0.55421686746987953</v>
      </c>
    </row>
    <row r="703" spans="1:47" x14ac:dyDescent="0.3">
      <c r="A703" t="s">
        <v>341</v>
      </c>
      <c r="B703">
        <v>0</v>
      </c>
      <c r="C703" s="1">
        <v>0.2289156626506024</v>
      </c>
      <c r="D703">
        <v>0.43775100401606426</v>
      </c>
      <c r="E703">
        <v>4.0160642570281121E-3</v>
      </c>
      <c r="F703">
        <v>0.19277108433734941</v>
      </c>
      <c r="G703">
        <v>0</v>
      </c>
      <c r="H703">
        <v>4.0160642570281121E-3</v>
      </c>
      <c r="I703">
        <v>0.12449799196787148</v>
      </c>
      <c r="J703">
        <v>0.18072289156626506</v>
      </c>
      <c r="K703">
        <v>5.6224899598393573E-2</v>
      </c>
      <c r="L703">
        <v>0</v>
      </c>
      <c r="M703">
        <v>6.0240963855421686E-2</v>
      </c>
      <c r="N703">
        <v>6.0240963855421686E-2</v>
      </c>
      <c r="O703">
        <v>4.4176706827309238E-2</v>
      </c>
      <c r="P703">
        <v>3.2128514056224897E-2</v>
      </c>
      <c r="Q703">
        <v>0</v>
      </c>
      <c r="R703">
        <v>0.45381526104417669</v>
      </c>
      <c r="S703">
        <v>0.47791164658634538</v>
      </c>
      <c r="T703">
        <v>1.2048192771084338E-2</v>
      </c>
      <c r="U703">
        <v>0.36947791164658633</v>
      </c>
      <c r="V703">
        <v>0</v>
      </c>
      <c r="W703">
        <v>0.97590361445783136</v>
      </c>
      <c r="X703">
        <v>0.96787148594377514</v>
      </c>
      <c r="Y703">
        <v>0.14859437751004015</v>
      </c>
      <c r="Z703">
        <v>0.93574297188755018</v>
      </c>
      <c r="AA703">
        <v>0</v>
      </c>
      <c r="AB703">
        <v>0.50602409638554213</v>
      </c>
      <c r="AC703">
        <v>0.1646586345381526</v>
      </c>
      <c r="AD703">
        <v>4.0160642570281121E-3</v>
      </c>
      <c r="AE703">
        <v>4.0160642570281121E-3</v>
      </c>
      <c r="AF703">
        <v>0</v>
      </c>
      <c r="AG703">
        <v>0.11244979919678715</v>
      </c>
      <c r="AH703">
        <v>0.14056224899598393</v>
      </c>
      <c r="AI703">
        <v>4.0160642570281121E-3</v>
      </c>
      <c r="AJ703">
        <v>4.8192771084337352E-2</v>
      </c>
      <c r="AL703" s="1">
        <v>0.11646586345381527</v>
      </c>
      <c r="AN703" t="s">
        <v>53</v>
      </c>
      <c r="AO703">
        <v>23</v>
      </c>
      <c r="AP703" s="2">
        <v>0.28999999999999998</v>
      </c>
      <c r="AQ703">
        <v>214</v>
      </c>
      <c r="AT703" s="1">
        <v>0.99598393574297184</v>
      </c>
      <c r="AU703" s="1">
        <v>8.4337349397590355E-2</v>
      </c>
    </row>
    <row r="704" spans="1:47" x14ac:dyDescent="0.3">
      <c r="A704" t="s">
        <v>342</v>
      </c>
      <c r="B704">
        <v>0</v>
      </c>
      <c r="C704" s="1">
        <v>0.84337349397590367</v>
      </c>
      <c r="D704">
        <v>0.92369477911646591</v>
      </c>
      <c r="E704">
        <v>0.64658634538152615</v>
      </c>
      <c r="F704">
        <v>0.85140562248995988</v>
      </c>
      <c r="G704">
        <v>0</v>
      </c>
      <c r="H704">
        <v>0.72289156626506024</v>
      </c>
      <c r="I704">
        <v>0.80722891566265065</v>
      </c>
      <c r="J704">
        <v>0.77108433734939763</v>
      </c>
      <c r="K704">
        <v>0.8393574297188755</v>
      </c>
      <c r="L704">
        <v>0</v>
      </c>
      <c r="M704">
        <v>0.19277108433734941</v>
      </c>
      <c r="N704">
        <v>0.2971887550200803</v>
      </c>
      <c r="O704">
        <v>0.51004016064257029</v>
      </c>
      <c r="P704">
        <v>0.12851405622489959</v>
      </c>
      <c r="Q704">
        <v>0</v>
      </c>
      <c r="R704">
        <v>0.87550200803212852</v>
      </c>
      <c r="S704">
        <v>0.64658634538152615</v>
      </c>
      <c r="T704">
        <v>0.58634538152610438</v>
      </c>
      <c r="U704">
        <v>0.73493975903614461</v>
      </c>
      <c r="V704">
        <v>0</v>
      </c>
      <c r="W704">
        <v>5.2208835341365459E-2</v>
      </c>
      <c r="X704">
        <v>0.10441767068273092</v>
      </c>
      <c r="Y704">
        <v>0.52208835341365467</v>
      </c>
      <c r="Z704">
        <v>3.614457831325301E-2</v>
      </c>
      <c r="AA704">
        <v>0</v>
      </c>
      <c r="AB704">
        <v>0.87148594377510036</v>
      </c>
      <c r="AC704">
        <v>0.89156626506024095</v>
      </c>
      <c r="AD704">
        <v>0.44578313253012047</v>
      </c>
      <c r="AE704">
        <v>0.67871485943775101</v>
      </c>
      <c r="AF704">
        <v>0</v>
      </c>
      <c r="AG704">
        <v>0.54618473895582331</v>
      </c>
      <c r="AH704">
        <v>0.6987951807228916</v>
      </c>
      <c r="AI704">
        <v>0.60240963855421692</v>
      </c>
      <c r="AJ704">
        <v>0.52208835341365467</v>
      </c>
      <c r="AL704" s="1">
        <v>0.5662650602409639</v>
      </c>
      <c r="AN704" t="s">
        <v>60</v>
      </c>
      <c r="AO704">
        <v>76</v>
      </c>
      <c r="AP704" s="2">
        <v>0.73</v>
      </c>
      <c r="AQ704">
        <v>82</v>
      </c>
      <c r="AT704" s="1">
        <v>0.63855421686746983</v>
      </c>
      <c r="AU704" s="1">
        <v>0.58634538152610438</v>
      </c>
    </row>
    <row r="705" spans="1:47" x14ac:dyDescent="0.3">
      <c r="A705" t="s">
        <v>343</v>
      </c>
      <c r="B705">
        <v>0</v>
      </c>
      <c r="C705" s="1">
        <v>0.28514056224899598</v>
      </c>
      <c r="D705">
        <v>0.11244979919678715</v>
      </c>
      <c r="E705">
        <v>0.3534136546184739</v>
      </c>
      <c r="F705">
        <v>0.26506024096385544</v>
      </c>
      <c r="G705">
        <v>0</v>
      </c>
      <c r="H705">
        <v>4.0160642570281121E-3</v>
      </c>
      <c r="I705">
        <v>0.77108433734939763</v>
      </c>
      <c r="J705">
        <v>0.46184738955823296</v>
      </c>
      <c r="K705">
        <v>0.48995983935742971</v>
      </c>
      <c r="L705">
        <v>0</v>
      </c>
      <c r="M705">
        <v>0.23293172690763053</v>
      </c>
      <c r="N705">
        <v>0.39759036144578314</v>
      </c>
      <c r="O705">
        <v>0.34538152610441769</v>
      </c>
      <c r="P705">
        <v>0.29317269076305219</v>
      </c>
      <c r="Q705">
        <v>0</v>
      </c>
      <c r="R705">
        <v>0.70281124497991965</v>
      </c>
      <c r="S705">
        <v>0.41767068273092367</v>
      </c>
      <c r="T705">
        <v>0.26506024096385544</v>
      </c>
      <c r="U705">
        <v>0.59036144578313254</v>
      </c>
      <c r="V705">
        <v>0</v>
      </c>
      <c r="W705">
        <v>0.42570281124497994</v>
      </c>
      <c r="X705">
        <v>0.37349397590361444</v>
      </c>
      <c r="Y705">
        <v>0.61445783132530118</v>
      </c>
      <c r="Z705">
        <v>0.28514056224899598</v>
      </c>
      <c r="AA705">
        <v>0</v>
      </c>
      <c r="AB705">
        <v>0.29317269076305219</v>
      </c>
      <c r="AC705">
        <v>0.60642570281124497</v>
      </c>
      <c r="AD705">
        <v>0.4859437751004016</v>
      </c>
      <c r="AE705">
        <v>0.45783132530120479</v>
      </c>
      <c r="AF705">
        <v>0</v>
      </c>
      <c r="AG705">
        <v>0.26907630522088355</v>
      </c>
      <c r="AH705">
        <v>0.18875502008032127</v>
      </c>
      <c r="AI705">
        <v>0.33333333333333331</v>
      </c>
      <c r="AJ705">
        <v>0.24096385542168675</v>
      </c>
      <c r="AL705" s="1">
        <v>0.29317269076305219</v>
      </c>
      <c r="AN705" t="s">
        <v>73</v>
      </c>
      <c r="AO705">
        <v>30</v>
      </c>
      <c r="AP705" s="2">
        <v>0.39</v>
      </c>
      <c r="AQ705">
        <v>184</v>
      </c>
      <c r="AT705" s="1">
        <v>0.10843373493975904</v>
      </c>
      <c r="AU705" s="1">
        <v>0.22489959839357429</v>
      </c>
    </row>
    <row r="706" spans="1:47" x14ac:dyDescent="0.3">
      <c r="A706" t="s">
        <v>344</v>
      </c>
      <c r="B706">
        <v>0</v>
      </c>
      <c r="C706" s="1">
        <v>0.83534136546184734</v>
      </c>
      <c r="D706">
        <v>0.4859437751004016</v>
      </c>
      <c r="E706">
        <v>1</v>
      </c>
      <c r="F706">
        <v>0.71887550200803207</v>
      </c>
      <c r="G706">
        <v>0</v>
      </c>
      <c r="H706">
        <v>0.95983935742971882</v>
      </c>
      <c r="I706">
        <v>0.96787148594377514</v>
      </c>
      <c r="J706">
        <v>0.80722891566265065</v>
      </c>
      <c r="K706">
        <v>0.98795180722891562</v>
      </c>
      <c r="L706">
        <v>0</v>
      </c>
      <c r="M706">
        <v>0.91164658634538154</v>
      </c>
      <c r="N706">
        <v>0.73493975903614461</v>
      </c>
      <c r="O706">
        <v>0.5381526104417671</v>
      </c>
      <c r="P706">
        <v>0.76305220883534142</v>
      </c>
      <c r="Q706">
        <v>0</v>
      </c>
      <c r="R706">
        <v>0.88353413654618473</v>
      </c>
      <c r="S706">
        <v>0.86345381526104414</v>
      </c>
      <c r="T706">
        <v>0.98795180722891562</v>
      </c>
      <c r="U706">
        <v>0.91967871485943775</v>
      </c>
      <c r="V706">
        <v>0</v>
      </c>
      <c r="W706">
        <v>0.59437751004016059</v>
      </c>
      <c r="X706">
        <v>0.51807228915662651</v>
      </c>
      <c r="Y706">
        <v>0.36546184738955823</v>
      </c>
      <c r="Z706">
        <v>0.49397590361445781</v>
      </c>
      <c r="AA706">
        <v>0</v>
      </c>
      <c r="AB706">
        <v>0.95983935742971882</v>
      </c>
      <c r="AC706">
        <v>0.94779116465863456</v>
      </c>
      <c r="AD706">
        <v>0.99196787148594379</v>
      </c>
      <c r="AE706">
        <v>0.93172690763052213</v>
      </c>
      <c r="AF706">
        <v>0</v>
      </c>
      <c r="AG706">
        <v>0.91566265060240959</v>
      </c>
      <c r="AH706">
        <v>0.55823293172690758</v>
      </c>
      <c r="AI706">
        <v>0.94377510040160639</v>
      </c>
      <c r="AJ706">
        <v>0.83534136546184734</v>
      </c>
      <c r="AL706" s="1">
        <v>0.9718875502008032</v>
      </c>
      <c r="AN706" t="s">
        <v>64</v>
      </c>
      <c r="AO706">
        <v>81</v>
      </c>
      <c r="AP706" s="2">
        <v>0.9966666666666667</v>
      </c>
      <c r="AQ706">
        <v>2</v>
      </c>
      <c r="AT706" s="1">
        <v>0.34538152610441769</v>
      </c>
      <c r="AU706" s="1">
        <v>0.87148594377510036</v>
      </c>
    </row>
    <row r="707" spans="1:47" x14ac:dyDescent="0.3">
      <c r="A707" t="s">
        <v>345</v>
      </c>
      <c r="B707">
        <v>0</v>
      </c>
      <c r="C707" s="1">
        <v>0.50602409638554213</v>
      </c>
      <c r="D707">
        <v>0.82730923694779113</v>
      </c>
      <c r="E707">
        <v>0.8393574297188755</v>
      </c>
      <c r="F707">
        <v>0.69076305220883538</v>
      </c>
      <c r="G707">
        <v>0</v>
      </c>
      <c r="H707">
        <v>4.0160642570281121E-3</v>
      </c>
      <c r="I707">
        <v>0.43373493975903615</v>
      </c>
      <c r="J707">
        <v>0.78714859437751006</v>
      </c>
      <c r="K707">
        <v>0.2289156626506024</v>
      </c>
      <c r="L707">
        <v>0</v>
      </c>
      <c r="M707">
        <v>0.80321285140562249</v>
      </c>
      <c r="N707">
        <v>0.96787148594377514</v>
      </c>
      <c r="O707">
        <v>0.94377510040160639</v>
      </c>
      <c r="P707">
        <v>0.76305220883534142</v>
      </c>
      <c r="Q707">
        <v>0</v>
      </c>
      <c r="R707">
        <v>0.17670682730923695</v>
      </c>
      <c r="S707">
        <v>0.18072289156626506</v>
      </c>
      <c r="T707">
        <v>0.2289156626506024</v>
      </c>
      <c r="U707">
        <v>9.2369477911646583E-2</v>
      </c>
      <c r="V707">
        <v>0</v>
      </c>
      <c r="W707">
        <v>0.38554216867469882</v>
      </c>
      <c r="X707">
        <v>0.91164658634538154</v>
      </c>
      <c r="Y707">
        <v>0.95180722891566261</v>
      </c>
      <c r="Z707">
        <v>0.60642570281124497</v>
      </c>
      <c r="AA707">
        <v>0</v>
      </c>
      <c r="AB707">
        <v>2.8112449799196786E-2</v>
      </c>
      <c r="AC707">
        <v>0.37349397590361444</v>
      </c>
      <c r="AD707">
        <v>0.83132530120481929</v>
      </c>
      <c r="AE707">
        <v>0.95582329317269077</v>
      </c>
      <c r="AF707">
        <v>0</v>
      </c>
      <c r="AG707">
        <v>0.61445783132530118</v>
      </c>
      <c r="AH707">
        <v>0.97590361445783136</v>
      </c>
      <c r="AI707">
        <v>0.96385542168674698</v>
      </c>
      <c r="AJ707">
        <v>0.81927710843373491</v>
      </c>
      <c r="AL707" s="1">
        <v>0.44176706827309237</v>
      </c>
      <c r="AN707" t="s">
        <v>81</v>
      </c>
      <c r="AO707">
        <v>36</v>
      </c>
      <c r="AP707" s="2">
        <v>0.37666666666666665</v>
      </c>
      <c r="AQ707">
        <v>188</v>
      </c>
      <c r="AT707" s="1">
        <v>3.614457831325301E-2</v>
      </c>
      <c r="AU707" s="1">
        <v>0.95180722891566261</v>
      </c>
    </row>
    <row r="708" spans="1:47" x14ac:dyDescent="0.3">
      <c r="A708" t="s">
        <v>346</v>
      </c>
      <c r="B708">
        <v>0</v>
      </c>
      <c r="C708" s="1">
        <v>0.60240963855421692</v>
      </c>
      <c r="D708">
        <v>0.40160642570281124</v>
      </c>
      <c r="E708">
        <v>0.19277108433734941</v>
      </c>
      <c r="F708">
        <v>0.43373493975903615</v>
      </c>
      <c r="G708">
        <v>0</v>
      </c>
      <c r="H708">
        <v>0.33333333333333331</v>
      </c>
      <c r="I708">
        <v>0.25702811244979917</v>
      </c>
      <c r="J708">
        <v>0.49799196787148592</v>
      </c>
      <c r="K708">
        <v>0.24497991967871485</v>
      </c>
      <c r="L708">
        <v>0</v>
      </c>
      <c r="M708">
        <v>0.30120481927710846</v>
      </c>
      <c r="N708">
        <v>0.45783132530120479</v>
      </c>
      <c r="O708">
        <v>0.58232931726907633</v>
      </c>
      <c r="P708">
        <v>0.40562248995983935</v>
      </c>
      <c r="Q708">
        <v>0</v>
      </c>
      <c r="R708">
        <v>0.79919678714859432</v>
      </c>
      <c r="S708">
        <v>0.75903614457831325</v>
      </c>
      <c r="T708">
        <v>0.37349397590361444</v>
      </c>
      <c r="U708">
        <v>0.72289156626506024</v>
      </c>
      <c r="V708">
        <v>0</v>
      </c>
      <c r="W708">
        <v>0.46987951807228917</v>
      </c>
      <c r="X708">
        <v>0.36546184738955823</v>
      </c>
      <c r="Y708">
        <v>0.83132530120481929</v>
      </c>
      <c r="Z708">
        <v>0.37349397590361444</v>
      </c>
      <c r="AA708">
        <v>0</v>
      </c>
      <c r="AB708">
        <v>0.77911646586345384</v>
      </c>
      <c r="AC708">
        <v>0.15662650602409639</v>
      </c>
      <c r="AD708">
        <v>9.6385542168674704E-2</v>
      </c>
      <c r="AE708">
        <v>0.31325301204819278</v>
      </c>
      <c r="AF708">
        <v>0</v>
      </c>
      <c r="AG708">
        <v>0.47791164658634538</v>
      </c>
      <c r="AH708">
        <v>0.41365461847389556</v>
      </c>
      <c r="AI708">
        <v>0.32128514056224899</v>
      </c>
      <c r="AJ708">
        <v>0.39357429718875503</v>
      </c>
      <c r="AL708" s="1">
        <v>0.42971887550200805</v>
      </c>
      <c r="AN708" t="s">
        <v>347</v>
      </c>
      <c r="AO708">
        <v>72</v>
      </c>
      <c r="AP708" s="2">
        <v>0.6166666666666667</v>
      </c>
      <c r="AQ708">
        <v>116</v>
      </c>
      <c r="AT708" s="1">
        <v>0.54216867469879515</v>
      </c>
      <c r="AU708" s="1">
        <v>0.17269076305220885</v>
      </c>
    </row>
    <row r="709" spans="1:47" x14ac:dyDescent="0.3">
      <c r="A709" t="s">
        <v>348</v>
      </c>
      <c r="B709">
        <v>0</v>
      </c>
      <c r="C709" s="1">
        <v>0.40562248995983935</v>
      </c>
      <c r="D709">
        <v>8.8353413654618476E-2</v>
      </c>
      <c r="E709">
        <v>0.8393574297188755</v>
      </c>
      <c r="F709">
        <v>0.2289156626506024</v>
      </c>
      <c r="G709">
        <v>0</v>
      </c>
      <c r="H709">
        <v>0.37349397590361444</v>
      </c>
      <c r="I709">
        <v>0.73895582329317266</v>
      </c>
      <c r="J709">
        <v>0.78714859437751006</v>
      </c>
      <c r="K709">
        <v>0.67068273092369479</v>
      </c>
      <c r="L709">
        <v>0</v>
      </c>
      <c r="M709">
        <v>0.86746987951807231</v>
      </c>
      <c r="N709">
        <v>0.79518072289156627</v>
      </c>
      <c r="O709">
        <v>0.4859437751004016</v>
      </c>
      <c r="P709">
        <v>0.86345381526104414</v>
      </c>
      <c r="Q709">
        <v>0</v>
      </c>
      <c r="R709">
        <v>0.1606425702811245</v>
      </c>
      <c r="S709">
        <v>0.18072289156626506</v>
      </c>
      <c r="T709">
        <v>0.39357429718875503</v>
      </c>
      <c r="U709">
        <v>0.12449799196787148</v>
      </c>
      <c r="V709">
        <v>0</v>
      </c>
      <c r="W709">
        <v>0.47389558232931728</v>
      </c>
      <c r="X709">
        <v>0.5662650602409639</v>
      </c>
      <c r="Y709">
        <v>0.30923694779116467</v>
      </c>
      <c r="Z709">
        <v>0.65461847389558236</v>
      </c>
      <c r="AA709">
        <v>0</v>
      </c>
      <c r="AB709">
        <v>0.2971887550200803</v>
      </c>
      <c r="AC709">
        <v>8.4337349397590355E-2</v>
      </c>
      <c r="AD709">
        <v>0.93574297188755018</v>
      </c>
      <c r="AE709">
        <v>0.59839357429718876</v>
      </c>
      <c r="AF709">
        <v>0</v>
      </c>
      <c r="AG709">
        <v>0.63052208835341361</v>
      </c>
      <c r="AH709">
        <v>0.32931726907630521</v>
      </c>
      <c r="AI709">
        <v>0.69076305220883538</v>
      </c>
      <c r="AJ709">
        <v>0.49799196787148592</v>
      </c>
      <c r="AL709" s="1">
        <v>0.52610441767068272</v>
      </c>
      <c r="AN709" t="s">
        <v>64</v>
      </c>
      <c r="AO709">
        <v>82</v>
      </c>
      <c r="AP709" s="2">
        <v>0.54</v>
      </c>
      <c r="AQ709">
        <v>139</v>
      </c>
      <c r="AT709" s="1">
        <v>0.38955823293172692</v>
      </c>
      <c r="AU709" s="1">
        <v>0.87148594377510036</v>
      </c>
    </row>
    <row r="710" spans="1:47" x14ac:dyDescent="0.3">
      <c r="A710" t="s">
        <v>349</v>
      </c>
      <c r="B710">
        <v>0</v>
      </c>
      <c r="C710" s="1">
        <v>0.18473895582329317</v>
      </c>
      <c r="D710">
        <v>0.49799196787148592</v>
      </c>
      <c r="E710">
        <v>0.18473895582329317</v>
      </c>
      <c r="F710">
        <v>0.22088353413654618</v>
      </c>
      <c r="G710">
        <v>0</v>
      </c>
      <c r="H710">
        <v>0.72289156626506024</v>
      </c>
      <c r="I710">
        <v>8.8353413654618476E-2</v>
      </c>
      <c r="J710">
        <v>4.0160642570281121E-3</v>
      </c>
      <c r="K710">
        <v>0.17670682730923695</v>
      </c>
      <c r="L710">
        <v>0</v>
      </c>
      <c r="M710">
        <v>0.40963855421686746</v>
      </c>
      <c r="N710">
        <v>0.10441767068273092</v>
      </c>
      <c r="O710">
        <v>0.66265060240963858</v>
      </c>
      <c r="P710">
        <v>0.24899598393574296</v>
      </c>
      <c r="Q710">
        <v>0</v>
      </c>
      <c r="R710">
        <v>4.0160642570281121E-3</v>
      </c>
      <c r="S710">
        <v>0.12449799196787148</v>
      </c>
      <c r="T710">
        <v>0.18473895582329317</v>
      </c>
      <c r="U710">
        <v>2.4096385542168676E-2</v>
      </c>
      <c r="V710">
        <v>0</v>
      </c>
      <c r="W710">
        <v>8.0321285140562242E-3</v>
      </c>
      <c r="X710">
        <v>2.8112449799196786E-2</v>
      </c>
      <c r="Y710">
        <v>0.80722891566265065</v>
      </c>
      <c r="Z710">
        <v>1.6064257028112448E-2</v>
      </c>
      <c r="AA710">
        <v>0</v>
      </c>
      <c r="AB710">
        <v>0.30923694779116467</v>
      </c>
      <c r="AC710">
        <v>0.77108433734939763</v>
      </c>
      <c r="AD710">
        <v>0.27309236947791166</v>
      </c>
      <c r="AE710">
        <v>0.47389558232931728</v>
      </c>
      <c r="AF710">
        <v>0</v>
      </c>
      <c r="AG710">
        <v>0.24096385542168675</v>
      </c>
      <c r="AH710">
        <v>0.26506024096385544</v>
      </c>
      <c r="AI710">
        <v>0.38152610441767071</v>
      </c>
      <c r="AJ710">
        <v>0.17670682730923695</v>
      </c>
      <c r="AL710" s="1">
        <v>8.4337349397590355E-2</v>
      </c>
      <c r="AN710" t="s">
        <v>68</v>
      </c>
      <c r="AO710">
        <v>16</v>
      </c>
      <c r="AP710" s="2">
        <v>0.24666666666666667</v>
      </c>
      <c r="AQ710">
        <v>227</v>
      </c>
      <c r="AT710" s="1">
        <v>0.73092369477911645</v>
      </c>
      <c r="AU710" s="1">
        <v>0.19678714859437751</v>
      </c>
    </row>
    <row r="711" spans="1:47" x14ac:dyDescent="0.3">
      <c r="A711" t="s">
        <v>350</v>
      </c>
      <c r="B711">
        <v>0</v>
      </c>
      <c r="C711" s="1">
        <v>0.6987951807228916</v>
      </c>
      <c r="D711">
        <v>0.69477911646586343</v>
      </c>
      <c r="E711">
        <v>0.32128514056224899</v>
      </c>
      <c r="F711">
        <v>0.69076305220883538</v>
      </c>
      <c r="G711">
        <v>0</v>
      </c>
      <c r="H711">
        <v>0.18875502008032127</v>
      </c>
      <c r="I711">
        <v>0.14056224899598393</v>
      </c>
      <c r="J711">
        <v>0.46184738955823296</v>
      </c>
      <c r="K711">
        <v>0.12048192771084337</v>
      </c>
      <c r="L711">
        <v>0</v>
      </c>
      <c r="M711">
        <v>0.21686746987951808</v>
      </c>
      <c r="N711">
        <v>0.26104417670682734</v>
      </c>
      <c r="O711">
        <v>0.40160642570281124</v>
      </c>
      <c r="P711">
        <v>0.33333333333333331</v>
      </c>
      <c r="Q711">
        <v>0</v>
      </c>
      <c r="R711">
        <v>0.47791164658634538</v>
      </c>
      <c r="S711">
        <v>0.10843373493975904</v>
      </c>
      <c r="T711">
        <v>0.39357429718875503</v>
      </c>
      <c r="U711">
        <v>0.26104417670682734</v>
      </c>
      <c r="V711">
        <v>0</v>
      </c>
      <c r="W711">
        <v>0.13654618473895583</v>
      </c>
      <c r="X711">
        <v>9.6385542168674704E-2</v>
      </c>
      <c r="Y711">
        <v>0.23293172690763053</v>
      </c>
      <c r="Z711">
        <v>0.23293172690763053</v>
      </c>
      <c r="AA711">
        <v>0</v>
      </c>
      <c r="AB711">
        <v>0.2289156626506024</v>
      </c>
      <c r="AC711">
        <v>0.54216867469879515</v>
      </c>
      <c r="AD711">
        <v>0.35742971887550201</v>
      </c>
      <c r="AE711">
        <v>0.52610441767068272</v>
      </c>
      <c r="AF711">
        <v>0</v>
      </c>
      <c r="AG711">
        <v>0.48995983935742971</v>
      </c>
      <c r="AH711">
        <v>0.48192771084337349</v>
      </c>
      <c r="AI711">
        <v>0.34538152610441769</v>
      </c>
      <c r="AJ711">
        <v>0.53012048192771088</v>
      </c>
      <c r="AL711" s="1">
        <v>0.2289156626506024</v>
      </c>
      <c r="AN711" t="s">
        <v>60</v>
      </c>
      <c r="AO711">
        <v>46</v>
      </c>
      <c r="AP711" s="2">
        <v>0.33666666666666667</v>
      </c>
      <c r="AQ711">
        <v>200</v>
      </c>
      <c r="AT711" s="1">
        <v>0.18875502008032127</v>
      </c>
      <c r="AU711" s="1">
        <v>0.37349397590361444</v>
      </c>
    </row>
    <row r="712" spans="1:47" x14ac:dyDescent="0.3">
      <c r="A712" t="s">
        <v>351</v>
      </c>
      <c r="B712">
        <v>0</v>
      </c>
      <c r="C712" s="1">
        <v>0.67871485943775101</v>
      </c>
      <c r="D712">
        <v>0.1606425702811245</v>
      </c>
      <c r="E712">
        <v>0.97590361445783136</v>
      </c>
      <c r="F712">
        <v>0.63052208835341361</v>
      </c>
      <c r="G712">
        <v>0</v>
      </c>
      <c r="H712">
        <v>1</v>
      </c>
      <c r="I712">
        <v>0.65863453815261042</v>
      </c>
      <c r="J712">
        <v>0.98795180722891562</v>
      </c>
      <c r="K712">
        <v>0.96787148594377514</v>
      </c>
      <c r="L712">
        <v>0</v>
      </c>
      <c r="M712">
        <v>0.50602409638554213</v>
      </c>
      <c r="N712">
        <v>0.98393574297188757</v>
      </c>
      <c r="O712">
        <v>1.2048192771084338E-2</v>
      </c>
      <c r="P712">
        <v>0.8875502008032129</v>
      </c>
      <c r="Q712">
        <v>0</v>
      </c>
      <c r="R712">
        <v>0.98795180722891562</v>
      </c>
      <c r="S712">
        <v>0.94779116465863456</v>
      </c>
      <c r="T712">
        <v>0.99598393574297184</v>
      </c>
      <c r="U712">
        <v>1</v>
      </c>
      <c r="V712">
        <v>0</v>
      </c>
      <c r="W712">
        <v>1</v>
      </c>
      <c r="X712">
        <v>1</v>
      </c>
      <c r="Y712">
        <v>0.44176706827309237</v>
      </c>
      <c r="Z712">
        <v>1</v>
      </c>
      <c r="AA712">
        <v>0</v>
      </c>
      <c r="AB712">
        <v>0.93975903614457834</v>
      </c>
      <c r="AC712">
        <v>0.91967871485943775</v>
      </c>
      <c r="AD712">
        <v>0.95582329317269077</v>
      </c>
      <c r="AE712">
        <v>0.11646586345381527</v>
      </c>
      <c r="AF712">
        <v>0</v>
      </c>
      <c r="AG712">
        <v>0.55020080321285136</v>
      </c>
      <c r="AH712">
        <v>0.73092369477911645</v>
      </c>
      <c r="AI712">
        <v>0.29317269076305219</v>
      </c>
      <c r="AJ712">
        <v>0.86345381526104414</v>
      </c>
      <c r="AL712" s="1">
        <v>0.94377510040160639</v>
      </c>
      <c r="AN712" t="s">
        <v>74</v>
      </c>
      <c r="AO712">
        <v>13</v>
      </c>
      <c r="AP712" s="2">
        <v>0.97333333333333338</v>
      </c>
      <c r="AQ712">
        <v>9</v>
      </c>
      <c r="AT712" s="1">
        <v>0.99598393574297184</v>
      </c>
      <c r="AU712" s="1">
        <v>4.0160642570281121E-3</v>
      </c>
    </row>
    <row r="713" spans="1:47" x14ac:dyDescent="0.3">
      <c r="A713" t="s">
        <v>352</v>
      </c>
      <c r="B713">
        <v>0</v>
      </c>
      <c r="C713" s="1">
        <v>0.13654618473895583</v>
      </c>
      <c r="D713">
        <v>0.25702811244979917</v>
      </c>
      <c r="E713">
        <v>0.60642570281124497</v>
      </c>
      <c r="F713">
        <v>0.20883534136546184</v>
      </c>
      <c r="G713">
        <v>0</v>
      </c>
      <c r="H713">
        <v>0.85140562248995988</v>
      </c>
      <c r="I713">
        <v>0.2289156626506024</v>
      </c>
      <c r="J713">
        <v>0.42971887550200805</v>
      </c>
      <c r="K713">
        <v>0.44979919678714858</v>
      </c>
      <c r="L713">
        <v>0</v>
      </c>
      <c r="M713">
        <v>0.24497991967871485</v>
      </c>
      <c r="N713">
        <v>0.63052208835341361</v>
      </c>
      <c r="O713">
        <v>0.75502008032128509</v>
      </c>
      <c r="P713">
        <v>0.41365461847389556</v>
      </c>
      <c r="Q713">
        <v>0</v>
      </c>
      <c r="R713">
        <v>9.6385542168674704E-2</v>
      </c>
      <c r="S713">
        <v>4.4176706827309238E-2</v>
      </c>
      <c r="T713">
        <v>0.31325301204819278</v>
      </c>
      <c r="U713">
        <v>5.2208835341365459E-2</v>
      </c>
      <c r="V713">
        <v>0</v>
      </c>
      <c r="W713">
        <v>0.30522088353413657</v>
      </c>
      <c r="X713">
        <v>0.54618473895582331</v>
      </c>
      <c r="Y713">
        <v>0.4859437751004016</v>
      </c>
      <c r="Z713">
        <v>0.37349397590361444</v>
      </c>
      <c r="AA713">
        <v>0</v>
      </c>
      <c r="AB713">
        <v>0.43775100401606426</v>
      </c>
      <c r="AC713">
        <v>6.4257028112449793E-2</v>
      </c>
      <c r="AD713">
        <v>0.8875502008032129</v>
      </c>
      <c r="AE713">
        <v>0.92369477911646591</v>
      </c>
      <c r="AF713">
        <v>0</v>
      </c>
      <c r="AG713">
        <v>0.1646586345381526</v>
      </c>
      <c r="AH713">
        <v>0.39759036144578314</v>
      </c>
      <c r="AI713">
        <v>0.76706827309236947</v>
      </c>
      <c r="AJ713">
        <v>0.26506024096385544</v>
      </c>
      <c r="AL713" s="1">
        <v>0.12851405622489959</v>
      </c>
      <c r="AN713" t="s">
        <v>76</v>
      </c>
      <c r="AO713">
        <v>59</v>
      </c>
      <c r="AP713" s="2">
        <v>0.30666666666666664</v>
      </c>
      <c r="AQ713">
        <v>209</v>
      </c>
      <c r="AT713" s="1">
        <v>0.38955823293172692</v>
      </c>
      <c r="AU713" s="1">
        <v>0.42971887550200805</v>
      </c>
    </row>
    <row r="849" spans="4:42" x14ac:dyDescent="0.3">
      <c r="D849"/>
      <c r="E849"/>
      <c r="F849"/>
      <c r="H849"/>
      <c r="I849"/>
      <c r="J849"/>
      <c r="K849"/>
      <c r="M849"/>
      <c r="N849"/>
      <c r="O849"/>
      <c r="P849"/>
      <c r="R849"/>
      <c r="S849"/>
      <c r="T849"/>
      <c r="U849"/>
      <c r="W849"/>
      <c r="X849"/>
      <c r="Y849"/>
      <c r="Z849"/>
      <c r="AB849"/>
      <c r="AC849"/>
      <c r="AD849"/>
      <c r="AE849"/>
      <c r="AG849"/>
      <c r="AH849"/>
      <c r="AI849"/>
      <c r="AJ849"/>
      <c r="AL849" s="1"/>
      <c r="AP849" s="2"/>
    </row>
    <row r="850" spans="4:42" x14ac:dyDescent="0.3">
      <c r="D850"/>
      <c r="E850"/>
      <c r="F850"/>
      <c r="H850"/>
      <c r="I850"/>
      <c r="J850"/>
      <c r="K850"/>
      <c r="M850"/>
      <c r="N850"/>
      <c r="O850"/>
      <c r="P850"/>
      <c r="R850"/>
      <c r="S850"/>
      <c r="T850"/>
      <c r="U850"/>
      <c r="W850"/>
      <c r="X850"/>
      <c r="Y850"/>
      <c r="Z850"/>
      <c r="AB850"/>
      <c r="AC850"/>
      <c r="AD850"/>
      <c r="AE850"/>
      <c r="AG850"/>
      <c r="AH850"/>
      <c r="AI850"/>
      <c r="AJ850"/>
      <c r="AL850" s="1"/>
      <c r="AP850" s="2"/>
    </row>
    <row r="851" spans="4:42" x14ac:dyDescent="0.3">
      <c r="D851"/>
      <c r="E851"/>
      <c r="F851"/>
      <c r="H851"/>
      <c r="I851"/>
      <c r="J851"/>
      <c r="K851"/>
      <c r="M851"/>
      <c r="N851"/>
      <c r="O851"/>
      <c r="P851"/>
      <c r="R851"/>
      <c r="S851"/>
      <c r="T851"/>
      <c r="U851"/>
      <c r="W851"/>
      <c r="X851"/>
      <c r="Y851"/>
      <c r="Z851"/>
      <c r="AB851"/>
      <c r="AC851"/>
      <c r="AD851"/>
      <c r="AE851"/>
      <c r="AG851"/>
      <c r="AH851"/>
      <c r="AI851"/>
      <c r="AJ851"/>
      <c r="AL851" s="1"/>
      <c r="AP851" s="2"/>
    </row>
    <row r="852" spans="4:42" x14ac:dyDescent="0.3">
      <c r="D852"/>
      <c r="E852"/>
      <c r="F852"/>
      <c r="H852"/>
      <c r="I852"/>
      <c r="J852"/>
      <c r="K852"/>
      <c r="M852"/>
      <c r="N852"/>
      <c r="O852"/>
      <c r="P852"/>
      <c r="R852"/>
      <c r="S852"/>
      <c r="T852"/>
      <c r="U852"/>
      <c r="W852"/>
      <c r="X852"/>
      <c r="Y852"/>
      <c r="Z852"/>
      <c r="AB852"/>
      <c r="AC852"/>
      <c r="AD852"/>
      <c r="AE852"/>
      <c r="AG852"/>
      <c r="AH852"/>
      <c r="AI852"/>
      <c r="AJ852"/>
      <c r="AL852" s="1"/>
      <c r="AP852" s="2"/>
    </row>
    <row r="853" spans="4:42" x14ac:dyDescent="0.3">
      <c r="D853"/>
      <c r="E853"/>
      <c r="F853"/>
      <c r="H853"/>
      <c r="I853"/>
      <c r="J853"/>
      <c r="K853"/>
      <c r="M853"/>
      <c r="N853"/>
      <c r="O853"/>
      <c r="P853"/>
      <c r="R853"/>
      <c r="S853"/>
      <c r="T853"/>
      <c r="U853"/>
      <c r="W853"/>
      <c r="X853"/>
      <c r="Y853"/>
      <c r="Z853"/>
      <c r="AB853"/>
      <c r="AC853"/>
      <c r="AD853"/>
      <c r="AE853"/>
      <c r="AG853"/>
      <c r="AH853"/>
      <c r="AI853"/>
      <c r="AJ853"/>
      <c r="AL853" s="1"/>
      <c r="AP853" s="2"/>
    </row>
    <row r="854" spans="4:42" x14ac:dyDescent="0.3">
      <c r="D854"/>
      <c r="E854"/>
      <c r="F854"/>
      <c r="H854"/>
      <c r="I854"/>
      <c r="J854"/>
      <c r="K854"/>
      <c r="M854"/>
      <c r="N854"/>
      <c r="O854"/>
      <c r="P854"/>
      <c r="R854"/>
      <c r="S854"/>
      <c r="T854"/>
      <c r="U854"/>
      <c r="W854"/>
      <c r="X854"/>
      <c r="Y854"/>
      <c r="Z854"/>
      <c r="AB854"/>
      <c r="AC854"/>
      <c r="AD854"/>
      <c r="AE854"/>
      <c r="AG854"/>
      <c r="AH854"/>
      <c r="AI854"/>
      <c r="AJ854"/>
      <c r="AL854" s="1"/>
      <c r="AP854" s="2"/>
    </row>
    <row r="855" spans="4:42" x14ac:dyDescent="0.3">
      <c r="D855"/>
      <c r="E855"/>
      <c r="F855"/>
      <c r="H855"/>
      <c r="I855"/>
      <c r="J855"/>
      <c r="K855"/>
      <c r="M855"/>
      <c r="N855"/>
      <c r="O855"/>
      <c r="P855"/>
      <c r="R855"/>
      <c r="S855"/>
      <c r="T855"/>
      <c r="U855"/>
      <c r="W855"/>
      <c r="X855"/>
      <c r="Y855"/>
      <c r="Z855"/>
      <c r="AB855"/>
      <c r="AC855"/>
      <c r="AD855"/>
      <c r="AE855"/>
      <c r="AG855"/>
      <c r="AH855"/>
      <c r="AI855"/>
      <c r="AJ855"/>
      <c r="AL855" s="1"/>
      <c r="AP855" s="2"/>
    </row>
    <row r="856" spans="4:42" x14ac:dyDescent="0.3">
      <c r="D856"/>
      <c r="E856"/>
      <c r="F856"/>
      <c r="H856"/>
      <c r="I856"/>
      <c r="J856"/>
      <c r="K856"/>
      <c r="M856"/>
      <c r="N856"/>
      <c r="O856"/>
      <c r="P856"/>
      <c r="R856"/>
      <c r="S856"/>
      <c r="T856"/>
      <c r="U856"/>
      <c r="W856"/>
      <c r="X856"/>
      <c r="Y856"/>
      <c r="Z856"/>
      <c r="AB856"/>
      <c r="AC856"/>
      <c r="AD856"/>
      <c r="AE856"/>
      <c r="AG856"/>
      <c r="AH856"/>
      <c r="AI856"/>
      <c r="AJ856"/>
      <c r="AL856" s="1"/>
      <c r="AP856" s="2"/>
    </row>
    <row r="857" spans="4:42" x14ac:dyDescent="0.3">
      <c r="D857"/>
      <c r="E857"/>
      <c r="F857"/>
      <c r="H857"/>
      <c r="I857"/>
      <c r="J857"/>
      <c r="K857"/>
      <c r="M857"/>
      <c r="N857"/>
      <c r="O857"/>
      <c r="P857"/>
      <c r="R857"/>
      <c r="S857"/>
      <c r="T857"/>
      <c r="U857"/>
      <c r="W857"/>
      <c r="X857"/>
      <c r="Y857"/>
      <c r="Z857"/>
      <c r="AB857"/>
      <c r="AC857"/>
      <c r="AD857"/>
      <c r="AE857"/>
      <c r="AG857"/>
      <c r="AH857"/>
      <c r="AI857"/>
      <c r="AJ857"/>
      <c r="AL857" s="1"/>
      <c r="AP857" s="2"/>
    </row>
    <row r="858" spans="4:42" x14ac:dyDescent="0.3">
      <c r="D858"/>
      <c r="E858"/>
      <c r="F858"/>
      <c r="H858"/>
      <c r="I858"/>
      <c r="J858"/>
      <c r="K858"/>
      <c r="M858"/>
      <c r="N858"/>
      <c r="O858"/>
      <c r="P858"/>
      <c r="R858"/>
      <c r="S858"/>
      <c r="T858"/>
      <c r="U858"/>
      <c r="W858"/>
      <c r="X858"/>
      <c r="Y858"/>
      <c r="Z858"/>
      <c r="AB858"/>
      <c r="AC858"/>
      <c r="AD858"/>
      <c r="AE858"/>
      <c r="AG858"/>
      <c r="AH858"/>
      <c r="AI858"/>
      <c r="AJ858"/>
      <c r="AL858" s="1"/>
      <c r="AP858" s="2"/>
    </row>
    <row r="859" spans="4:42" x14ac:dyDescent="0.3">
      <c r="D859"/>
      <c r="E859"/>
      <c r="F859"/>
      <c r="H859"/>
      <c r="I859"/>
      <c r="J859"/>
      <c r="K859"/>
      <c r="M859"/>
      <c r="N859"/>
      <c r="O859"/>
      <c r="P859"/>
      <c r="R859"/>
      <c r="S859"/>
      <c r="T859"/>
      <c r="U859"/>
      <c r="W859"/>
      <c r="X859"/>
      <c r="Y859"/>
      <c r="Z859"/>
      <c r="AB859"/>
      <c r="AC859"/>
      <c r="AD859"/>
      <c r="AE859"/>
      <c r="AG859"/>
      <c r="AH859"/>
      <c r="AI859"/>
      <c r="AJ859"/>
      <c r="AL859" s="1"/>
      <c r="AP859" s="2"/>
    </row>
    <row r="860" spans="4:42" x14ac:dyDescent="0.3">
      <c r="D860"/>
      <c r="E860"/>
      <c r="F860"/>
      <c r="H860"/>
      <c r="I860"/>
      <c r="J860"/>
      <c r="K860"/>
      <c r="M860"/>
      <c r="N860"/>
      <c r="O860"/>
      <c r="P860"/>
      <c r="R860"/>
      <c r="S860"/>
      <c r="T860"/>
      <c r="U860"/>
      <c r="W860"/>
      <c r="X860"/>
      <c r="Y860"/>
      <c r="Z860"/>
      <c r="AB860"/>
      <c r="AC860"/>
      <c r="AD860"/>
      <c r="AE860"/>
      <c r="AG860"/>
      <c r="AH860"/>
      <c r="AI860"/>
      <c r="AJ860"/>
      <c r="AL860" s="1"/>
      <c r="AP860" s="2"/>
    </row>
    <row r="861" spans="4:42" x14ac:dyDescent="0.3">
      <c r="D861"/>
      <c r="E861"/>
      <c r="F861"/>
      <c r="H861"/>
      <c r="I861"/>
      <c r="J861"/>
      <c r="K861"/>
      <c r="M861"/>
      <c r="N861"/>
      <c r="O861"/>
      <c r="P861"/>
      <c r="R861"/>
      <c r="S861"/>
      <c r="T861"/>
      <c r="U861"/>
      <c r="W861"/>
      <c r="X861"/>
      <c r="Y861"/>
      <c r="Z861"/>
      <c r="AB861"/>
      <c r="AC861"/>
      <c r="AD861"/>
      <c r="AE861"/>
      <c r="AG861"/>
      <c r="AH861"/>
      <c r="AI861"/>
      <c r="AJ861"/>
      <c r="AL861" s="1"/>
      <c r="AP861" s="2"/>
    </row>
    <row r="862" spans="4:42" x14ac:dyDescent="0.3">
      <c r="D862"/>
      <c r="E862"/>
      <c r="F862"/>
      <c r="H862"/>
      <c r="I862"/>
      <c r="J862"/>
      <c r="K862"/>
      <c r="M862"/>
      <c r="N862"/>
      <c r="O862"/>
      <c r="P862"/>
      <c r="R862"/>
      <c r="S862"/>
      <c r="T862"/>
      <c r="U862"/>
      <c r="W862"/>
      <c r="X862"/>
      <c r="Y862"/>
      <c r="Z862"/>
      <c r="AB862"/>
      <c r="AC862"/>
      <c r="AD862"/>
      <c r="AE862"/>
      <c r="AG862"/>
      <c r="AH862"/>
      <c r="AI862"/>
      <c r="AJ862"/>
      <c r="AL862" s="1"/>
      <c r="AP862" s="2"/>
    </row>
    <row r="863" spans="4:42" x14ac:dyDescent="0.3">
      <c r="D863"/>
      <c r="E863"/>
      <c r="F863"/>
      <c r="H863"/>
      <c r="I863"/>
      <c r="J863"/>
      <c r="K863"/>
      <c r="M863"/>
      <c r="N863"/>
      <c r="O863"/>
      <c r="P863"/>
      <c r="R863"/>
      <c r="S863"/>
      <c r="T863"/>
      <c r="U863"/>
      <c r="W863"/>
      <c r="X863"/>
      <c r="Y863"/>
      <c r="Z863"/>
      <c r="AB863"/>
      <c r="AC863"/>
      <c r="AD863"/>
      <c r="AE863"/>
      <c r="AG863"/>
      <c r="AH863"/>
      <c r="AI863"/>
      <c r="AJ863"/>
      <c r="AL863" s="1"/>
      <c r="AP863" s="2"/>
    </row>
    <row r="864" spans="4:42" x14ac:dyDescent="0.3">
      <c r="D864"/>
      <c r="E864"/>
      <c r="F864"/>
      <c r="H864"/>
      <c r="I864"/>
      <c r="J864"/>
      <c r="K864"/>
      <c r="M864"/>
      <c r="N864"/>
      <c r="O864"/>
      <c r="P864"/>
      <c r="R864"/>
      <c r="S864"/>
      <c r="T864"/>
      <c r="U864"/>
      <c r="W864"/>
      <c r="X864"/>
      <c r="Y864"/>
      <c r="Z864"/>
      <c r="AB864"/>
      <c r="AC864"/>
      <c r="AD864"/>
      <c r="AE864"/>
      <c r="AG864"/>
      <c r="AH864"/>
      <c r="AI864"/>
      <c r="AJ864"/>
      <c r="AL864" s="1"/>
      <c r="AP864" s="2"/>
    </row>
    <row r="865" spans="4:42" x14ac:dyDescent="0.3">
      <c r="D865"/>
      <c r="E865"/>
      <c r="F865"/>
      <c r="H865"/>
      <c r="I865"/>
      <c r="J865"/>
      <c r="K865"/>
      <c r="M865"/>
      <c r="N865"/>
      <c r="O865"/>
      <c r="P865"/>
      <c r="R865"/>
      <c r="S865"/>
      <c r="T865"/>
      <c r="U865"/>
      <c r="W865"/>
      <c r="X865"/>
      <c r="Y865"/>
      <c r="Z865"/>
      <c r="AB865"/>
      <c r="AC865"/>
      <c r="AD865"/>
      <c r="AE865"/>
      <c r="AG865"/>
      <c r="AH865"/>
      <c r="AI865"/>
      <c r="AJ865"/>
      <c r="AL865" s="1"/>
      <c r="AP865" s="2"/>
    </row>
    <row r="866" spans="4:42" x14ac:dyDescent="0.3">
      <c r="D866"/>
      <c r="E866"/>
      <c r="F866"/>
      <c r="H866"/>
      <c r="I866"/>
      <c r="J866"/>
      <c r="K866"/>
      <c r="M866"/>
      <c r="N866"/>
      <c r="O866"/>
      <c r="P866"/>
      <c r="R866"/>
      <c r="S866"/>
      <c r="T866"/>
      <c r="U866"/>
      <c r="W866"/>
      <c r="X866"/>
      <c r="Y866"/>
      <c r="Z866"/>
      <c r="AB866"/>
      <c r="AC866"/>
      <c r="AD866"/>
      <c r="AE866"/>
      <c r="AG866"/>
      <c r="AH866"/>
      <c r="AI866"/>
      <c r="AJ866"/>
      <c r="AL866" s="1"/>
      <c r="AP866" s="2"/>
    </row>
    <row r="867" spans="4:42" x14ac:dyDescent="0.3">
      <c r="D867"/>
      <c r="E867"/>
      <c r="F867"/>
      <c r="H867"/>
      <c r="I867"/>
      <c r="J867"/>
      <c r="K867"/>
      <c r="M867"/>
      <c r="N867"/>
      <c r="O867"/>
      <c r="P867"/>
      <c r="R867"/>
      <c r="S867"/>
      <c r="T867"/>
      <c r="U867"/>
      <c r="W867"/>
      <c r="X867"/>
      <c r="Y867"/>
      <c r="Z867"/>
      <c r="AB867"/>
      <c r="AC867"/>
      <c r="AD867"/>
      <c r="AE867"/>
      <c r="AG867"/>
      <c r="AH867"/>
      <c r="AI867"/>
      <c r="AJ867"/>
      <c r="AL867" s="1"/>
      <c r="AP867" s="2"/>
    </row>
    <row r="868" spans="4:42" x14ac:dyDescent="0.3">
      <c r="D868"/>
      <c r="E868"/>
      <c r="F868"/>
      <c r="H868"/>
      <c r="I868"/>
      <c r="J868"/>
      <c r="K868"/>
      <c r="M868"/>
      <c r="N868"/>
      <c r="O868"/>
      <c r="P868"/>
      <c r="R868"/>
      <c r="S868"/>
      <c r="T868"/>
      <c r="U868"/>
      <c r="W868"/>
      <c r="X868"/>
      <c r="Y868"/>
      <c r="Z868"/>
      <c r="AB868"/>
      <c r="AC868"/>
      <c r="AD868"/>
      <c r="AE868"/>
      <c r="AG868"/>
      <c r="AH868"/>
      <c r="AI868"/>
      <c r="AJ868"/>
      <c r="AL868" s="1"/>
      <c r="AP868" s="2"/>
    </row>
    <row r="869" spans="4:42" x14ac:dyDescent="0.3">
      <c r="D869"/>
      <c r="E869"/>
      <c r="F869"/>
      <c r="H869"/>
      <c r="I869"/>
      <c r="J869"/>
      <c r="K869"/>
      <c r="M869"/>
      <c r="N869"/>
      <c r="O869"/>
      <c r="P869"/>
      <c r="R869"/>
      <c r="S869"/>
      <c r="T869"/>
      <c r="U869"/>
      <c r="W869"/>
      <c r="X869"/>
      <c r="Y869"/>
      <c r="Z869"/>
      <c r="AB869"/>
      <c r="AC869"/>
      <c r="AD869"/>
      <c r="AE869"/>
      <c r="AG869"/>
      <c r="AH869"/>
      <c r="AI869"/>
      <c r="AJ869"/>
      <c r="AL869" s="1"/>
      <c r="AP869" s="2"/>
    </row>
    <row r="870" spans="4:42" x14ac:dyDescent="0.3">
      <c r="D870"/>
      <c r="E870"/>
      <c r="F870"/>
      <c r="H870"/>
      <c r="I870"/>
      <c r="J870"/>
      <c r="K870"/>
      <c r="M870"/>
      <c r="N870"/>
      <c r="O870"/>
      <c r="P870"/>
      <c r="R870"/>
      <c r="S870"/>
      <c r="T870"/>
      <c r="U870"/>
      <c r="W870"/>
      <c r="X870"/>
      <c r="Y870"/>
      <c r="Z870"/>
      <c r="AB870"/>
      <c r="AC870"/>
      <c r="AD870"/>
      <c r="AE870"/>
      <c r="AG870"/>
      <c r="AH870"/>
      <c r="AI870"/>
      <c r="AJ870"/>
      <c r="AL870" s="1"/>
      <c r="AP870" s="2"/>
    </row>
    <row r="871" spans="4:42" x14ac:dyDescent="0.3">
      <c r="D871"/>
      <c r="E871"/>
      <c r="F871"/>
      <c r="H871"/>
      <c r="I871"/>
      <c r="J871"/>
      <c r="K871"/>
      <c r="M871"/>
      <c r="N871"/>
      <c r="O871"/>
      <c r="P871"/>
      <c r="R871"/>
      <c r="S871"/>
      <c r="T871"/>
      <c r="U871"/>
      <c r="W871"/>
      <c r="X871"/>
      <c r="Y871"/>
      <c r="Z871"/>
      <c r="AB871"/>
      <c r="AC871"/>
      <c r="AD871"/>
      <c r="AE871"/>
      <c r="AG871"/>
      <c r="AH871"/>
      <c r="AI871"/>
      <c r="AJ871"/>
      <c r="AL871" s="1"/>
      <c r="AP871" s="2"/>
    </row>
    <row r="872" spans="4:42" x14ac:dyDescent="0.3">
      <c r="D872"/>
      <c r="E872"/>
      <c r="F872"/>
      <c r="H872"/>
      <c r="I872"/>
      <c r="J872"/>
      <c r="K872"/>
      <c r="M872"/>
      <c r="N872"/>
      <c r="O872"/>
      <c r="P872"/>
      <c r="R872"/>
      <c r="S872"/>
      <c r="T872"/>
      <c r="U872"/>
      <c r="W872"/>
      <c r="X872"/>
      <c r="Y872"/>
      <c r="Z872"/>
      <c r="AB872"/>
      <c r="AC872"/>
      <c r="AD872"/>
      <c r="AE872"/>
      <c r="AG872"/>
      <c r="AH872"/>
      <c r="AI872"/>
      <c r="AJ872"/>
      <c r="AL872" s="1"/>
      <c r="AP872" s="2"/>
    </row>
    <row r="873" spans="4:42" x14ac:dyDescent="0.3">
      <c r="D873"/>
      <c r="E873"/>
      <c r="F873"/>
      <c r="H873"/>
      <c r="I873"/>
      <c r="J873"/>
      <c r="K873"/>
      <c r="M873"/>
      <c r="N873"/>
      <c r="O873"/>
      <c r="P873"/>
      <c r="R873"/>
      <c r="S873"/>
      <c r="T873"/>
      <c r="U873"/>
      <c r="W873"/>
      <c r="X873"/>
      <c r="Y873"/>
      <c r="Z873"/>
      <c r="AB873"/>
      <c r="AC873"/>
      <c r="AD873"/>
      <c r="AE873"/>
      <c r="AG873"/>
      <c r="AH873"/>
      <c r="AI873"/>
      <c r="AJ873"/>
      <c r="AL873" s="1"/>
      <c r="AP873" s="2"/>
    </row>
    <row r="874" spans="4:42" x14ac:dyDescent="0.3">
      <c r="D874"/>
      <c r="E874"/>
      <c r="F874"/>
      <c r="H874"/>
      <c r="I874"/>
      <c r="J874"/>
      <c r="K874"/>
      <c r="M874"/>
      <c r="N874"/>
      <c r="O874"/>
      <c r="P874"/>
      <c r="R874"/>
      <c r="S874"/>
      <c r="T874"/>
      <c r="U874"/>
      <c r="W874"/>
      <c r="X874"/>
      <c r="Y874"/>
      <c r="Z874"/>
      <c r="AB874"/>
      <c r="AC874"/>
      <c r="AD874"/>
      <c r="AE874"/>
      <c r="AG874"/>
      <c r="AH874"/>
      <c r="AI874"/>
      <c r="AJ874"/>
      <c r="AL874" s="1"/>
      <c r="AP874" s="2"/>
    </row>
    <row r="875" spans="4:42" x14ac:dyDescent="0.3">
      <c r="D875"/>
      <c r="E875"/>
      <c r="F875"/>
      <c r="H875"/>
      <c r="I875"/>
      <c r="J875"/>
      <c r="K875"/>
      <c r="M875"/>
      <c r="N875"/>
      <c r="O875"/>
      <c r="P875"/>
      <c r="R875"/>
      <c r="S875"/>
      <c r="T875"/>
      <c r="U875"/>
      <c r="W875"/>
      <c r="X875"/>
      <c r="Y875"/>
      <c r="Z875"/>
      <c r="AB875"/>
      <c r="AC875"/>
      <c r="AD875"/>
      <c r="AE875"/>
      <c r="AG875"/>
      <c r="AH875"/>
      <c r="AI875"/>
      <c r="AJ875"/>
      <c r="AL875" s="1"/>
      <c r="AP875" s="2"/>
    </row>
    <row r="876" spans="4:42" x14ac:dyDescent="0.3">
      <c r="D876"/>
      <c r="E876"/>
      <c r="F876"/>
      <c r="H876"/>
      <c r="I876"/>
      <c r="J876"/>
      <c r="K876"/>
      <c r="M876"/>
      <c r="N876"/>
      <c r="O876"/>
      <c r="P876"/>
      <c r="R876"/>
      <c r="S876"/>
      <c r="T876"/>
      <c r="U876"/>
      <c r="W876"/>
      <c r="X876"/>
      <c r="Y876"/>
      <c r="Z876"/>
      <c r="AB876"/>
      <c r="AC876"/>
      <c r="AD876"/>
      <c r="AE876"/>
      <c r="AG876"/>
      <c r="AH876"/>
      <c r="AI876"/>
      <c r="AJ876"/>
      <c r="AL876" s="1"/>
      <c r="AP876" s="2"/>
    </row>
    <row r="877" spans="4:42" x14ac:dyDescent="0.3">
      <c r="D877"/>
      <c r="E877"/>
      <c r="F877"/>
      <c r="H877"/>
      <c r="I877"/>
      <c r="J877"/>
      <c r="K877"/>
      <c r="M877"/>
      <c r="N877"/>
      <c r="O877"/>
      <c r="P877"/>
      <c r="R877"/>
      <c r="S877"/>
      <c r="T877"/>
      <c r="U877"/>
      <c r="W877"/>
      <c r="X877"/>
      <c r="Y877"/>
      <c r="Z877"/>
      <c r="AB877"/>
      <c r="AC877"/>
      <c r="AD877"/>
      <c r="AE877"/>
      <c r="AG877"/>
      <c r="AH877"/>
      <c r="AI877"/>
      <c r="AJ877"/>
      <c r="AL877" s="1"/>
      <c r="AP877" s="2"/>
    </row>
    <row r="878" spans="4:42" x14ac:dyDescent="0.3">
      <c r="D878"/>
      <c r="E878"/>
      <c r="F878"/>
      <c r="H878"/>
      <c r="I878"/>
      <c r="J878"/>
      <c r="K878"/>
      <c r="M878"/>
      <c r="N878"/>
      <c r="O878"/>
      <c r="P878"/>
      <c r="R878"/>
      <c r="S878"/>
      <c r="T878"/>
      <c r="U878"/>
      <c r="W878"/>
      <c r="X878"/>
      <c r="Y878"/>
      <c r="Z878"/>
      <c r="AB878"/>
      <c r="AC878"/>
      <c r="AD878"/>
      <c r="AE878"/>
      <c r="AG878"/>
      <c r="AH878"/>
      <c r="AI878"/>
      <c r="AJ878"/>
      <c r="AL878" s="1"/>
      <c r="AP878" s="2"/>
    </row>
    <row r="879" spans="4:42" x14ac:dyDescent="0.3">
      <c r="D879"/>
      <c r="E879"/>
      <c r="F879"/>
      <c r="H879"/>
      <c r="I879"/>
      <c r="J879"/>
      <c r="K879"/>
      <c r="M879"/>
      <c r="N879"/>
      <c r="O879"/>
      <c r="P879"/>
      <c r="R879"/>
      <c r="S879"/>
      <c r="T879"/>
      <c r="U879"/>
      <c r="W879"/>
      <c r="X879"/>
      <c r="Y879"/>
      <c r="Z879"/>
      <c r="AB879"/>
      <c r="AC879"/>
      <c r="AD879"/>
      <c r="AE879"/>
      <c r="AG879"/>
      <c r="AH879"/>
      <c r="AI879"/>
      <c r="AJ879"/>
      <c r="AL879" s="1"/>
      <c r="AP879" s="2"/>
    </row>
    <row r="880" spans="4:42" x14ac:dyDescent="0.3">
      <c r="D880"/>
      <c r="E880"/>
      <c r="F880"/>
      <c r="H880"/>
      <c r="I880"/>
      <c r="J880"/>
      <c r="K880"/>
      <c r="M880"/>
      <c r="N880"/>
      <c r="O880"/>
      <c r="P880"/>
      <c r="R880"/>
      <c r="S880"/>
      <c r="T880"/>
      <c r="U880"/>
      <c r="W880"/>
      <c r="X880"/>
      <c r="Y880"/>
      <c r="Z880"/>
      <c r="AB880"/>
      <c r="AC880"/>
      <c r="AD880"/>
      <c r="AE880"/>
      <c r="AG880"/>
      <c r="AH880"/>
      <c r="AI880"/>
      <c r="AJ880"/>
      <c r="AL880" s="1"/>
      <c r="AP880" s="2"/>
    </row>
    <row r="881" spans="4:42" x14ac:dyDescent="0.3">
      <c r="D881"/>
      <c r="E881"/>
      <c r="F881"/>
      <c r="H881"/>
      <c r="I881"/>
      <c r="J881"/>
      <c r="K881"/>
      <c r="M881"/>
      <c r="N881"/>
      <c r="O881"/>
      <c r="P881"/>
      <c r="R881"/>
      <c r="S881"/>
      <c r="T881"/>
      <c r="U881"/>
      <c r="W881"/>
      <c r="X881"/>
      <c r="Y881"/>
      <c r="Z881"/>
      <c r="AB881"/>
      <c r="AC881"/>
      <c r="AD881"/>
      <c r="AE881"/>
      <c r="AG881"/>
      <c r="AH881"/>
      <c r="AI881"/>
      <c r="AJ881"/>
      <c r="AL881" s="1"/>
      <c r="AP881" s="2"/>
    </row>
    <row r="882" spans="4:42" x14ac:dyDescent="0.3">
      <c r="D882"/>
      <c r="E882"/>
      <c r="F882"/>
      <c r="H882"/>
      <c r="I882"/>
      <c r="J882"/>
      <c r="K882"/>
      <c r="M882"/>
      <c r="N882"/>
      <c r="O882"/>
      <c r="P882"/>
      <c r="R882"/>
      <c r="S882"/>
      <c r="T882"/>
      <c r="U882"/>
      <c r="W882"/>
      <c r="X882"/>
      <c r="Y882"/>
      <c r="Z882"/>
      <c r="AB882"/>
      <c r="AC882"/>
      <c r="AD882"/>
      <c r="AE882"/>
      <c r="AG882"/>
      <c r="AH882"/>
      <c r="AI882"/>
      <c r="AJ882"/>
      <c r="AL882" s="1"/>
      <c r="AP882" s="2"/>
    </row>
    <row r="883" spans="4:42" x14ac:dyDescent="0.3">
      <c r="D883"/>
      <c r="E883"/>
      <c r="F883"/>
      <c r="H883"/>
      <c r="I883"/>
      <c r="J883"/>
      <c r="K883"/>
      <c r="M883"/>
      <c r="N883"/>
      <c r="O883"/>
      <c r="P883"/>
      <c r="R883"/>
      <c r="S883"/>
      <c r="T883"/>
      <c r="U883"/>
      <c r="W883"/>
      <c r="X883"/>
      <c r="Y883"/>
      <c r="Z883"/>
      <c r="AB883"/>
      <c r="AC883"/>
      <c r="AD883"/>
      <c r="AE883"/>
      <c r="AG883"/>
      <c r="AH883"/>
      <c r="AI883"/>
      <c r="AJ883"/>
      <c r="AL883" s="1"/>
      <c r="AP883" s="2"/>
    </row>
    <row r="884" spans="4:42" x14ac:dyDescent="0.3">
      <c r="D884"/>
      <c r="E884"/>
      <c r="F884"/>
      <c r="H884"/>
      <c r="I884"/>
      <c r="J884"/>
      <c r="K884"/>
      <c r="M884"/>
      <c r="N884"/>
      <c r="O884"/>
      <c r="P884"/>
      <c r="R884"/>
      <c r="S884"/>
      <c r="T884"/>
      <c r="U884"/>
      <c r="W884"/>
      <c r="X884"/>
      <c r="Y884"/>
      <c r="Z884"/>
      <c r="AB884"/>
      <c r="AC884"/>
      <c r="AD884"/>
      <c r="AE884"/>
      <c r="AG884"/>
      <c r="AH884"/>
      <c r="AI884"/>
      <c r="AJ884"/>
      <c r="AL884" s="1"/>
      <c r="AP884" s="2"/>
    </row>
    <row r="885" spans="4:42" x14ac:dyDescent="0.3">
      <c r="D885"/>
      <c r="E885"/>
      <c r="F885"/>
      <c r="H885"/>
      <c r="I885"/>
      <c r="J885"/>
      <c r="K885"/>
      <c r="M885"/>
      <c r="N885"/>
      <c r="O885"/>
      <c r="P885"/>
      <c r="R885"/>
      <c r="S885"/>
      <c r="T885"/>
      <c r="U885"/>
      <c r="W885"/>
      <c r="X885"/>
      <c r="Y885"/>
      <c r="Z885"/>
      <c r="AB885"/>
      <c r="AC885"/>
      <c r="AD885"/>
      <c r="AE885"/>
      <c r="AG885"/>
      <c r="AH885"/>
      <c r="AI885"/>
      <c r="AJ885"/>
      <c r="AL885" s="1"/>
      <c r="AP885" s="2"/>
    </row>
    <row r="886" spans="4:42" x14ac:dyDescent="0.3">
      <c r="D886"/>
      <c r="E886"/>
      <c r="F886"/>
      <c r="H886"/>
      <c r="I886"/>
      <c r="J886"/>
      <c r="K886"/>
      <c r="M886"/>
      <c r="N886"/>
      <c r="O886"/>
      <c r="P886"/>
      <c r="R886"/>
      <c r="S886"/>
      <c r="T886"/>
      <c r="U886"/>
      <c r="W886"/>
      <c r="X886"/>
      <c r="Y886"/>
      <c r="Z886"/>
      <c r="AB886"/>
      <c r="AC886"/>
      <c r="AD886"/>
      <c r="AE886"/>
      <c r="AG886"/>
      <c r="AH886"/>
      <c r="AI886"/>
      <c r="AJ886"/>
      <c r="AL886" s="1"/>
      <c r="AP886" s="2"/>
    </row>
    <row r="887" spans="4:42" x14ac:dyDescent="0.3">
      <c r="D887"/>
      <c r="E887"/>
      <c r="F887"/>
      <c r="H887"/>
      <c r="I887"/>
      <c r="J887"/>
      <c r="K887"/>
      <c r="M887"/>
      <c r="N887"/>
      <c r="O887"/>
      <c r="P887"/>
      <c r="R887"/>
      <c r="S887"/>
      <c r="T887"/>
      <c r="U887"/>
      <c r="W887"/>
      <c r="X887"/>
      <c r="Y887"/>
      <c r="Z887"/>
      <c r="AB887"/>
      <c r="AC887"/>
      <c r="AD887"/>
      <c r="AE887"/>
      <c r="AG887"/>
      <c r="AH887"/>
      <c r="AI887"/>
      <c r="AJ887"/>
      <c r="AL887" s="1"/>
      <c r="AP887" s="2"/>
    </row>
    <row r="888" spans="4:42" x14ac:dyDescent="0.3">
      <c r="D888"/>
      <c r="E888"/>
      <c r="F888"/>
      <c r="H888"/>
      <c r="I888"/>
      <c r="J888"/>
      <c r="K888"/>
      <c r="M888"/>
      <c r="N888"/>
      <c r="O888"/>
      <c r="P888"/>
      <c r="R888"/>
      <c r="S888"/>
      <c r="T888"/>
      <c r="U888"/>
      <c r="W888"/>
      <c r="X888"/>
      <c r="Y888"/>
      <c r="Z888"/>
      <c r="AB888"/>
      <c r="AC888"/>
      <c r="AD888"/>
      <c r="AE888"/>
      <c r="AG888"/>
      <c r="AH888"/>
      <c r="AI888"/>
      <c r="AJ888"/>
      <c r="AL888" s="1"/>
      <c r="AP888" s="2"/>
    </row>
    <row r="889" spans="4:42" x14ac:dyDescent="0.3">
      <c r="D889"/>
      <c r="E889"/>
      <c r="F889"/>
      <c r="H889"/>
      <c r="I889"/>
      <c r="J889"/>
      <c r="K889"/>
      <c r="M889"/>
      <c r="N889"/>
      <c r="O889"/>
      <c r="P889"/>
      <c r="R889"/>
      <c r="S889"/>
      <c r="T889"/>
      <c r="U889"/>
      <c r="W889"/>
      <c r="X889"/>
      <c r="Y889"/>
      <c r="Z889"/>
      <c r="AB889"/>
      <c r="AC889"/>
      <c r="AD889"/>
      <c r="AE889"/>
      <c r="AG889"/>
      <c r="AH889"/>
      <c r="AI889"/>
      <c r="AJ889"/>
      <c r="AL889" s="1"/>
      <c r="AP889" s="2"/>
    </row>
    <row r="890" spans="4:42" x14ac:dyDescent="0.3">
      <c r="D890"/>
      <c r="E890"/>
      <c r="F890"/>
      <c r="H890"/>
      <c r="I890"/>
      <c r="J890"/>
      <c r="K890"/>
      <c r="M890"/>
      <c r="N890"/>
      <c r="O890"/>
      <c r="P890"/>
      <c r="R890"/>
      <c r="S890"/>
      <c r="T890"/>
      <c r="U890"/>
      <c r="W890"/>
      <c r="X890"/>
      <c r="Y890"/>
      <c r="Z890"/>
      <c r="AB890"/>
      <c r="AC890"/>
      <c r="AD890"/>
      <c r="AE890"/>
      <c r="AG890"/>
      <c r="AH890"/>
      <c r="AI890"/>
      <c r="AJ890"/>
      <c r="AL890" s="1"/>
      <c r="AP890" s="2"/>
    </row>
    <row r="891" spans="4:42" x14ac:dyDescent="0.3">
      <c r="D891"/>
      <c r="E891"/>
      <c r="F891"/>
      <c r="H891"/>
      <c r="I891"/>
      <c r="J891"/>
      <c r="K891"/>
      <c r="M891"/>
      <c r="N891"/>
      <c r="O891"/>
      <c r="P891"/>
      <c r="R891"/>
      <c r="S891"/>
      <c r="T891"/>
      <c r="U891"/>
      <c r="W891"/>
      <c r="X891"/>
      <c r="Y891"/>
      <c r="Z891"/>
      <c r="AB891"/>
      <c r="AC891"/>
      <c r="AD891"/>
      <c r="AE891"/>
      <c r="AG891"/>
      <c r="AH891"/>
      <c r="AI891"/>
      <c r="AJ891"/>
      <c r="AL891" s="1"/>
      <c r="AP891" s="2"/>
    </row>
    <row r="892" spans="4:42" x14ac:dyDescent="0.3">
      <c r="D892"/>
      <c r="E892"/>
      <c r="F892"/>
      <c r="H892"/>
      <c r="I892"/>
      <c r="J892"/>
      <c r="K892"/>
      <c r="M892"/>
      <c r="N892"/>
      <c r="O892"/>
      <c r="P892"/>
      <c r="R892"/>
      <c r="S892"/>
      <c r="T892"/>
      <c r="U892"/>
      <c r="W892"/>
      <c r="X892"/>
      <c r="Y892"/>
      <c r="Z892"/>
      <c r="AB892"/>
      <c r="AC892"/>
      <c r="AD892"/>
      <c r="AE892"/>
      <c r="AG892"/>
      <c r="AH892"/>
      <c r="AI892"/>
      <c r="AJ892"/>
      <c r="AL892" s="1"/>
      <c r="AP892" s="2"/>
    </row>
    <row r="893" spans="4:42" x14ac:dyDescent="0.3">
      <c r="D893"/>
      <c r="E893"/>
      <c r="F893"/>
      <c r="H893"/>
      <c r="I893"/>
      <c r="J893"/>
      <c r="K893"/>
      <c r="M893"/>
      <c r="N893"/>
      <c r="O893"/>
      <c r="P893"/>
      <c r="R893"/>
      <c r="S893"/>
      <c r="T893"/>
      <c r="U893"/>
      <c r="W893"/>
      <c r="X893"/>
      <c r="Y893"/>
      <c r="Z893"/>
      <c r="AB893"/>
      <c r="AC893"/>
      <c r="AD893"/>
      <c r="AE893"/>
      <c r="AG893"/>
      <c r="AH893"/>
      <c r="AI893"/>
      <c r="AJ893"/>
      <c r="AL893" s="1"/>
      <c r="AP893" s="2"/>
    </row>
    <row r="894" spans="4:42" x14ac:dyDescent="0.3">
      <c r="D894"/>
      <c r="E894"/>
      <c r="F894"/>
      <c r="H894"/>
      <c r="I894"/>
      <c r="J894"/>
      <c r="K894"/>
      <c r="M894"/>
      <c r="N894"/>
      <c r="O894"/>
      <c r="P894"/>
      <c r="R894"/>
      <c r="S894"/>
      <c r="T894"/>
      <c r="U894"/>
      <c r="W894"/>
      <c r="X894"/>
      <c r="Y894"/>
      <c r="Z894"/>
      <c r="AB894"/>
      <c r="AC894"/>
      <c r="AD894"/>
      <c r="AE894"/>
      <c r="AG894"/>
      <c r="AH894"/>
      <c r="AI894"/>
      <c r="AJ894"/>
      <c r="AL894" s="1"/>
      <c r="AP894" s="2"/>
    </row>
    <row r="895" spans="4:42" x14ac:dyDescent="0.3">
      <c r="D895"/>
      <c r="E895"/>
      <c r="F895"/>
      <c r="H895"/>
      <c r="I895"/>
      <c r="J895"/>
      <c r="K895"/>
      <c r="M895"/>
      <c r="N895"/>
      <c r="O895"/>
      <c r="P895"/>
      <c r="R895"/>
      <c r="S895"/>
      <c r="T895"/>
      <c r="U895"/>
      <c r="W895"/>
      <c r="X895"/>
      <c r="Y895"/>
      <c r="Z895"/>
      <c r="AB895"/>
      <c r="AC895"/>
      <c r="AD895"/>
      <c r="AE895"/>
      <c r="AG895"/>
      <c r="AH895"/>
      <c r="AI895"/>
      <c r="AJ895"/>
      <c r="AL895" s="1"/>
      <c r="AP895" s="2"/>
    </row>
    <row r="896" spans="4:42" x14ac:dyDescent="0.3">
      <c r="D896"/>
      <c r="E896"/>
      <c r="F896"/>
      <c r="H896"/>
      <c r="I896"/>
      <c r="J896"/>
      <c r="K896"/>
      <c r="M896"/>
      <c r="N896"/>
      <c r="O896"/>
      <c r="P896"/>
      <c r="R896"/>
      <c r="S896"/>
      <c r="T896"/>
      <c r="U896"/>
      <c r="W896"/>
      <c r="X896"/>
      <c r="Y896"/>
      <c r="Z896"/>
      <c r="AB896"/>
      <c r="AC896"/>
      <c r="AD896"/>
      <c r="AE896"/>
      <c r="AG896"/>
      <c r="AH896"/>
      <c r="AI896"/>
      <c r="AJ896"/>
      <c r="AL896" s="1"/>
      <c r="AP896" s="2"/>
    </row>
    <row r="897" spans="4:42" x14ac:dyDescent="0.3">
      <c r="D897"/>
      <c r="E897"/>
      <c r="F897"/>
      <c r="H897"/>
      <c r="I897"/>
      <c r="J897"/>
      <c r="K897"/>
      <c r="M897"/>
      <c r="N897"/>
      <c r="O897"/>
      <c r="P897"/>
      <c r="R897"/>
      <c r="S897"/>
      <c r="T897"/>
      <c r="U897"/>
      <c r="W897"/>
      <c r="X897"/>
      <c r="Y897"/>
      <c r="Z897"/>
      <c r="AB897"/>
      <c r="AC897"/>
      <c r="AD897"/>
      <c r="AE897"/>
      <c r="AG897"/>
      <c r="AH897"/>
      <c r="AI897"/>
      <c r="AJ897"/>
      <c r="AL897" s="1"/>
      <c r="AP897" s="2"/>
    </row>
    <row r="898" spans="4:42" x14ac:dyDescent="0.3">
      <c r="D898"/>
      <c r="E898"/>
      <c r="F898"/>
      <c r="H898"/>
      <c r="I898"/>
      <c r="J898"/>
      <c r="K898"/>
      <c r="M898"/>
      <c r="N898"/>
      <c r="O898"/>
      <c r="P898"/>
      <c r="R898"/>
      <c r="S898"/>
      <c r="T898"/>
      <c r="U898"/>
      <c r="W898"/>
      <c r="X898"/>
      <c r="Y898"/>
      <c r="Z898"/>
      <c r="AB898"/>
      <c r="AC898"/>
      <c r="AD898"/>
      <c r="AE898"/>
      <c r="AG898"/>
      <c r="AH898"/>
      <c r="AI898"/>
      <c r="AJ898"/>
      <c r="AL898" s="1"/>
      <c r="AP898" s="2"/>
    </row>
    <row r="899" spans="4:42" x14ac:dyDescent="0.3">
      <c r="D899"/>
      <c r="E899"/>
      <c r="F899"/>
      <c r="H899"/>
      <c r="I899"/>
      <c r="J899"/>
      <c r="K899"/>
      <c r="M899"/>
      <c r="N899"/>
      <c r="O899"/>
      <c r="P899"/>
      <c r="R899"/>
      <c r="S899"/>
      <c r="T899"/>
      <c r="U899"/>
      <c r="W899"/>
      <c r="X899"/>
      <c r="Y899"/>
      <c r="Z899"/>
      <c r="AB899"/>
      <c r="AC899"/>
      <c r="AD899"/>
      <c r="AE899"/>
      <c r="AG899"/>
      <c r="AH899"/>
      <c r="AI899"/>
      <c r="AJ899"/>
      <c r="AL899" s="1"/>
      <c r="AP899" s="2"/>
    </row>
    <row r="900" spans="4:42" x14ac:dyDescent="0.3">
      <c r="D900"/>
      <c r="E900"/>
      <c r="F900"/>
      <c r="H900"/>
      <c r="I900"/>
      <c r="J900"/>
      <c r="K900"/>
      <c r="M900"/>
      <c r="N900"/>
      <c r="O900"/>
      <c r="P900"/>
      <c r="R900"/>
      <c r="S900"/>
      <c r="T900"/>
      <c r="U900"/>
      <c r="W900"/>
      <c r="X900"/>
      <c r="Y900"/>
      <c r="Z900"/>
      <c r="AB900"/>
      <c r="AC900"/>
      <c r="AD900"/>
      <c r="AE900"/>
      <c r="AG900"/>
      <c r="AH900"/>
      <c r="AI900"/>
      <c r="AJ900"/>
      <c r="AL900" s="1"/>
      <c r="AP900" s="2"/>
    </row>
    <row r="901" spans="4:42" x14ac:dyDescent="0.3">
      <c r="D901"/>
      <c r="E901"/>
      <c r="F901"/>
      <c r="H901"/>
      <c r="I901"/>
      <c r="J901"/>
      <c r="K901"/>
      <c r="M901"/>
      <c r="N901"/>
      <c r="O901"/>
      <c r="P901"/>
      <c r="R901"/>
      <c r="S901"/>
      <c r="T901"/>
      <c r="U901"/>
      <c r="W901"/>
      <c r="X901"/>
      <c r="Y901"/>
      <c r="Z901"/>
      <c r="AB901"/>
      <c r="AC901"/>
      <c r="AD901"/>
      <c r="AE901"/>
      <c r="AG901"/>
      <c r="AH901"/>
      <c r="AI901"/>
      <c r="AJ901"/>
      <c r="AL901" s="1"/>
      <c r="AP901" s="2"/>
    </row>
    <row r="902" spans="4:42" x14ac:dyDescent="0.3">
      <c r="D902"/>
      <c r="E902"/>
      <c r="F902"/>
      <c r="H902"/>
      <c r="I902"/>
      <c r="J902"/>
      <c r="K902"/>
      <c r="M902"/>
      <c r="N902"/>
      <c r="O902"/>
      <c r="P902"/>
      <c r="R902"/>
      <c r="S902"/>
      <c r="T902"/>
      <c r="U902"/>
      <c r="W902"/>
      <c r="X902"/>
      <c r="Y902"/>
      <c r="Z902"/>
      <c r="AB902"/>
      <c r="AC902"/>
      <c r="AD902"/>
      <c r="AE902"/>
      <c r="AG902"/>
      <c r="AH902"/>
      <c r="AI902"/>
      <c r="AJ902"/>
      <c r="AL902" s="1"/>
      <c r="AP902" s="2"/>
    </row>
    <row r="903" spans="4:42" x14ac:dyDescent="0.3">
      <c r="D903"/>
      <c r="E903"/>
      <c r="F903"/>
      <c r="H903"/>
      <c r="I903"/>
      <c r="J903"/>
      <c r="K903"/>
      <c r="M903"/>
      <c r="N903"/>
      <c r="O903"/>
      <c r="P903"/>
      <c r="R903"/>
      <c r="S903"/>
      <c r="T903"/>
      <c r="U903"/>
      <c r="W903"/>
      <c r="X903"/>
      <c r="Y903"/>
      <c r="Z903"/>
      <c r="AB903"/>
      <c r="AC903"/>
      <c r="AD903"/>
      <c r="AE903"/>
      <c r="AG903"/>
      <c r="AH903"/>
      <c r="AI903"/>
      <c r="AJ903"/>
      <c r="AL903" s="1"/>
      <c r="AP903" s="2"/>
    </row>
    <row r="904" spans="4:42" x14ac:dyDescent="0.3">
      <c r="D904"/>
      <c r="E904"/>
      <c r="F904"/>
      <c r="H904"/>
      <c r="I904"/>
      <c r="J904"/>
      <c r="K904"/>
      <c r="M904"/>
      <c r="N904"/>
      <c r="O904"/>
      <c r="P904"/>
      <c r="R904"/>
      <c r="S904"/>
      <c r="T904"/>
      <c r="U904"/>
      <c r="W904"/>
      <c r="X904"/>
      <c r="Y904"/>
      <c r="Z904"/>
      <c r="AB904"/>
      <c r="AC904"/>
      <c r="AD904"/>
      <c r="AE904"/>
      <c r="AG904"/>
      <c r="AH904"/>
      <c r="AI904"/>
      <c r="AJ904"/>
      <c r="AL904" s="1"/>
      <c r="AP904" s="2"/>
    </row>
    <row r="905" spans="4:42" x14ac:dyDescent="0.3">
      <c r="D905"/>
      <c r="E905"/>
      <c r="F905"/>
      <c r="H905"/>
      <c r="I905"/>
      <c r="J905"/>
      <c r="K905"/>
      <c r="M905"/>
      <c r="N905"/>
      <c r="O905"/>
      <c r="P905"/>
      <c r="R905"/>
      <c r="S905"/>
      <c r="T905"/>
      <c r="U905"/>
      <c r="W905"/>
      <c r="X905"/>
      <c r="Y905"/>
      <c r="Z905"/>
      <c r="AB905"/>
      <c r="AC905"/>
      <c r="AD905"/>
      <c r="AE905"/>
      <c r="AG905"/>
      <c r="AH905"/>
      <c r="AI905"/>
      <c r="AJ905"/>
      <c r="AL905" s="1"/>
      <c r="AP905" s="2"/>
    </row>
    <row r="906" spans="4:42" x14ac:dyDescent="0.3">
      <c r="D906"/>
      <c r="E906"/>
      <c r="F906"/>
      <c r="H906"/>
      <c r="I906"/>
      <c r="J906"/>
      <c r="K906"/>
      <c r="M906"/>
      <c r="N906"/>
      <c r="O906"/>
      <c r="P906"/>
      <c r="R906"/>
      <c r="S906"/>
      <c r="T906"/>
      <c r="U906"/>
      <c r="W906"/>
      <c r="X906"/>
      <c r="Y906"/>
      <c r="Z906"/>
      <c r="AB906"/>
      <c r="AC906"/>
      <c r="AD906"/>
      <c r="AE906"/>
      <c r="AG906"/>
      <c r="AH906"/>
      <c r="AI906"/>
      <c r="AJ906"/>
      <c r="AL906" s="1"/>
      <c r="AP906" s="2"/>
    </row>
    <row r="907" spans="4:42" x14ac:dyDescent="0.3">
      <c r="D907"/>
      <c r="E907"/>
      <c r="F907"/>
      <c r="H907"/>
      <c r="I907"/>
      <c r="J907"/>
      <c r="K907"/>
      <c r="M907"/>
      <c r="N907"/>
      <c r="O907"/>
      <c r="P907"/>
      <c r="R907"/>
      <c r="S907"/>
      <c r="T907"/>
      <c r="U907"/>
      <c r="W907"/>
      <c r="X907"/>
      <c r="Y907"/>
      <c r="Z907"/>
      <c r="AB907"/>
      <c r="AC907"/>
      <c r="AD907"/>
      <c r="AE907"/>
      <c r="AG907"/>
      <c r="AH907"/>
      <c r="AI907"/>
      <c r="AJ907"/>
      <c r="AL907" s="1"/>
      <c r="AP907" s="2"/>
    </row>
    <row r="908" spans="4:42" x14ac:dyDescent="0.3">
      <c r="D908"/>
      <c r="E908"/>
      <c r="F908"/>
      <c r="H908"/>
      <c r="I908"/>
      <c r="J908"/>
      <c r="K908"/>
      <c r="M908"/>
      <c r="N908"/>
      <c r="O908"/>
      <c r="P908"/>
      <c r="R908"/>
      <c r="S908"/>
      <c r="T908"/>
      <c r="U908"/>
      <c r="W908"/>
      <c r="X908"/>
      <c r="Y908"/>
      <c r="Z908"/>
      <c r="AB908"/>
      <c r="AC908"/>
      <c r="AD908"/>
      <c r="AE908"/>
      <c r="AG908"/>
      <c r="AH908"/>
      <c r="AI908"/>
      <c r="AJ908"/>
      <c r="AL908" s="1"/>
      <c r="AP908" s="2"/>
    </row>
    <row r="909" spans="4:42" x14ac:dyDescent="0.3">
      <c r="D909"/>
      <c r="E909"/>
      <c r="F909"/>
      <c r="H909"/>
      <c r="I909"/>
      <c r="J909"/>
      <c r="K909"/>
      <c r="M909"/>
      <c r="N909"/>
      <c r="O909"/>
      <c r="P909"/>
      <c r="R909"/>
      <c r="S909"/>
      <c r="T909"/>
      <c r="U909"/>
      <c r="W909"/>
      <c r="X909"/>
      <c r="Y909"/>
      <c r="Z909"/>
      <c r="AB909"/>
      <c r="AC909"/>
      <c r="AD909"/>
      <c r="AE909"/>
      <c r="AG909"/>
      <c r="AH909"/>
      <c r="AI909"/>
      <c r="AJ909"/>
      <c r="AL909" s="1"/>
      <c r="AP909" s="2"/>
    </row>
    <row r="910" spans="4:42" x14ac:dyDescent="0.3">
      <c r="D910"/>
      <c r="E910"/>
      <c r="F910"/>
      <c r="H910"/>
      <c r="I910"/>
      <c r="J910"/>
      <c r="K910"/>
      <c r="M910"/>
      <c r="N910"/>
      <c r="O910"/>
      <c r="P910"/>
      <c r="R910"/>
      <c r="S910"/>
      <c r="T910"/>
      <c r="U910"/>
      <c r="W910"/>
      <c r="X910"/>
      <c r="Y910"/>
      <c r="Z910"/>
      <c r="AB910"/>
      <c r="AC910"/>
      <c r="AD910"/>
      <c r="AE910"/>
      <c r="AG910"/>
      <c r="AH910"/>
      <c r="AI910"/>
      <c r="AJ910"/>
      <c r="AL910" s="1"/>
      <c r="AP910" s="2"/>
    </row>
    <row r="911" spans="4:42" x14ac:dyDescent="0.3">
      <c r="D911"/>
      <c r="E911"/>
      <c r="F911"/>
      <c r="H911"/>
      <c r="I911"/>
      <c r="J911"/>
      <c r="K911"/>
      <c r="M911"/>
      <c r="N911"/>
      <c r="O911"/>
      <c r="P911"/>
      <c r="R911"/>
      <c r="S911"/>
      <c r="T911"/>
      <c r="U911"/>
      <c r="W911"/>
      <c r="X911"/>
      <c r="Y911"/>
      <c r="Z911"/>
      <c r="AB911"/>
      <c r="AC911"/>
      <c r="AD911"/>
      <c r="AE911"/>
      <c r="AG911"/>
      <c r="AH911"/>
      <c r="AI911"/>
      <c r="AJ911"/>
      <c r="AL911" s="1"/>
      <c r="AP911" s="2"/>
    </row>
    <row r="912" spans="4:42" x14ac:dyDescent="0.3">
      <c r="D912"/>
      <c r="E912"/>
      <c r="F912"/>
      <c r="H912"/>
      <c r="I912"/>
      <c r="J912"/>
      <c r="K912"/>
      <c r="M912"/>
      <c r="N912"/>
      <c r="O912"/>
      <c r="P912"/>
      <c r="R912"/>
      <c r="S912"/>
      <c r="T912"/>
      <c r="U912"/>
      <c r="W912"/>
      <c r="X912"/>
      <c r="Y912"/>
      <c r="Z912"/>
      <c r="AB912"/>
      <c r="AC912"/>
      <c r="AD912"/>
      <c r="AE912"/>
      <c r="AG912"/>
      <c r="AH912"/>
      <c r="AI912"/>
      <c r="AJ912"/>
      <c r="AL912" s="1"/>
      <c r="AP912" s="2"/>
    </row>
    <row r="913" spans="4:42" x14ac:dyDescent="0.3">
      <c r="D913"/>
      <c r="E913"/>
      <c r="F913"/>
      <c r="H913"/>
      <c r="I913"/>
      <c r="J913"/>
      <c r="K913"/>
      <c r="M913"/>
      <c r="N913"/>
      <c r="O913"/>
      <c r="P913"/>
      <c r="R913"/>
      <c r="S913"/>
      <c r="T913"/>
      <c r="U913"/>
      <c r="W913"/>
      <c r="X913"/>
      <c r="Y913"/>
      <c r="Z913"/>
      <c r="AB913"/>
      <c r="AC913"/>
      <c r="AD913"/>
      <c r="AE913"/>
      <c r="AG913"/>
      <c r="AH913"/>
      <c r="AI913"/>
      <c r="AJ913"/>
      <c r="AL913" s="1"/>
      <c r="AP913" s="2"/>
    </row>
    <row r="914" spans="4:42" x14ac:dyDescent="0.3">
      <c r="D914"/>
      <c r="E914"/>
      <c r="F914"/>
      <c r="H914"/>
      <c r="I914"/>
      <c r="J914"/>
      <c r="K914"/>
      <c r="M914"/>
      <c r="N914"/>
      <c r="O914"/>
      <c r="P914"/>
      <c r="R914"/>
      <c r="S914"/>
      <c r="T914"/>
      <c r="U914"/>
      <c r="W914"/>
      <c r="X914"/>
      <c r="Y914"/>
      <c r="Z914"/>
      <c r="AB914"/>
      <c r="AC914"/>
      <c r="AD914"/>
      <c r="AE914"/>
      <c r="AG914"/>
      <c r="AH914"/>
      <c r="AI914"/>
      <c r="AJ914"/>
      <c r="AL914" s="1"/>
      <c r="AP914" s="2"/>
    </row>
    <row r="915" spans="4:42" x14ac:dyDescent="0.3">
      <c r="D915"/>
      <c r="E915"/>
      <c r="F915"/>
      <c r="H915"/>
      <c r="I915"/>
      <c r="J915"/>
      <c r="K915"/>
      <c r="M915"/>
      <c r="N915"/>
      <c r="O915"/>
      <c r="P915"/>
      <c r="R915"/>
      <c r="S915"/>
      <c r="T915"/>
      <c r="U915"/>
      <c r="W915"/>
      <c r="X915"/>
      <c r="Y915"/>
      <c r="Z915"/>
      <c r="AB915"/>
      <c r="AC915"/>
      <c r="AD915"/>
      <c r="AE915"/>
      <c r="AG915"/>
      <c r="AH915"/>
      <c r="AI915"/>
      <c r="AJ915"/>
      <c r="AL915" s="1"/>
      <c r="AP915" s="2"/>
    </row>
    <row r="916" spans="4:42" x14ac:dyDescent="0.3">
      <c r="D916"/>
      <c r="E916"/>
      <c r="F916"/>
      <c r="H916"/>
      <c r="I916"/>
      <c r="J916"/>
      <c r="K916"/>
      <c r="M916"/>
      <c r="N916"/>
      <c r="O916"/>
      <c r="P916"/>
      <c r="R916"/>
      <c r="S916"/>
      <c r="T916"/>
      <c r="U916"/>
      <c r="W916"/>
      <c r="X916"/>
      <c r="Y916"/>
      <c r="Z916"/>
      <c r="AB916"/>
      <c r="AC916"/>
      <c r="AD916"/>
      <c r="AE916"/>
      <c r="AG916"/>
      <c r="AH916"/>
      <c r="AI916"/>
      <c r="AJ916"/>
      <c r="AL916" s="1"/>
    </row>
    <row r="917" spans="4:42" x14ac:dyDescent="0.3">
      <c r="D917"/>
      <c r="E917"/>
      <c r="F917"/>
      <c r="H917"/>
      <c r="I917"/>
      <c r="J917"/>
      <c r="K917"/>
      <c r="M917"/>
      <c r="N917"/>
      <c r="O917"/>
      <c r="P917"/>
      <c r="R917"/>
      <c r="S917"/>
      <c r="T917"/>
      <c r="U917"/>
      <c r="W917"/>
      <c r="X917"/>
      <c r="Y917"/>
      <c r="Z917"/>
      <c r="AB917"/>
      <c r="AC917"/>
      <c r="AD917"/>
      <c r="AE917"/>
      <c r="AG917"/>
      <c r="AH917"/>
      <c r="AI917"/>
      <c r="AJ917"/>
      <c r="AL917" s="1"/>
    </row>
    <row r="918" spans="4:42" x14ac:dyDescent="0.3">
      <c r="D918"/>
      <c r="E918"/>
      <c r="F918"/>
      <c r="H918"/>
      <c r="I918"/>
      <c r="J918"/>
      <c r="K918"/>
      <c r="M918"/>
      <c r="N918"/>
      <c r="O918"/>
      <c r="P918"/>
      <c r="R918"/>
      <c r="S918"/>
      <c r="T918"/>
      <c r="U918"/>
      <c r="W918"/>
      <c r="X918"/>
      <c r="Y918"/>
      <c r="Z918"/>
      <c r="AB918"/>
      <c r="AC918"/>
      <c r="AD918"/>
      <c r="AE918"/>
      <c r="AG918"/>
      <c r="AH918"/>
      <c r="AI918"/>
      <c r="AJ918"/>
      <c r="AL918" s="1"/>
    </row>
    <row r="919" spans="4:42" x14ac:dyDescent="0.3">
      <c r="D919"/>
      <c r="E919"/>
      <c r="F919"/>
      <c r="H919"/>
      <c r="I919"/>
      <c r="J919"/>
      <c r="K919"/>
      <c r="M919"/>
      <c r="N919"/>
      <c r="O919"/>
      <c r="P919"/>
      <c r="R919"/>
      <c r="S919"/>
      <c r="T919"/>
      <c r="U919"/>
      <c r="W919"/>
      <c r="X919"/>
      <c r="Y919"/>
      <c r="Z919"/>
      <c r="AB919"/>
      <c r="AC919"/>
      <c r="AD919"/>
      <c r="AE919"/>
      <c r="AG919"/>
      <c r="AH919"/>
      <c r="AI919"/>
      <c r="AJ919"/>
      <c r="AL919" s="1"/>
    </row>
    <row r="920" spans="4:42" x14ac:dyDescent="0.3">
      <c r="D920"/>
      <c r="E920"/>
      <c r="F920"/>
      <c r="H920"/>
      <c r="I920"/>
      <c r="J920"/>
      <c r="K920"/>
      <c r="M920"/>
      <c r="N920"/>
      <c r="O920"/>
      <c r="P920"/>
      <c r="R920"/>
      <c r="S920"/>
      <c r="T920"/>
      <c r="U920"/>
      <c r="W920"/>
      <c r="X920"/>
      <c r="Y920"/>
      <c r="Z920"/>
      <c r="AB920"/>
      <c r="AC920"/>
      <c r="AD920"/>
      <c r="AE920"/>
      <c r="AG920"/>
      <c r="AH920"/>
      <c r="AI920"/>
      <c r="AJ920"/>
      <c r="AL920" s="1"/>
    </row>
    <row r="921" spans="4:42" x14ac:dyDescent="0.3">
      <c r="D921"/>
      <c r="E921"/>
      <c r="F921"/>
      <c r="H921"/>
      <c r="I921"/>
      <c r="J921"/>
      <c r="K921"/>
      <c r="M921"/>
      <c r="N921"/>
      <c r="O921"/>
      <c r="P921"/>
      <c r="R921"/>
      <c r="S921"/>
      <c r="T921"/>
      <c r="U921"/>
      <c r="W921"/>
      <c r="X921"/>
      <c r="Y921"/>
      <c r="Z921"/>
      <c r="AB921"/>
      <c r="AC921"/>
      <c r="AD921"/>
      <c r="AE921"/>
      <c r="AG921"/>
      <c r="AH921"/>
      <c r="AI921"/>
      <c r="AJ921"/>
      <c r="AL921" s="1"/>
    </row>
    <row r="922" spans="4:42" x14ac:dyDescent="0.3">
      <c r="D922"/>
      <c r="E922"/>
      <c r="F922"/>
      <c r="H922"/>
      <c r="I922"/>
      <c r="J922"/>
      <c r="K922"/>
      <c r="M922"/>
      <c r="N922"/>
      <c r="O922"/>
      <c r="P922"/>
      <c r="R922"/>
      <c r="S922"/>
      <c r="T922"/>
      <c r="U922"/>
      <c r="W922"/>
      <c r="X922"/>
      <c r="Y922"/>
      <c r="Z922"/>
      <c r="AB922"/>
      <c r="AC922"/>
      <c r="AD922"/>
      <c r="AE922"/>
      <c r="AG922"/>
      <c r="AH922"/>
      <c r="AI922"/>
      <c r="AJ922"/>
      <c r="AL922" s="1"/>
    </row>
    <row r="923" spans="4:42" x14ac:dyDescent="0.3">
      <c r="D923"/>
      <c r="E923"/>
      <c r="F923"/>
      <c r="H923"/>
      <c r="I923"/>
      <c r="J923"/>
      <c r="K923"/>
      <c r="M923"/>
      <c r="N923"/>
      <c r="O923"/>
      <c r="P923"/>
      <c r="R923"/>
      <c r="S923"/>
      <c r="T923"/>
      <c r="U923"/>
      <c r="W923"/>
      <c r="X923"/>
      <c r="Y923"/>
      <c r="Z923"/>
      <c r="AB923"/>
      <c r="AC923"/>
      <c r="AD923"/>
      <c r="AE923"/>
      <c r="AG923"/>
      <c r="AH923"/>
      <c r="AI923"/>
      <c r="AJ923"/>
      <c r="AL923" s="1"/>
    </row>
    <row r="924" spans="4:42" x14ac:dyDescent="0.3">
      <c r="D924"/>
      <c r="E924"/>
      <c r="F924"/>
      <c r="H924"/>
      <c r="I924"/>
      <c r="J924"/>
      <c r="K924"/>
      <c r="M924"/>
      <c r="N924"/>
      <c r="O924"/>
      <c r="P924"/>
      <c r="R924"/>
      <c r="S924"/>
      <c r="T924"/>
      <c r="U924"/>
      <c r="W924"/>
      <c r="X924"/>
      <c r="Y924"/>
      <c r="Z924"/>
      <c r="AB924"/>
      <c r="AC924"/>
      <c r="AD924"/>
      <c r="AE924"/>
      <c r="AG924"/>
      <c r="AH924"/>
      <c r="AI924"/>
      <c r="AJ924"/>
      <c r="AL924" s="1"/>
    </row>
    <row r="925" spans="4:42" x14ac:dyDescent="0.3">
      <c r="D925"/>
      <c r="E925"/>
      <c r="F925"/>
      <c r="H925"/>
      <c r="I925"/>
      <c r="J925"/>
      <c r="K925"/>
      <c r="M925"/>
      <c r="N925"/>
      <c r="O925"/>
      <c r="P925"/>
      <c r="R925"/>
      <c r="S925"/>
      <c r="T925"/>
      <c r="U925"/>
      <c r="W925"/>
      <c r="X925"/>
      <c r="Y925"/>
      <c r="Z925"/>
      <c r="AB925"/>
      <c r="AC925"/>
      <c r="AD925"/>
      <c r="AE925"/>
      <c r="AG925"/>
      <c r="AH925"/>
      <c r="AI925"/>
      <c r="AJ925"/>
      <c r="AL925" s="1"/>
    </row>
    <row r="926" spans="4:42" x14ac:dyDescent="0.3">
      <c r="D926"/>
      <c r="E926"/>
      <c r="F926"/>
      <c r="H926"/>
      <c r="I926"/>
      <c r="J926"/>
      <c r="K926"/>
      <c r="M926"/>
      <c r="N926"/>
      <c r="O926"/>
      <c r="P926"/>
      <c r="R926"/>
      <c r="S926"/>
      <c r="T926"/>
      <c r="U926"/>
      <c r="W926"/>
      <c r="X926"/>
      <c r="Y926"/>
      <c r="Z926"/>
      <c r="AB926"/>
      <c r="AC926"/>
      <c r="AD926"/>
      <c r="AE926"/>
      <c r="AG926"/>
      <c r="AH926"/>
      <c r="AI926"/>
      <c r="AJ926"/>
      <c r="AL926" s="1"/>
    </row>
    <row r="927" spans="4:42" x14ac:dyDescent="0.3">
      <c r="D927"/>
      <c r="E927"/>
      <c r="F927"/>
      <c r="H927"/>
      <c r="I927"/>
      <c r="J927"/>
      <c r="K927"/>
      <c r="M927"/>
      <c r="N927"/>
      <c r="O927"/>
      <c r="P927"/>
      <c r="R927"/>
      <c r="S927"/>
      <c r="T927"/>
      <c r="U927"/>
      <c r="W927"/>
      <c r="X927"/>
      <c r="Y927"/>
      <c r="Z927"/>
      <c r="AB927"/>
      <c r="AC927"/>
      <c r="AD927"/>
      <c r="AE927"/>
      <c r="AG927"/>
      <c r="AH927"/>
      <c r="AI927"/>
      <c r="AJ927"/>
      <c r="AL927" s="1"/>
    </row>
    <row r="928" spans="4:42" x14ac:dyDescent="0.3">
      <c r="D928"/>
      <c r="E928"/>
      <c r="F928"/>
      <c r="H928"/>
      <c r="I928"/>
      <c r="J928"/>
      <c r="K928"/>
      <c r="M928"/>
      <c r="N928"/>
      <c r="O928"/>
      <c r="P928"/>
      <c r="R928"/>
      <c r="S928"/>
      <c r="T928"/>
      <c r="U928"/>
      <c r="W928"/>
      <c r="X928"/>
      <c r="Y928"/>
      <c r="Z928"/>
      <c r="AB928"/>
      <c r="AC928"/>
      <c r="AD928"/>
      <c r="AE928"/>
      <c r="AG928"/>
      <c r="AH928"/>
      <c r="AI928"/>
      <c r="AJ928"/>
      <c r="AL928" s="1"/>
    </row>
    <row r="929" spans="4:38" x14ac:dyDescent="0.3">
      <c r="D929"/>
      <c r="E929"/>
      <c r="F929"/>
      <c r="H929"/>
      <c r="I929"/>
      <c r="J929"/>
      <c r="K929"/>
      <c r="M929"/>
      <c r="N929"/>
      <c r="O929"/>
      <c r="P929"/>
      <c r="R929"/>
      <c r="S929"/>
      <c r="T929"/>
      <c r="U929"/>
      <c r="W929"/>
      <c r="X929"/>
      <c r="Y929"/>
      <c r="Z929"/>
      <c r="AB929"/>
      <c r="AC929"/>
      <c r="AD929"/>
      <c r="AE929"/>
      <c r="AG929"/>
      <c r="AH929"/>
      <c r="AI929"/>
      <c r="AJ929"/>
      <c r="AL929" s="1"/>
    </row>
    <row r="930" spans="4:38" x14ac:dyDescent="0.3">
      <c r="D930"/>
      <c r="E930"/>
      <c r="F930"/>
      <c r="H930"/>
      <c r="I930"/>
      <c r="J930"/>
      <c r="K930"/>
      <c r="M930"/>
      <c r="N930"/>
      <c r="O930"/>
      <c r="P930"/>
      <c r="R930"/>
      <c r="S930"/>
      <c r="T930"/>
      <c r="U930"/>
      <c r="W930"/>
      <c r="X930"/>
      <c r="Y930"/>
      <c r="Z930"/>
      <c r="AB930"/>
      <c r="AC930"/>
      <c r="AD930"/>
      <c r="AE930"/>
      <c r="AG930"/>
      <c r="AH930"/>
      <c r="AI930"/>
      <c r="AJ930"/>
      <c r="AL930" s="1"/>
    </row>
    <row r="931" spans="4:38" x14ac:dyDescent="0.3">
      <c r="D931"/>
      <c r="E931"/>
      <c r="F931"/>
      <c r="H931"/>
      <c r="I931"/>
      <c r="J931"/>
      <c r="K931"/>
      <c r="M931"/>
      <c r="N931"/>
      <c r="O931"/>
      <c r="P931"/>
      <c r="R931"/>
      <c r="S931"/>
      <c r="T931"/>
      <c r="U931"/>
      <c r="W931"/>
      <c r="X931"/>
      <c r="Y931"/>
      <c r="Z931"/>
      <c r="AB931"/>
      <c r="AC931"/>
      <c r="AD931"/>
      <c r="AE931"/>
      <c r="AG931"/>
      <c r="AH931"/>
      <c r="AI931"/>
      <c r="AJ931"/>
      <c r="AL931" s="1"/>
    </row>
    <row r="932" spans="4:38" x14ac:dyDescent="0.3">
      <c r="D932"/>
      <c r="E932"/>
      <c r="F932"/>
      <c r="H932"/>
      <c r="I932"/>
      <c r="J932"/>
      <c r="K932"/>
      <c r="M932"/>
      <c r="N932"/>
      <c r="O932"/>
      <c r="P932"/>
      <c r="R932"/>
      <c r="S932"/>
      <c r="T932"/>
      <c r="U932"/>
      <c r="W932"/>
      <c r="X932"/>
      <c r="Y932"/>
      <c r="Z932"/>
      <c r="AB932"/>
      <c r="AC932"/>
      <c r="AD932"/>
      <c r="AE932"/>
      <c r="AG932"/>
      <c r="AH932"/>
      <c r="AI932"/>
      <c r="AJ932"/>
      <c r="AL932" s="1"/>
    </row>
    <row r="933" spans="4:38" x14ac:dyDescent="0.3">
      <c r="D933"/>
      <c r="E933"/>
      <c r="F933"/>
      <c r="H933"/>
      <c r="I933"/>
      <c r="J933"/>
      <c r="K933"/>
      <c r="M933"/>
      <c r="N933"/>
      <c r="O933"/>
      <c r="P933"/>
      <c r="R933"/>
      <c r="S933"/>
      <c r="T933"/>
      <c r="U933"/>
      <c r="W933"/>
      <c r="X933"/>
      <c r="Y933"/>
      <c r="Z933"/>
      <c r="AB933"/>
      <c r="AC933"/>
      <c r="AD933"/>
      <c r="AE933"/>
      <c r="AG933"/>
      <c r="AH933"/>
      <c r="AI933"/>
      <c r="AJ933"/>
      <c r="AL933" s="1"/>
    </row>
    <row r="934" spans="4:38" x14ac:dyDescent="0.3">
      <c r="D934"/>
      <c r="E934"/>
      <c r="F934"/>
      <c r="H934"/>
      <c r="I934"/>
      <c r="J934"/>
      <c r="K934"/>
      <c r="M934"/>
      <c r="N934"/>
      <c r="O934"/>
      <c r="P934"/>
      <c r="R934"/>
      <c r="S934"/>
      <c r="T934"/>
      <c r="U934"/>
      <c r="W934"/>
      <c r="X934"/>
      <c r="Y934"/>
      <c r="Z934"/>
      <c r="AB934"/>
      <c r="AC934"/>
      <c r="AD934"/>
      <c r="AE934"/>
      <c r="AG934"/>
      <c r="AH934"/>
      <c r="AI934"/>
      <c r="AJ934"/>
      <c r="AL934" s="1"/>
    </row>
    <row r="935" spans="4:38" x14ac:dyDescent="0.3">
      <c r="D935"/>
      <c r="E935"/>
      <c r="F935"/>
      <c r="H935"/>
      <c r="I935"/>
      <c r="J935"/>
      <c r="K935"/>
      <c r="M935"/>
      <c r="N935"/>
      <c r="O935"/>
      <c r="P935"/>
      <c r="R935"/>
      <c r="S935"/>
      <c r="T935"/>
      <c r="U935"/>
      <c r="W935"/>
      <c r="X935"/>
      <c r="Y935"/>
      <c r="Z935"/>
      <c r="AB935"/>
      <c r="AC935"/>
      <c r="AD935"/>
      <c r="AE935"/>
      <c r="AG935"/>
      <c r="AH935"/>
      <c r="AI935"/>
      <c r="AJ935"/>
      <c r="AL935" s="1"/>
    </row>
    <row r="936" spans="4:38" x14ac:dyDescent="0.3">
      <c r="D936"/>
      <c r="E936"/>
      <c r="F936"/>
      <c r="H936"/>
      <c r="I936"/>
      <c r="J936"/>
      <c r="K936"/>
      <c r="M936"/>
      <c r="N936"/>
      <c r="O936"/>
      <c r="P936"/>
      <c r="R936"/>
      <c r="S936"/>
      <c r="T936"/>
      <c r="U936"/>
      <c r="W936"/>
      <c r="X936"/>
      <c r="Y936"/>
      <c r="Z936"/>
      <c r="AB936"/>
      <c r="AC936"/>
      <c r="AD936"/>
      <c r="AE936"/>
      <c r="AG936"/>
      <c r="AH936"/>
      <c r="AI936"/>
      <c r="AJ936"/>
      <c r="AL936" s="1"/>
    </row>
    <row r="937" spans="4:38" x14ac:dyDescent="0.3">
      <c r="D937"/>
      <c r="E937"/>
      <c r="F937"/>
      <c r="H937"/>
      <c r="I937"/>
      <c r="J937"/>
      <c r="K937"/>
      <c r="M937"/>
      <c r="N937"/>
      <c r="O937"/>
      <c r="P937"/>
      <c r="R937"/>
      <c r="S937"/>
      <c r="T937"/>
      <c r="U937"/>
      <c r="W937"/>
      <c r="X937"/>
      <c r="Y937"/>
      <c r="Z937"/>
      <c r="AB937"/>
      <c r="AC937"/>
      <c r="AD937"/>
      <c r="AE937"/>
      <c r="AG937"/>
      <c r="AH937"/>
      <c r="AI937"/>
      <c r="AJ937"/>
      <c r="AL937" s="1"/>
    </row>
    <row r="938" spans="4:38" x14ac:dyDescent="0.3">
      <c r="D938"/>
      <c r="E938"/>
      <c r="F938"/>
      <c r="H938"/>
      <c r="I938"/>
      <c r="J938"/>
      <c r="K938"/>
      <c r="M938"/>
      <c r="N938"/>
      <c r="O938"/>
      <c r="P938"/>
      <c r="R938"/>
      <c r="S938"/>
      <c r="T938"/>
      <c r="U938"/>
      <c r="W938"/>
      <c r="X938"/>
      <c r="Y938"/>
      <c r="Z938"/>
      <c r="AB938"/>
      <c r="AC938"/>
      <c r="AD938"/>
      <c r="AE938"/>
      <c r="AG938"/>
      <c r="AH938"/>
      <c r="AI938"/>
      <c r="AJ938"/>
      <c r="AL938" s="1"/>
    </row>
    <row r="939" spans="4:38" x14ac:dyDescent="0.3">
      <c r="D939"/>
      <c r="E939"/>
      <c r="F939"/>
      <c r="H939"/>
      <c r="I939"/>
      <c r="J939"/>
      <c r="K939"/>
      <c r="M939"/>
      <c r="N939"/>
      <c r="O939"/>
      <c r="P939"/>
      <c r="R939"/>
      <c r="S939"/>
      <c r="T939"/>
      <c r="U939"/>
      <c r="W939"/>
      <c r="X939"/>
      <c r="Y939"/>
      <c r="Z939"/>
      <c r="AB939"/>
      <c r="AC939"/>
      <c r="AD939"/>
      <c r="AE939"/>
      <c r="AG939"/>
      <c r="AH939"/>
      <c r="AI939"/>
      <c r="AJ939"/>
      <c r="AL939" s="1"/>
    </row>
    <row r="940" spans="4:38" x14ac:dyDescent="0.3">
      <c r="D940"/>
      <c r="E940"/>
      <c r="F940"/>
      <c r="H940"/>
      <c r="I940"/>
      <c r="J940"/>
      <c r="K940"/>
      <c r="M940"/>
      <c r="N940"/>
      <c r="O940"/>
      <c r="P940"/>
      <c r="R940"/>
      <c r="S940"/>
      <c r="T940"/>
      <c r="U940"/>
      <c r="W940"/>
      <c r="X940"/>
      <c r="Y940"/>
      <c r="Z940"/>
      <c r="AB940"/>
      <c r="AC940"/>
      <c r="AD940"/>
      <c r="AE940"/>
      <c r="AG940"/>
      <c r="AH940"/>
      <c r="AI940"/>
      <c r="AJ940"/>
      <c r="AL940" s="1"/>
    </row>
    <row r="941" spans="4:38" x14ac:dyDescent="0.3">
      <c r="D941"/>
      <c r="E941"/>
      <c r="F941"/>
      <c r="H941"/>
      <c r="I941"/>
      <c r="J941"/>
      <c r="K941"/>
      <c r="M941"/>
      <c r="N941"/>
      <c r="O941"/>
      <c r="P941"/>
      <c r="R941"/>
      <c r="S941"/>
      <c r="T941"/>
      <c r="U941"/>
      <c r="W941"/>
      <c r="X941"/>
      <c r="Y941"/>
      <c r="Z941"/>
      <c r="AB941"/>
      <c r="AC941"/>
      <c r="AD941"/>
      <c r="AE941"/>
      <c r="AG941"/>
      <c r="AH941"/>
      <c r="AI941"/>
      <c r="AJ941"/>
      <c r="AL941" s="1"/>
    </row>
    <row r="942" spans="4:38" x14ac:dyDescent="0.3">
      <c r="D942"/>
      <c r="E942"/>
      <c r="F942"/>
      <c r="H942"/>
      <c r="I942"/>
      <c r="J942"/>
      <c r="K942"/>
      <c r="M942"/>
      <c r="N942"/>
      <c r="O942"/>
      <c r="P942"/>
      <c r="R942"/>
      <c r="S942"/>
      <c r="T942"/>
      <c r="U942"/>
      <c r="W942"/>
      <c r="X942"/>
      <c r="Y942"/>
      <c r="Z942"/>
      <c r="AB942"/>
      <c r="AC942"/>
      <c r="AD942"/>
      <c r="AE942"/>
      <c r="AG942"/>
      <c r="AH942"/>
      <c r="AI942"/>
      <c r="AJ942"/>
      <c r="AL942" s="1"/>
    </row>
    <row r="943" spans="4:38" x14ac:dyDescent="0.3">
      <c r="D943"/>
      <c r="E943"/>
      <c r="F943"/>
      <c r="H943"/>
      <c r="I943"/>
      <c r="J943"/>
      <c r="K943"/>
      <c r="M943"/>
      <c r="N943"/>
      <c r="O943"/>
      <c r="P943"/>
      <c r="R943"/>
      <c r="S943"/>
      <c r="T943"/>
      <c r="U943"/>
      <c r="W943"/>
      <c r="X943"/>
      <c r="Y943"/>
      <c r="Z943"/>
      <c r="AB943"/>
      <c r="AC943"/>
      <c r="AD943"/>
      <c r="AE943"/>
      <c r="AG943"/>
      <c r="AH943"/>
      <c r="AI943"/>
      <c r="AJ943"/>
      <c r="AL943" s="1"/>
    </row>
    <row r="944" spans="4:38" x14ac:dyDescent="0.3">
      <c r="D944"/>
      <c r="E944"/>
      <c r="F944"/>
      <c r="H944"/>
      <c r="I944"/>
      <c r="J944"/>
      <c r="K944"/>
      <c r="M944"/>
      <c r="N944"/>
      <c r="O944"/>
      <c r="P944"/>
      <c r="R944"/>
      <c r="S944"/>
      <c r="T944"/>
      <c r="U944"/>
      <c r="W944"/>
      <c r="X944"/>
      <c r="Y944"/>
      <c r="Z944"/>
      <c r="AB944"/>
      <c r="AC944"/>
      <c r="AD944"/>
      <c r="AE944"/>
      <c r="AG944"/>
      <c r="AH944"/>
      <c r="AI944"/>
      <c r="AJ944"/>
      <c r="AL944" s="1"/>
    </row>
    <row r="945" spans="4:38" x14ac:dyDescent="0.3">
      <c r="D945"/>
      <c r="E945"/>
      <c r="F945"/>
      <c r="H945"/>
      <c r="I945"/>
      <c r="J945"/>
      <c r="K945"/>
      <c r="M945"/>
      <c r="N945"/>
      <c r="O945"/>
      <c r="P945"/>
      <c r="R945"/>
      <c r="S945"/>
      <c r="T945"/>
      <c r="U945"/>
      <c r="W945"/>
      <c r="X945"/>
      <c r="Y945"/>
      <c r="Z945"/>
      <c r="AB945"/>
      <c r="AC945"/>
      <c r="AD945"/>
      <c r="AE945"/>
      <c r="AG945"/>
      <c r="AH945"/>
      <c r="AI945"/>
      <c r="AJ945"/>
      <c r="AL945" s="1"/>
    </row>
    <row r="946" spans="4:38" x14ac:dyDescent="0.3">
      <c r="D946"/>
      <c r="E946"/>
      <c r="F946"/>
      <c r="H946"/>
      <c r="I946"/>
      <c r="J946"/>
      <c r="K946"/>
      <c r="M946"/>
      <c r="N946"/>
      <c r="O946"/>
      <c r="P946"/>
      <c r="R946"/>
      <c r="S946"/>
      <c r="T946"/>
      <c r="U946"/>
      <c r="W946"/>
      <c r="X946"/>
      <c r="Y946"/>
      <c r="Z946"/>
      <c r="AB946"/>
      <c r="AC946"/>
      <c r="AD946"/>
      <c r="AE946"/>
      <c r="AG946"/>
      <c r="AH946"/>
      <c r="AI946"/>
      <c r="AJ946"/>
      <c r="AL946" s="1"/>
    </row>
    <row r="947" spans="4:38" x14ac:dyDescent="0.3">
      <c r="D947"/>
      <c r="E947"/>
      <c r="F947"/>
      <c r="H947"/>
      <c r="I947"/>
      <c r="J947"/>
      <c r="K947"/>
      <c r="M947"/>
      <c r="N947"/>
      <c r="O947"/>
      <c r="P947"/>
      <c r="R947"/>
      <c r="S947"/>
      <c r="T947"/>
      <c r="U947"/>
      <c r="W947"/>
      <c r="X947"/>
      <c r="Y947"/>
      <c r="Z947"/>
      <c r="AB947"/>
      <c r="AC947"/>
      <c r="AD947"/>
      <c r="AE947"/>
      <c r="AG947"/>
      <c r="AH947"/>
      <c r="AI947"/>
      <c r="AJ947"/>
      <c r="AL947" s="1"/>
    </row>
    <row r="948" spans="4:38" x14ac:dyDescent="0.3">
      <c r="D948"/>
      <c r="E948"/>
      <c r="F948"/>
      <c r="H948"/>
      <c r="I948"/>
      <c r="J948"/>
      <c r="K948"/>
      <c r="M948"/>
      <c r="N948"/>
      <c r="O948"/>
      <c r="P948"/>
      <c r="R948"/>
      <c r="S948"/>
      <c r="T948"/>
      <c r="U948"/>
      <c r="W948"/>
      <c r="X948"/>
      <c r="Y948"/>
      <c r="Z948"/>
      <c r="AB948"/>
      <c r="AC948"/>
      <c r="AD948"/>
      <c r="AE948"/>
      <c r="AG948"/>
      <c r="AH948"/>
      <c r="AI948"/>
      <c r="AJ948"/>
      <c r="AL948" s="1"/>
    </row>
  </sheetData>
  <sheetProtection algorithmName="SHA-512" hashValue="UmddfZZNWcsWoMezmTFBBy1wqlIXcvU19tql19sllRhJVQO4+AXCXCoDWyx7VMH+5wb5IyIYDF2VloVOEr7xjw==" saltValue="4Qr5FmcZ2+S3yojtChf0sw==" spinCount="100000" sheet="1" objects="1" scenarios="1" selectLockedCells="1" selectUnlockedCells="1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E0B8-3C77-4684-BE8D-33185473237F}">
  <sheetPr codeName="Sheet15"/>
  <dimension ref="A1:Y85"/>
  <sheetViews>
    <sheetView workbookViewId="0">
      <selection activeCell="O17" sqref="O17"/>
    </sheetView>
  </sheetViews>
  <sheetFormatPr defaultRowHeight="14.4" x14ac:dyDescent="0.3"/>
  <cols>
    <col min="1" max="1" width="7" customWidth="1"/>
    <col min="2" max="7" width="0.88671875" customWidth="1"/>
    <col min="8" max="8" width="0.88671875" style="1" customWidth="1"/>
    <col min="9" max="10" width="0.88671875" customWidth="1"/>
    <col min="11" max="11" width="0.88671875" style="1" customWidth="1"/>
    <col min="12" max="16" width="0.88671875" customWidth="1"/>
    <col min="17" max="17" width="0.88671875" style="1" customWidth="1"/>
    <col min="18" max="23" width="0.88671875" customWidth="1"/>
  </cols>
  <sheetData>
    <row r="1" spans="1:25" x14ac:dyDescent="0.3">
      <c r="A1" t="str">
        <f>'[2]G On Ice'!B1</f>
        <v>Player</v>
      </c>
      <c r="B1" s="33" t="str">
        <f>'[2]G On Ice'!C1</f>
        <v>Team</v>
      </c>
      <c r="C1" s="33" t="str">
        <f>'[2]G On Ice'!E1</f>
        <v>GP</v>
      </c>
      <c r="D1" s="33" t="str">
        <f>'[2]G On Ice'!U1</f>
        <v>xGA/60</v>
      </c>
      <c r="E1" s="33" t="str">
        <f>'[2]G On Ice'!R1</f>
        <v>GA/60</v>
      </c>
      <c r="F1" s="33"/>
      <c r="G1" s="33" t="e">
        <f>D1-E1</f>
        <v>#VALUE!</v>
      </c>
      <c r="H1" s="34" t="e">
        <f>_xlfn.RANK.EQ(V1,$V$2:$V$100,)/COUNT($V$2:$V$100)</f>
        <v>#VALUE!</v>
      </c>
      <c r="I1" s="33" t="e">
        <f>RANK(H1,$H$2:$H$100)</f>
        <v>#VALUE!</v>
      </c>
      <c r="J1" s="33"/>
      <c r="K1" s="34" t="e">
        <f>_xlfn.RANK.EQ(D1,$D$2:$D$100,1)/COUNT($D$2:$D$100)</f>
        <v>#VALUE!</v>
      </c>
      <c r="L1" s="33" t="e">
        <f>RANK(K1,$K$2:$K$100)</f>
        <v>#VALUE!</v>
      </c>
      <c r="M1" s="33"/>
      <c r="N1" s="34" t="e">
        <f>_xlfn.RANK.EQ(E1,$E$2:$E$100,0)/COUNT($E$2:$E$100)</f>
        <v>#VALUE!</v>
      </c>
      <c r="O1" s="33" t="e">
        <f>RANK(N1,$N$2:$N$100)</f>
        <v>#VALUE!</v>
      </c>
      <c r="P1" s="33"/>
      <c r="Q1" s="34" t="e">
        <f>_xlfn.RANK.EQ(C1,$C$2:$C$100,1)/COUNT($C$2:$C$100)</f>
        <v>#VALUE!</v>
      </c>
      <c r="R1" s="33"/>
      <c r="S1" s="33" t="str">
        <f>'[2]G On Ice'!AG1</f>
        <v>On-Ice SV%</v>
      </c>
      <c r="T1" s="33" t="e">
        <f>RANK(S1,$S$2:$S$100)</f>
        <v>#VALUE!</v>
      </c>
      <c r="U1" s="33" t="e">
        <f>RANK(G1,$G$2:$G$100)</f>
        <v>#VALUE!</v>
      </c>
      <c r="V1" s="33" t="e">
        <f>SUM(T1:U1)</f>
        <v>#VALUE!</v>
      </c>
      <c r="W1" s="33"/>
      <c r="X1" s="33"/>
      <c r="Y1" s="33"/>
    </row>
    <row r="2" spans="1:25" x14ac:dyDescent="0.3">
      <c r="A2" t="s">
        <v>353</v>
      </c>
      <c r="B2" t="s">
        <v>76</v>
      </c>
      <c r="C2">
        <v>27</v>
      </c>
      <c r="D2">
        <v>2.66</v>
      </c>
      <c r="E2">
        <v>2.5</v>
      </c>
      <c r="G2">
        <v>0.16000000000000014</v>
      </c>
      <c r="H2" s="1">
        <v>0.73493975903614461</v>
      </c>
      <c r="I2">
        <v>23</v>
      </c>
      <c r="K2" s="1">
        <v>0.14457831325301204</v>
      </c>
      <c r="L2">
        <v>71</v>
      </c>
      <c r="N2" s="1">
        <v>0.81927710843373491</v>
      </c>
      <c r="O2">
        <v>16</v>
      </c>
      <c r="Q2" s="1">
        <v>0.42168674698795183</v>
      </c>
      <c r="S2">
        <v>91.41</v>
      </c>
      <c r="T2">
        <v>19</v>
      </c>
      <c r="U2">
        <v>28</v>
      </c>
      <c r="V2">
        <v>47</v>
      </c>
    </row>
    <row r="3" spans="1:25" x14ac:dyDescent="0.3">
      <c r="A3" t="s">
        <v>354</v>
      </c>
      <c r="B3" t="s">
        <v>83</v>
      </c>
      <c r="C3">
        <v>18</v>
      </c>
      <c r="D3">
        <v>2.6</v>
      </c>
      <c r="E3">
        <v>2.13</v>
      </c>
      <c r="G3">
        <v>0.4700000000000002</v>
      </c>
      <c r="H3" s="1">
        <v>0.91566265060240959</v>
      </c>
      <c r="I3">
        <v>8</v>
      </c>
      <c r="K3" s="1">
        <v>7.2289156626506021E-2</v>
      </c>
      <c r="L3">
        <v>78</v>
      </c>
      <c r="N3" s="1">
        <v>0.97590361445783136</v>
      </c>
      <c r="O3">
        <v>3</v>
      </c>
      <c r="Q3" s="1">
        <v>0.18072289156626506</v>
      </c>
      <c r="S3">
        <v>92.16</v>
      </c>
      <c r="T3">
        <v>6</v>
      </c>
      <c r="U3">
        <v>10</v>
      </c>
      <c r="V3">
        <v>16</v>
      </c>
    </row>
    <row r="4" spans="1:25" x14ac:dyDescent="0.3">
      <c r="A4" t="s">
        <v>355</v>
      </c>
      <c r="B4" t="s">
        <v>57</v>
      </c>
      <c r="C4">
        <v>15</v>
      </c>
      <c r="D4">
        <v>3.47</v>
      </c>
      <c r="E4">
        <v>2.89</v>
      </c>
      <c r="G4">
        <v>0.58000000000000007</v>
      </c>
      <c r="H4" s="1">
        <v>0.84337349397590367</v>
      </c>
      <c r="I4">
        <v>14</v>
      </c>
      <c r="K4" s="1">
        <v>0.93975903614457834</v>
      </c>
      <c r="L4">
        <v>6</v>
      </c>
      <c r="N4" s="1">
        <v>0.59036144578313254</v>
      </c>
      <c r="O4">
        <v>35</v>
      </c>
      <c r="Q4" s="1">
        <v>0.10843373493975904</v>
      </c>
      <c r="S4">
        <v>91.21</v>
      </c>
      <c r="T4">
        <v>23</v>
      </c>
      <c r="U4">
        <v>5</v>
      </c>
      <c r="V4">
        <v>28</v>
      </c>
    </row>
    <row r="5" spans="1:25" x14ac:dyDescent="0.3">
      <c r="A5" t="s">
        <v>356</v>
      </c>
      <c r="B5" t="s">
        <v>52</v>
      </c>
      <c r="C5">
        <v>15</v>
      </c>
      <c r="D5">
        <v>2.98</v>
      </c>
      <c r="E5">
        <v>3.53</v>
      </c>
      <c r="G5">
        <v>-0.54999999999999982</v>
      </c>
      <c r="H5" s="1">
        <v>0.2289156626506024</v>
      </c>
      <c r="I5">
        <v>65</v>
      </c>
      <c r="K5" s="1">
        <v>0.49397590361445781</v>
      </c>
      <c r="L5">
        <v>42</v>
      </c>
      <c r="N5" s="1">
        <v>0.20481927710843373</v>
      </c>
      <c r="O5">
        <v>67</v>
      </c>
      <c r="Q5" s="1">
        <v>0.10843373493975904</v>
      </c>
      <c r="S5">
        <v>89.48</v>
      </c>
      <c r="T5">
        <v>56</v>
      </c>
      <c r="U5">
        <v>73</v>
      </c>
      <c r="V5">
        <v>129</v>
      </c>
    </row>
    <row r="6" spans="1:25" x14ac:dyDescent="0.3">
      <c r="A6" t="s">
        <v>357</v>
      </c>
      <c r="B6" t="s">
        <v>70</v>
      </c>
      <c r="C6">
        <v>27</v>
      </c>
      <c r="D6">
        <v>2.85</v>
      </c>
      <c r="E6">
        <v>3.01</v>
      </c>
      <c r="G6">
        <v>-0.1599999999999997</v>
      </c>
      <c r="H6" s="1">
        <v>0.50602409638554213</v>
      </c>
      <c r="I6">
        <v>42</v>
      </c>
      <c r="K6" s="1">
        <v>0.37349397590361444</v>
      </c>
      <c r="L6">
        <v>53</v>
      </c>
      <c r="N6" s="1">
        <v>0.48192771084337349</v>
      </c>
      <c r="O6">
        <v>43</v>
      </c>
      <c r="Q6" s="1">
        <v>0.42168674698795183</v>
      </c>
      <c r="S6">
        <v>90.8</v>
      </c>
      <c r="T6">
        <v>30</v>
      </c>
      <c r="U6">
        <v>53</v>
      </c>
      <c r="V6">
        <v>83</v>
      </c>
    </row>
    <row r="7" spans="1:25" x14ac:dyDescent="0.3">
      <c r="A7" t="s">
        <v>358</v>
      </c>
      <c r="B7" t="s">
        <v>61</v>
      </c>
      <c r="C7">
        <v>62</v>
      </c>
      <c r="D7">
        <v>2.82</v>
      </c>
      <c r="E7">
        <v>2.5299999999999998</v>
      </c>
      <c r="G7">
        <v>0.29000000000000004</v>
      </c>
      <c r="H7" s="1">
        <v>0.81927710843373491</v>
      </c>
      <c r="I7">
        <v>16</v>
      </c>
      <c r="K7" s="1">
        <v>0.31325301204819278</v>
      </c>
      <c r="L7">
        <v>56</v>
      </c>
      <c r="N7" s="1">
        <v>0.80722891566265065</v>
      </c>
      <c r="O7">
        <v>17</v>
      </c>
      <c r="Q7" s="1">
        <v>0.95180722891566261</v>
      </c>
      <c r="S7">
        <v>91.81</v>
      </c>
      <c r="T7">
        <v>12</v>
      </c>
      <c r="U7">
        <v>19</v>
      </c>
      <c r="V7">
        <v>31</v>
      </c>
    </row>
    <row r="8" spans="1:25" x14ac:dyDescent="0.3">
      <c r="A8" t="s">
        <v>359</v>
      </c>
      <c r="B8" t="s">
        <v>60</v>
      </c>
      <c r="C8">
        <v>60</v>
      </c>
      <c r="D8">
        <v>2.98</v>
      </c>
      <c r="E8">
        <v>2.65</v>
      </c>
      <c r="G8">
        <v>0.33000000000000007</v>
      </c>
      <c r="H8" s="1">
        <v>0.83132530120481929</v>
      </c>
      <c r="I8">
        <v>15</v>
      </c>
      <c r="K8" s="1">
        <v>0.49397590361445781</v>
      </c>
      <c r="L8">
        <v>42</v>
      </c>
      <c r="N8" s="1">
        <v>0.75903614457831325</v>
      </c>
      <c r="O8">
        <v>20</v>
      </c>
      <c r="Q8" s="1">
        <v>0.92771084337349397</v>
      </c>
      <c r="S8">
        <v>91.52</v>
      </c>
      <c r="T8">
        <v>16</v>
      </c>
      <c r="U8">
        <v>14</v>
      </c>
      <c r="V8">
        <v>30</v>
      </c>
    </row>
    <row r="9" spans="1:25" x14ac:dyDescent="0.3">
      <c r="A9" t="s">
        <v>360</v>
      </c>
      <c r="B9" t="s">
        <v>53</v>
      </c>
      <c r="C9">
        <v>19</v>
      </c>
      <c r="D9">
        <v>3.79</v>
      </c>
      <c r="E9">
        <v>3.73</v>
      </c>
      <c r="G9">
        <v>6.0000000000000053E-2</v>
      </c>
      <c r="H9" s="1">
        <v>0.44578313253012047</v>
      </c>
      <c r="I9">
        <v>46</v>
      </c>
      <c r="K9" s="1">
        <v>0.98795180722891562</v>
      </c>
      <c r="L9">
        <v>2</v>
      </c>
      <c r="N9" s="1">
        <v>0.12048192771084337</v>
      </c>
      <c r="O9">
        <v>74</v>
      </c>
      <c r="Q9" s="1">
        <v>0.20481927710843373</v>
      </c>
      <c r="S9">
        <v>89.7</v>
      </c>
      <c r="T9">
        <v>54</v>
      </c>
      <c r="U9">
        <v>35</v>
      </c>
      <c r="V9">
        <v>89</v>
      </c>
    </row>
    <row r="10" spans="1:25" x14ac:dyDescent="0.3">
      <c r="A10" t="s">
        <v>361</v>
      </c>
      <c r="B10" t="s">
        <v>59</v>
      </c>
      <c r="C10">
        <v>28</v>
      </c>
      <c r="D10">
        <v>3.34</v>
      </c>
      <c r="E10">
        <v>3.26</v>
      </c>
      <c r="G10">
        <v>8.0000000000000071E-2</v>
      </c>
      <c r="H10" s="1">
        <v>0.54216867469879515</v>
      </c>
      <c r="I10">
        <v>38</v>
      </c>
      <c r="K10" s="1">
        <v>0.86746987951807231</v>
      </c>
      <c r="L10">
        <v>12</v>
      </c>
      <c r="N10" s="1">
        <v>0.3493975903614458</v>
      </c>
      <c r="O10">
        <v>55</v>
      </c>
      <c r="Q10" s="1">
        <v>0.48192771084337349</v>
      </c>
      <c r="S10">
        <v>90.21</v>
      </c>
      <c r="T10">
        <v>41</v>
      </c>
      <c r="U10">
        <v>34</v>
      </c>
      <c r="V10">
        <v>75</v>
      </c>
    </row>
    <row r="11" spans="1:25" x14ac:dyDescent="0.3">
      <c r="A11" t="s">
        <v>362</v>
      </c>
      <c r="B11" t="s">
        <v>72</v>
      </c>
      <c r="C11">
        <v>27</v>
      </c>
      <c r="D11">
        <v>2.34</v>
      </c>
      <c r="E11">
        <v>2.23</v>
      </c>
      <c r="G11">
        <v>0.10999999999999988</v>
      </c>
      <c r="H11" s="1">
        <v>0.68674698795180722</v>
      </c>
      <c r="I11">
        <v>27</v>
      </c>
      <c r="K11" s="1">
        <v>1.2048192771084338E-2</v>
      </c>
      <c r="L11">
        <v>83</v>
      </c>
      <c r="N11" s="1">
        <v>0.93975903614457834</v>
      </c>
      <c r="O11">
        <v>6</v>
      </c>
      <c r="Q11" s="1">
        <v>0.42168674698795183</v>
      </c>
      <c r="S11">
        <v>90.99</v>
      </c>
      <c r="T11">
        <v>26</v>
      </c>
      <c r="U11">
        <v>29</v>
      </c>
      <c r="V11">
        <v>55</v>
      </c>
    </row>
    <row r="12" spans="1:25" x14ac:dyDescent="0.3">
      <c r="A12" t="s">
        <v>363</v>
      </c>
      <c r="B12" t="s">
        <v>70</v>
      </c>
      <c r="C12">
        <v>15</v>
      </c>
      <c r="D12">
        <v>3.05</v>
      </c>
      <c r="E12">
        <v>3.45</v>
      </c>
      <c r="G12">
        <v>-0.40000000000000036</v>
      </c>
      <c r="H12" s="1">
        <v>0.24096385542168675</v>
      </c>
      <c r="I12">
        <v>63</v>
      </c>
      <c r="K12" s="1">
        <v>0.61445783132530118</v>
      </c>
      <c r="L12">
        <v>30</v>
      </c>
      <c r="N12" s="1">
        <v>0.2289156626506024</v>
      </c>
      <c r="O12">
        <v>65</v>
      </c>
      <c r="Q12" s="1">
        <v>0.10843373493975904</v>
      </c>
      <c r="S12">
        <v>89.4</v>
      </c>
      <c r="T12">
        <v>60</v>
      </c>
      <c r="U12">
        <v>68</v>
      </c>
      <c r="V12">
        <v>128</v>
      </c>
    </row>
    <row r="13" spans="1:25" x14ac:dyDescent="0.3">
      <c r="A13" t="s">
        <v>364</v>
      </c>
      <c r="B13" t="s">
        <v>60</v>
      </c>
      <c r="C13">
        <v>22</v>
      </c>
      <c r="D13">
        <v>3.05</v>
      </c>
      <c r="E13">
        <v>3.4</v>
      </c>
      <c r="G13">
        <v>-0.35000000000000009</v>
      </c>
      <c r="H13" s="1">
        <v>0.21686746987951808</v>
      </c>
      <c r="I13">
        <v>66</v>
      </c>
      <c r="K13" s="1">
        <v>0.61445783132530118</v>
      </c>
      <c r="L13">
        <v>30</v>
      </c>
      <c r="N13" s="1">
        <v>0.28915662650602408</v>
      </c>
      <c r="O13">
        <v>60</v>
      </c>
      <c r="Q13" s="1">
        <v>0.33734939759036142</v>
      </c>
      <c r="S13">
        <v>89.11</v>
      </c>
      <c r="T13">
        <v>67</v>
      </c>
      <c r="U13">
        <v>64</v>
      </c>
      <c r="V13">
        <v>131</v>
      </c>
    </row>
    <row r="14" spans="1:25" x14ac:dyDescent="0.3">
      <c r="A14" t="s">
        <v>365</v>
      </c>
      <c r="B14" t="s">
        <v>56</v>
      </c>
      <c r="C14">
        <v>10</v>
      </c>
      <c r="D14">
        <v>2.4700000000000002</v>
      </c>
      <c r="E14">
        <v>3.75</v>
      </c>
      <c r="G14">
        <v>-1.2799999999999998</v>
      </c>
      <c r="H14" s="1">
        <v>1.2048192771084338E-2</v>
      </c>
      <c r="I14">
        <v>83</v>
      </c>
      <c r="K14" s="1">
        <v>4.8192771084337352E-2</v>
      </c>
      <c r="L14">
        <v>80</v>
      </c>
      <c r="N14" s="1">
        <v>0.10843373493975904</v>
      </c>
      <c r="O14">
        <v>75</v>
      </c>
      <c r="Q14" s="1">
        <v>6.0240963855421686E-2</v>
      </c>
      <c r="S14">
        <v>86.77</v>
      </c>
      <c r="T14">
        <v>83</v>
      </c>
      <c r="U14">
        <v>83</v>
      </c>
      <c r="V14">
        <v>166</v>
      </c>
    </row>
    <row r="15" spans="1:25" x14ac:dyDescent="0.3">
      <c r="A15" t="s">
        <v>366</v>
      </c>
      <c r="B15" t="s">
        <v>59</v>
      </c>
      <c r="C15">
        <v>36</v>
      </c>
      <c r="D15">
        <v>2.86</v>
      </c>
      <c r="E15">
        <v>2.93</v>
      </c>
      <c r="G15">
        <v>-7.0000000000000284E-2</v>
      </c>
      <c r="H15" s="1">
        <v>0.42168674698795183</v>
      </c>
      <c r="I15">
        <v>49</v>
      </c>
      <c r="K15" s="1">
        <v>0.38554216867469882</v>
      </c>
      <c r="L15">
        <v>52</v>
      </c>
      <c r="N15" s="1">
        <v>0.54216867469879515</v>
      </c>
      <c r="O15">
        <v>39</v>
      </c>
      <c r="Q15" s="1">
        <v>0.5662650602409639</v>
      </c>
      <c r="S15">
        <v>89.84</v>
      </c>
      <c r="T15">
        <v>52</v>
      </c>
      <c r="U15">
        <v>46</v>
      </c>
      <c r="V15">
        <v>98</v>
      </c>
    </row>
    <row r="16" spans="1:25" x14ac:dyDescent="0.3">
      <c r="A16" t="s">
        <v>367</v>
      </c>
      <c r="B16" t="s">
        <v>85</v>
      </c>
      <c r="C16">
        <v>55</v>
      </c>
      <c r="D16">
        <v>3.04</v>
      </c>
      <c r="E16">
        <v>2.94</v>
      </c>
      <c r="G16">
        <v>0.10000000000000009</v>
      </c>
      <c r="H16" s="1">
        <v>0.63855421686746983</v>
      </c>
      <c r="I16">
        <v>30</v>
      </c>
      <c r="K16" s="1">
        <v>0.57831325301204817</v>
      </c>
      <c r="L16">
        <v>34</v>
      </c>
      <c r="N16" s="1">
        <v>0.51807228915662651</v>
      </c>
      <c r="O16">
        <v>40</v>
      </c>
      <c r="Q16" s="1">
        <v>0.86746987951807231</v>
      </c>
      <c r="S16">
        <v>90.69</v>
      </c>
      <c r="T16">
        <v>34</v>
      </c>
      <c r="U16">
        <v>31</v>
      </c>
      <c r="V16">
        <v>65</v>
      </c>
    </row>
    <row r="17" spans="1:22" x14ac:dyDescent="0.3">
      <c r="A17" t="s">
        <v>368</v>
      </c>
      <c r="B17" t="s">
        <v>79</v>
      </c>
      <c r="C17">
        <v>38</v>
      </c>
      <c r="D17">
        <v>3.28</v>
      </c>
      <c r="E17">
        <v>3.17</v>
      </c>
      <c r="G17">
        <v>0.10999999999999988</v>
      </c>
      <c r="H17" s="1">
        <v>0.63855421686746983</v>
      </c>
      <c r="I17">
        <v>30</v>
      </c>
      <c r="K17" s="1">
        <v>0.84337349397590367</v>
      </c>
      <c r="L17">
        <v>13</v>
      </c>
      <c r="N17" s="1">
        <v>0.39759036144578314</v>
      </c>
      <c r="O17">
        <v>51</v>
      </c>
      <c r="Q17" s="1">
        <v>0.63855421686746983</v>
      </c>
      <c r="S17">
        <v>90.46</v>
      </c>
      <c r="T17">
        <v>36</v>
      </c>
      <c r="U17">
        <v>29</v>
      </c>
      <c r="V17">
        <v>65</v>
      </c>
    </row>
    <row r="18" spans="1:22" x14ac:dyDescent="0.3">
      <c r="A18" t="s">
        <v>369</v>
      </c>
      <c r="B18" t="s">
        <v>62</v>
      </c>
      <c r="C18">
        <v>31</v>
      </c>
      <c r="D18">
        <v>2.87</v>
      </c>
      <c r="E18">
        <v>3.05</v>
      </c>
      <c r="G18">
        <v>-0.17999999999999972</v>
      </c>
      <c r="H18" s="1">
        <v>0.36144578313253012</v>
      </c>
      <c r="I18">
        <v>53</v>
      </c>
      <c r="K18" s="1">
        <v>0.39759036144578314</v>
      </c>
      <c r="L18">
        <v>50</v>
      </c>
      <c r="N18" s="1">
        <v>0.46987951807228917</v>
      </c>
      <c r="O18">
        <v>45</v>
      </c>
      <c r="Q18" s="1">
        <v>0.51807228915662651</v>
      </c>
      <c r="S18">
        <v>89.92</v>
      </c>
      <c r="T18">
        <v>49</v>
      </c>
      <c r="U18">
        <v>56</v>
      </c>
      <c r="V18">
        <v>105</v>
      </c>
    </row>
    <row r="19" spans="1:22" x14ac:dyDescent="0.3">
      <c r="A19" t="s">
        <v>370</v>
      </c>
      <c r="B19" t="s">
        <v>71</v>
      </c>
      <c r="C19">
        <v>20</v>
      </c>
      <c r="D19">
        <v>3.02</v>
      </c>
      <c r="E19">
        <v>3.28</v>
      </c>
      <c r="G19">
        <v>-0.25999999999999979</v>
      </c>
      <c r="H19" s="1">
        <v>0.18072289156626506</v>
      </c>
      <c r="I19">
        <v>68</v>
      </c>
      <c r="K19" s="1">
        <v>0.54216867469879515</v>
      </c>
      <c r="L19">
        <v>38</v>
      </c>
      <c r="N19" s="1">
        <v>0.33734939759036142</v>
      </c>
      <c r="O19">
        <v>56</v>
      </c>
      <c r="Q19" s="1">
        <v>0.26506024096385544</v>
      </c>
      <c r="S19">
        <v>88.21</v>
      </c>
      <c r="T19">
        <v>77</v>
      </c>
      <c r="U19">
        <v>58</v>
      </c>
      <c r="V19">
        <v>135</v>
      </c>
    </row>
    <row r="20" spans="1:22" x14ac:dyDescent="0.3">
      <c r="A20" t="s">
        <v>371</v>
      </c>
      <c r="B20" t="s">
        <v>54</v>
      </c>
      <c r="C20">
        <v>64</v>
      </c>
      <c r="D20">
        <v>3.02</v>
      </c>
      <c r="E20">
        <v>2.4900000000000002</v>
      </c>
      <c r="G20">
        <v>0.5299999999999998</v>
      </c>
      <c r="H20" s="1">
        <v>0.92771084337349397</v>
      </c>
      <c r="I20">
        <v>7</v>
      </c>
      <c r="K20" s="1">
        <v>0.54216867469879515</v>
      </c>
      <c r="L20">
        <v>38</v>
      </c>
      <c r="N20" s="1">
        <v>0.83132530120481929</v>
      </c>
      <c r="O20">
        <v>15</v>
      </c>
      <c r="Q20" s="1">
        <v>0.98795180722891562</v>
      </c>
      <c r="S20">
        <v>92.01</v>
      </c>
      <c r="T20">
        <v>8</v>
      </c>
      <c r="U20">
        <v>7</v>
      </c>
      <c r="V20">
        <v>15</v>
      </c>
    </row>
    <row r="21" spans="1:22" x14ac:dyDescent="0.3">
      <c r="A21" t="s">
        <v>372</v>
      </c>
      <c r="B21" t="s">
        <v>73</v>
      </c>
      <c r="C21">
        <v>27</v>
      </c>
      <c r="D21">
        <v>3.41</v>
      </c>
      <c r="E21">
        <v>3.37</v>
      </c>
      <c r="G21">
        <v>4.0000000000000036E-2</v>
      </c>
      <c r="H21" s="1">
        <v>0.60240963855421692</v>
      </c>
      <c r="I21">
        <v>32</v>
      </c>
      <c r="K21" s="1">
        <v>0.91566265060240959</v>
      </c>
      <c r="L21">
        <v>8</v>
      </c>
      <c r="N21" s="1">
        <v>0.30120481927710846</v>
      </c>
      <c r="O21">
        <v>59</v>
      </c>
      <c r="Q21" s="1">
        <v>0.42168674698795183</v>
      </c>
      <c r="S21">
        <v>90.72</v>
      </c>
      <c r="T21">
        <v>33</v>
      </c>
      <c r="U21">
        <v>36</v>
      </c>
      <c r="V21">
        <v>69</v>
      </c>
    </row>
    <row r="22" spans="1:22" x14ac:dyDescent="0.3">
      <c r="A22" t="s">
        <v>373</v>
      </c>
      <c r="B22" t="s">
        <v>63</v>
      </c>
      <c r="C22">
        <v>26</v>
      </c>
      <c r="D22">
        <v>3.04</v>
      </c>
      <c r="E22">
        <v>3.06</v>
      </c>
      <c r="G22">
        <v>-2.0000000000000018E-2</v>
      </c>
      <c r="H22" s="1">
        <v>0.5662650602409639</v>
      </c>
      <c r="I22">
        <v>37</v>
      </c>
      <c r="K22" s="1">
        <v>0.57831325301204817</v>
      </c>
      <c r="L22">
        <v>34</v>
      </c>
      <c r="N22" s="1">
        <v>0.45783132530120479</v>
      </c>
      <c r="O22">
        <v>46</v>
      </c>
      <c r="Q22" s="1">
        <v>0.39759036144578314</v>
      </c>
      <c r="S22">
        <v>90.77</v>
      </c>
      <c r="T22">
        <v>32</v>
      </c>
      <c r="U22">
        <v>41</v>
      </c>
      <c r="V22">
        <v>73</v>
      </c>
    </row>
    <row r="23" spans="1:22" x14ac:dyDescent="0.3">
      <c r="A23" t="s">
        <v>374</v>
      </c>
      <c r="B23" t="s">
        <v>55</v>
      </c>
      <c r="C23">
        <v>27</v>
      </c>
      <c r="D23">
        <v>2.61</v>
      </c>
      <c r="E23">
        <v>2.91</v>
      </c>
      <c r="G23">
        <v>-0.30000000000000027</v>
      </c>
      <c r="H23" s="1">
        <v>0.27710843373493976</v>
      </c>
      <c r="I23">
        <v>61</v>
      </c>
      <c r="K23" s="1">
        <v>8.4337349397590355E-2</v>
      </c>
      <c r="L23">
        <v>77</v>
      </c>
      <c r="N23" s="1">
        <v>0.5662650602409639</v>
      </c>
      <c r="O23">
        <v>37</v>
      </c>
      <c r="Q23" s="1">
        <v>0.42168674698795183</v>
      </c>
      <c r="S23">
        <v>89.24</v>
      </c>
      <c r="T23">
        <v>63</v>
      </c>
      <c r="U23">
        <v>60</v>
      </c>
      <c r="V23">
        <v>123</v>
      </c>
    </row>
    <row r="24" spans="1:22" x14ac:dyDescent="0.3">
      <c r="A24" t="s">
        <v>375</v>
      </c>
      <c r="B24" t="s">
        <v>74</v>
      </c>
      <c r="C24">
        <v>17</v>
      </c>
      <c r="D24">
        <v>3.36</v>
      </c>
      <c r="E24">
        <v>3.91</v>
      </c>
      <c r="G24">
        <v>-0.55000000000000027</v>
      </c>
      <c r="H24" s="1">
        <v>0.14457831325301204</v>
      </c>
      <c r="I24">
        <v>71</v>
      </c>
      <c r="K24" s="1">
        <v>0.87951807228915657</v>
      </c>
      <c r="L24">
        <v>10</v>
      </c>
      <c r="N24" s="1">
        <v>7.2289156626506021E-2</v>
      </c>
      <c r="O24">
        <v>78</v>
      </c>
      <c r="Q24" s="1">
        <v>0.16867469879518071</v>
      </c>
      <c r="S24">
        <v>89.2</v>
      </c>
      <c r="T24">
        <v>65</v>
      </c>
      <c r="U24">
        <v>74</v>
      </c>
      <c r="V24">
        <v>139</v>
      </c>
    </row>
    <row r="25" spans="1:22" x14ac:dyDescent="0.3">
      <c r="A25" t="s">
        <v>376</v>
      </c>
      <c r="B25" t="s">
        <v>62</v>
      </c>
      <c r="C25">
        <v>57</v>
      </c>
      <c r="D25">
        <v>3.05</v>
      </c>
      <c r="E25">
        <v>2.87</v>
      </c>
      <c r="G25">
        <v>0.17999999999999972</v>
      </c>
      <c r="H25" s="1">
        <v>0.66265060240963858</v>
      </c>
      <c r="I25">
        <v>28</v>
      </c>
      <c r="K25" s="1">
        <v>0.61445783132530118</v>
      </c>
      <c r="L25">
        <v>30</v>
      </c>
      <c r="N25" s="1">
        <v>0.60240963855421692</v>
      </c>
      <c r="O25">
        <v>34</v>
      </c>
      <c r="Q25" s="1">
        <v>0.89156626506024095</v>
      </c>
      <c r="S25">
        <v>90.81</v>
      </c>
      <c r="T25">
        <v>29</v>
      </c>
      <c r="U25">
        <v>27</v>
      </c>
      <c r="V25">
        <v>56</v>
      </c>
    </row>
    <row r="26" spans="1:22" x14ac:dyDescent="0.3">
      <c r="A26" t="s">
        <v>377</v>
      </c>
      <c r="B26" t="s">
        <v>54</v>
      </c>
      <c r="C26">
        <v>21</v>
      </c>
      <c r="D26">
        <v>2.4500000000000002</v>
      </c>
      <c r="E26">
        <v>2.67</v>
      </c>
      <c r="G26">
        <v>-0.21999999999999975</v>
      </c>
      <c r="H26" s="1">
        <v>0.39759036144578314</v>
      </c>
      <c r="I26">
        <v>51</v>
      </c>
      <c r="K26" s="1">
        <v>2.4096385542168676E-2</v>
      </c>
      <c r="L26">
        <v>81</v>
      </c>
      <c r="N26" s="1">
        <v>0.73493975903614461</v>
      </c>
      <c r="O26">
        <v>22</v>
      </c>
      <c r="Q26" s="1">
        <v>0.28915662650602408</v>
      </c>
      <c r="S26">
        <v>90.12</v>
      </c>
      <c r="T26">
        <v>44</v>
      </c>
      <c r="U26">
        <v>57</v>
      </c>
      <c r="V26">
        <v>101</v>
      </c>
    </row>
    <row r="27" spans="1:22" x14ac:dyDescent="0.3">
      <c r="A27" t="s">
        <v>378</v>
      </c>
      <c r="B27" t="s">
        <v>63</v>
      </c>
      <c r="C27">
        <v>7</v>
      </c>
      <c r="D27">
        <v>3.25</v>
      </c>
      <c r="E27">
        <v>2.94</v>
      </c>
      <c r="G27">
        <v>0.31000000000000005</v>
      </c>
      <c r="H27" s="1">
        <v>0.6987951807228916</v>
      </c>
      <c r="I27">
        <v>25</v>
      </c>
      <c r="K27" s="1">
        <v>0.80722891566265065</v>
      </c>
      <c r="L27">
        <v>16</v>
      </c>
      <c r="N27" s="1">
        <v>0.51807228915662651</v>
      </c>
      <c r="O27">
        <v>40</v>
      </c>
      <c r="Q27" s="1">
        <v>2.4096385542168676E-2</v>
      </c>
      <c r="S27">
        <v>90.54</v>
      </c>
      <c r="T27">
        <v>35</v>
      </c>
      <c r="U27">
        <v>18</v>
      </c>
      <c r="V27">
        <v>53</v>
      </c>
    </row>
    <row r="28" spans="1:22" x14ac:dyDescent="0.3">
      <c r="A28" t="s">
        <v>379</v>
      </c>
      <c r="B28" t="s">
        <v>74</v>
      </c>
      <c r="C28">
        <v>30</v>
      </c>
      <c r="D28">
        <v>3.13</v>
      </c>
      <c r="E28">
        <v>4.2300000000000004</v>
      </c>
      <c r="G28">
        <v>-1.1000000000000005</v>
      </c>
      <c r="H28" s="1">
        <v>3.614457831325301E-2</v>
      </c>
      <c r="I28">
        <v>81</v>
      </c>
      <c r="K28" s="1">
        <v>0.71084337349397586</v>
      </c>
      <c r="L28">
        <v>24</v>
      </c>
      <c r="N28" s="1">
        <v>2.4096385542168676E-2</v>
      </c>
      <c r="O28">
        <v>82</v>
      </c>
      <c r="Q28" s="1">
        <v>0.50602409638554213</v>
      </c>
      <c r="S28">
        <v>87.63</v>
      </c>
      <c r="T28">
        <v>80</v>
      </c>
      <c r="U28">
        <v>82</v>
      </c>
      <c r="V28">
        <v>162</v>
      </c>
    </row>
    <row r="29" spans="1:22" x14ac:dyDescent="0.3">
      <c r="A29" t="s">
        <v>380</v>
      </c>
      <c r="B29" t="s">
        <v>63</v>
      </c>
      <c r="C29">
        <v>19</v>
      </c>
      <c r="D29">
        <v>3.16</v>
      </c>
      <c r="E29">
        <v>3.67</v>
      </c>
      <c r="G29">
        <v>-0.50999999999999979</v>
      </c>
      <c r="H29" s="1">
        <v>0.12048192771084337</v>
      </c>
      <c r="I29">
        <v>74</v>
      </c>
      <c r="K29" s="1">
        <v>0.73493975903614461</v>
      </c>
      <c r="L29">
        <v>22</v>
      </c>
      <c r="N29" s="1">
        <v>0.14457831325301204</v>
      </c>
      <c r="O29">
        <v>72</v>
      </c>
      <c r="Q29" s="1">
        <v>0.20481927710843373</v>
      </c>
      <c r="S29">
        <v>88.55</v>
      </c>
      <c r="T29">
        <v>74</v>
      </c>
      <c r="U29">
        <v>72</v>
      </c>
      <c r="V29">
        <v>146</v>
      </c>
    </row>
    <row r="30" spans="1:22" x14ac:dyDescent="0.3">
      <c r="A30" t="s">
        <v>381</v>
      </c>
      <c r="B30" t="s">
        <v>66</v>
      </c>
      <c r="C30">
        <v>10</v>
      </c>
      <c r="D30">
        <v>2.52</v>
      </c>
      <c r="E30">
        <v>2.67</v>
      </c>
      <c r="G30">
        <v>-0.14999999999999991</v>
      </c>
      <c r="H30" s="1">
        <v>0.38554216867469882</v>
      </c>
      <c r="I30">
        <v>52</v>
      </c>
      <c r="K30" s="1">
        <v>6.0240963855421686E-2</v>
      </c>
      <c r="L30">
        <v>79</v>
      </c>
      <c r="N30" s="1">
        <v>0.73493975903614461</v>
      </c>
      <c r="O30">
        <v>22</v>
      </c>
      <c r="Q30" s="1">
        <v>6.0240963855421686E-2</v>
      </c>
      <c r="S30">
        <v>89.84</v>
      </c>
      <c r="T30">
        <v>52</v>
      </c>
      <c r="U30">
        <v>51</v>
      </c>
      <c r="V30">
        <v>103</v>
      </c>
    </row>
    <row r="31" spans="1:22" x14ac:dyDescent="0.3">
      <c r="A31" t="s">
        <v>382</v>
      </c>
      <c r="B31" t="s">
        <v>85</v>
      </c>
      <c r="C31">
        <v>20</v>
      </c>
      <c r="D31">
        <v>2.97</v>
      </c>
      <c r="E31">
        <v>3.72</v>
      </c>
      <c r="G31">
        <v>-0.75</v>
      </c>
      <c r="H31" s="1">
        <v>4.8192771084337352E-2</v>
      </c>
      <c r="I31">
        <v>79</v>
      </c>
      <c r="K31" s="1">
        <v>0.48192771084337349</v>
      </c>
      <c r="L31">
        <v>44</v>
      </c>
      <c r="N31" s="1">
        <v>0.13253012048192772</v>
      </c>
      <c r="O31">
        <v>73</v>
      </c>
      <c r="Q31" s="1">
        <v>0.26506024096385544</v>
      </c>
      <c r="S31">
        <v>88</v>
      </c>
      <c r="T31">
        <v>79</v>
      </c>
      <c r="U31">
        <v>80</v>
      </c>
      <c r="V31">
        <v>159</v>
      </c>
    </row>
    <row r="32" spans="1:22" x14ac:dyDescent="0.3">
      <c r="A32" t="s">
        <v>383</v>
      </c>
      <c r="B32" t="s">
        <v>75</v>
      </c>
      <c r="C32">
        <v>39</v>
      </c>
      <c r="D32">
        <v>2.69</v>
      </c>
      <c r="E32">
        <v>2.1</v>
      </c>
      <c r="G32">
        <v>0.58999999999999986</v>
      </c>
      <c r="H32" s="1">
        <v>0.96385542168674698</v>
      </c>
      <c r="I32">
        <v>3</v>
      </c>
      <c r="K32" s="1">
        <v>0.18072289156626506</v>
      </c>
      <c r="L32">
        <v>68</v>
      </c>
      <c r="N32" s="1">
        <v>0.98795180722891562</v>
      </c>
      <c r="O32">
        <v>2</v>
      </c>
      <c r="Q32" s="1">
        <v>0.6506024096385542</v>
      </c>
      <c r="S32">
        <v>93.09</v>
      </c>
      <c r="T32">
        <v>3</v>
      </c>
      <c r="U32">
        <v>4</v>
      </c>
      <c r="V32">
        <v>7</v>
      </c>
    </row>
    <row r="33" spans="1:22" x14ac:dyDescent="0.3">
      <c r="A33" t="s">
        <v>384</v>
      </c>
      <c r="B33" t="s">
        <v>72</v>
      </c>
      <c r="C33">
        <v>34</v>
      </c>
      <c r="D33">
        <v>2.4500000000000002</v>
      </c>
      <c r="E33">
        <v>2.48</v>
      </c>
      <c r="G33">
        <v>-2.9999999999999805E-2</v>
      </c>
      <c r="H33" s="1">
        <v>0.51807228915662651</v>
      </c>
      <c r="I33">
        <v>41</v>
      </c>
      <c r="K33" s="1">
        <v>2.4096385542168676E-2</v>
      </c>
      <c r="L33">
        <v>81</v>
      </c>
      <c r="N33" s="1">
        <v>0.84337349397590367</v>
      </c>
      <c r="O33">
        <v>13</v>
      </c>
      <c r="Q33" s="1">
        <v>0.55421686746987953</v>
      </c>
      <c r="S33">
        <v>90.34</v>
      </c>
      <c r="T33">
        <v>37</v>
      </c>
      <c r="U33">
        <v>42</v>
      </c>
      <c r="V33">
        <v>79</v>
      </c>
    </row>
    <row r="34" spans="1:22" x14ac:dyDescent="0.3">
      <c r="A34" t="s">
        <v>385</v>
      </c>
      <c r="B34" t="s">
        <v>68</v>
      </c>
      <c r="C34">
        <v>58</v>
      </c>
      <c r="D34">
        <v>2.9</v>
      </c>
      <c r="E34">
        <v>2.48</v>
      </c>
      <c r="G34">
        <v>0.41999999999999993</v>
      </c>
      <c r="H34" s="1">
        <v>0.85542168674698793</v>
      </c>
      <c r="I34">
        <v>11</v>
      </c>
      <c r="K34" s="1">
        <v>0.43373493975903615</v>
      </c>
      <c r="L34">
        <v>48</v>
      </c>
      <c r="N34" s="1">
        <v>0.84337349397590367</v>
      </c>
      <c r="O34">
        <v>13</v>
      </c>
      <c r="Q34" s="1">
        <v>0.90361445783132532</v>
      </c>
      <c r="S34">
        <v>91.62</v>
      </c>
      <c r="T34">
        <v>13</v>
      </c>
      <c r="U34">
        <v>12</v>
      </c>
      <c r="V34">
        <v>25</v>
      </c>
    </row>
    <row r="35" spans="1:22" x14ac:dyDescent="0.3">
      <c r="A35" t="s">
        <v>50</v>
      </c>
      <c r="B35" t="s">
        <v>66</v>
      </c>
      <c r="C35">
        <v>42</v>
      </c>
      <c r="D35">
        <v>2.74</v>
      </c>
      <c r="E35">
        <v>2.33</v>
      </c>
      <c r="G35">
        <v>0.41000000000000014</v>
      </c>
      <c r="H35" s="1">
        <v>0.89156626506024095</v>
      </c>
      <c r="I35">
        <v>10</v>
      </c>
      <c r="K35" s="1">
        <v>0.20481927710843373</v>
      </c>
      <c r="L35">
        <v>66</v>
      </c>
      <c r="N35" s="1">
        <v>0.91566265060240959</v>
      </c>
      <c r="O35">
        <v>8</v>
      </c>
      <c r="Q35" s="1">
        <v>0.72289156626506024</v>
      </c>
      <c r="S35">
        <v>91.89</v>
      </c>
      <c r="T35">
        <v>10</v>
      </c>
      <c r="U35">
        <v>13</v>
      </c>
      <c r="V35">
        <v>23</v>
      </c>
    </row>
    <row r="36" spans="1:22" x14ac:dyDescent="0.3">
      <c r="A36" t="s">
        <v>386</v>
      </c>
      <c r="B36" t="s">
        <v>69</v>
      </c>
      <c r="C36">
        <v>62</v>
      </c>
      <c r="D36">
        <v>3.11</v>
      </c>
      <c r="E36">
        <v>2.34</v>
      </c>
      <c r="G36">
        <v>0.77</v>
      </c>
      <c r="H36" s="1">
        <v>0.96385542168674698</v>
      </c>
      <c r="I36">
        <v>3</v>
      </c>
      <c r="K36" s="1">
        <v>0.67469879518072284</v>
      </c>
      <c r="L36">
        <v>27</v>
      </c>
      <c r="N36" s="1">
        <v>0.90361445783132532</v>
      </c>
      <c r="O36">
        <v>9</v>
      </c>
      <c r="Q36" s="1">
        <v>0.95180722891566261</v>
      </c>
      <c r="S36">
        <v>92.39</v>
      </c>
      <c r="T36">
        <v>5</v>
      </c>
      <c r="U36">
        <v>2</v>
      </c>
      <c r="V36">
        <v>7</v>
      </c>
    </row>
    <row r="37" spans="1:22" x14ac:dyDescent="0.3">
      <c r="A37" t="s">
        <v>387</v>
      </c>
      <c r="B37" t="s">
        <v>73</v>
      </c>
      <c r="C37">
        <v>7</v>
      </c>
      <c r="D37">
        <v>3.38</v>
      </c>
      <c r="E37">
        <v>3.98</v>
      </c>
      <c r="G37">
        <v>-0.60000000000000009</v>
      </c>
      <c r="H37" s="1">
        <v>7.2289156626506021E-2</v>
      </c>
      <c r="I37">
        <v>77</v>
      </c>
      <c r="K37" s="1">
        <v>0.90361445783132532</v>
      </c>
      <c r="L37">
        <v>9</v>
      </c>
      <c r="N37" s="1">
        <v>6.0240963855421686E-2</v>
      </c>
      <c r="O37">
        <v>79</v>
      </c>
      <c r="Q37" s="1">
        <v>2.4096385542168676E-2</v>
      </c>
      <c r="S37">
        <v>88.03</v>
      </c>
      <c r="T37">
        <v>78</v>
      </c>
      <c r="U37">
        <v>76</v>
      </c>
      <c r="V37">
        <v>154</v>
      </c>
    </row>
    <row r="38" spans="1:22" x14ac:dyDescent="0.3">
      <c r="A38" t="s">
        <v>388</v>
      </c>
      <c r="B38" t="s">
        <v>81</v>
      </c>
      <c r="C38">
        <v>36</v>
      </c>
      <c r="D38">
        <v>2.77</v>
      </c>
      <c r="E38">
        <v>3.41</v>
      </c>
      <c r="G38">
        <v>-0.64000000000000012</v>
      </c>
      <c r="H38" s="1">
        <v>0.10843373493975904</v>
      </c>
      <c r="I38">
        <v>75</v>
      </c>
      <c r="K38" s="1">
        <v>0.24096385542168675</v>
      </c>
      <c r="L38">
        <v>62</v>
      </c>
      <c r="N38" s="1">
        <v>0.26506024096385544</v>
      </c>
      <c r="O38">
        <v>61</v>
      </c>
      <c r="Q38" s="1">
        <v>0.5662650602409639</v>
      </c>
      <c r="S38">
        <v>88.8</v>
      </c>
      <c r="T38">
        <v>72</v>
      </c>
      <c r="U38">
        <v>77</v>
      </c>
      <c r="V38">
        <v>149</v>
      </c>
    </row>
    <row r="39" spans="1:22" x14ac:dyDescent="0.3">
      <c r="A39" t="s">
        <v>389</v>
      </c>
      <c r="B39" t="s">
        <v>55</v>
      </c>
      <c r="C39">
        <v>59</v>
      </c>
      <c r="D39">
        <v>2.75</v>
      </c>
      <c r="E39">
        <v>2.92</v>
      </c>
      <c r="G39">
        <v>-0.16999999999999993</v>
      </c>
      <c r="H39" s="1">
        <v>0.28915662650602408</v>
      </c>
      <c r="I39">
        <v>59</v>
      </c>
      <c r="K39" s="1">
        <v>0.2289156626506024</v>
      </c>
      <c r="L39">
        <v>65</v>
      </c>
      <c r="N39" s="1">
        <v>0.55421686746987953</v>
      </c>
      <c r="O39">
        <v>38</v>
      </c>
      <c r="Q39" s="1">
        <v>0.91566265060240959</v>
      </c>
      <c r="S39">
        <v>89.23</v>
      </c>
      <c r="T39">
        <v>64</v>
      </c>
      <c r="U39">
        <v>55</v>
      </c>
      <c r="V39">
        <v>119</v>
      </c>
    </row>
    <row r="40" spans="1:22" x14ac:dyDescent="0.3">
      <c r="A40" t="s">
        <v>390</v>
      </c>
      <c r="B40" t="s">
        <v>58</v>
      </c>
      <c r="C40">
        <v>42</v>
      </c>
      <c r="D40">
        <v>3.28</v>
      </c>
      <c r="E40">
        <v>3.55</v>
      </c>
      <c r="G40">
        <v>-0.27</v>
      </c>
      <c r="H40" s="1">
        <v>0.26506024096385544</v>
      </c>
      <c r="I40">
        <v>62</v>
      </c>
      <c r="K40" s="1">
        <v>0.84337349397590367</v>
      </c>
      <c r="L40">
        <v>13</v>
      </c>
      <c r="N40" s="1">
        <v>0.19277108433734941</v>
      </c>
      <c r="O40">
        <v>68</v>
      </c>
      <c r="Q40" s="1">
        <v>0.72289156626506024</v>
      </c>
      <c r="S40">
        <v>89.14</v>
      </c>
      <c r="T40">
        <v>66</v>
      </c>
      <c r="U40">
        <v>59</v>
      </c>
      <c r="V40">
        <v>125</v>
      </c>
    </row>
    <row r="41" spans="1:22" x14ac:dyDescent="0.3">
      <c r="A41" t="s">
        <v>391</v>
      </c>
      <c r="B41" t="s">
        <v>84</v>
      </c>
      <c r="C41">
        <v>62</v>
      </c>
      <c r="D41">
        <v>2.69</v>
      </c>
      <c r="E41">
        <v>2.37</v>
      </c>
      <c r="G41">
        <v>0.31999999999999984</v>
      </c>
      <c r="H41" s="1">
        <v>0.85542168674698793</v>
      </c>
      <c r="I41">
        <v>11</v>
      </c>
      <c r="K41" s="1">
        <v>0.18072289156626506</v>
      </c>
      <c r="L41">
        <v>68</v>
      </c>
      <c r="N41" s="1">
        <v>0.89156626506024095</v>
      </c>
      <c r="O41">
        <v>10</v>
      </c>
      <c r="Q41" s="1">
        <v>0.95180722891566261</v>
      </c>
      <c r="S41">
        <v>91.9</v>
      </c>
      <c r="T41">
        <v>9</v>
      </c>
      <c r="U41">
        <v>16</v>
      </c>
      <c r="V41">
        <v>25</v>
      </c>
    </row>
    <row r="42" spans="1:22" x14ac:dyDescent="0.3">
      <c r="A42" t="s">
        <v>392</v>
      </c>
      <c r="B42" t="s">
        <v>65</v>
      </c>
      <c r="C42">
        <v>43</v>
      </c>
      <c r="D42">
        <v>3.12</v>
      </c>
      <c r="E42">
        <v>3.48</v>
      </c>
      <c r="G42">
        <v>-0.35999999999999988</v>
      </c>
      <c r="H42" s="1">
        <v>0.18072289156626506</v>
      </c>
      <c r="I42">
        <v>68</v>
      </c>
      <c r="K42" s="1">
        <v>0.6987951807228916</v>
      </c>
      <c r="L42">
        <v>26</v>
      </c>
      <c r="N42" s="1">
        <v>0.21686746987951808</v>
      </c>
      <c r="O42">
        <v>66</v>
      </c>
      <c r="Q42" s="1">
        <v>0.74698795180722888</v>
      </c>
      <c r="S42">
        <v>88.99</v>
      </c>
      <c r="T42">
        <v>69</v>
      </c>
      <c r="U42">
        <v>66</v>
      </c>
      <c r="V42">
        <v>135</v>
      </c>
    </row>
    <row r="43" spans="1:22" x14ac:dyDescent="0.3">
      <c r="A43" t="s">
        <v>393</v>
      </c>
      <c r="B43" t="s">
        <v>68</v>
      </c>
      <c r="C43">
        <v>25</v>
      </c>
      <c r="D43">
        <v>2.82</v>
      </c>
      <c r="E43">
        <v>2.72</v>
      </c>
      <c r="G43">
        <v>9.9999999999999645E-2</v>
      </c>
      <c r="H43" s="1">
        <v>0.57831325301204817</v>
      </c>
      <c r="I43">
        <v>35</v>
      </c>
      <c r="K43" s="1">
        <v>0.31325301204819278</v>
      </c>
      <c r="L43">
        <v>56</v>
      </c>
      <c r="N43" s="1">
        <v>0.68674698795180722</v>
      </c>
      <c r="O43">
        <v>26</v>
      </c>
      <c r="Q43" s="1">
        <v>0.38554216867469882</v>
      </c>
      <c r="S43">
        <v>90.29</v>
      </c>
      <c r="T43">
        <v>38</v>
      </c>
      <c r="U43">
        <v>33</v>
      </c>
      <c r="V43">
        <v>71</v>
      </c>
    </row>
    <row r="44" spans="1:22" x14ac:dyDescent="0.3">
      <c r="A44" t="s">
        <v>394</v>
      </c>
      <c r="B44" t="s">
        <v>70</v>
      </c>
      <c r="C44">
        <v>6</v>
      </c>
      <c r="D44">
        <v>3.04</v>
      </c>
      <c r="E44">
        <v>2.81</v>
      </c>
      <c r="G44">
        <v>0.22999999999999998</v>
      </c>
      <c r="H44" s="1">
        <v>0.74698795180722888</v>
      </c>
      <c r="I44">
        <v>22</v>
      </c>
      <c r="K44" s="1">
        <v>0.57831325301204817</v>
      </c>
      <c r="L44">
        <v>34</v>
      </c>
      <c r="N44" s="1">
        <v>0.6506024096385542</v>
      </c>
      <c r="O44">
        <v>30</v>
      </c>
      <c r="Q44" s="1">
        <v>1.2048192771084338E-2</v>
      </c>
      <c r="S44">
        <v>91.1</v>
      </c>
      <c r="T44">
        <v>24</v>
      </c>
      <c r="U44">
        <v>22</v>
      </c>
      <c r="V44">
        <v>46</v>
      </c>
    </row>
    <row r="45" spans="1:22" x14ac:dyDescent="0.3">
      <c r="A45" t="s">
        <v>395</v>
      </c>
      <c r="B45" t="s">
        <v>51</v>
      </c>
      <c r="C45">
        <v>37</v>
      </c>
      <c r="D45">
        <v>2.8</v>
      </c>
      <c r="E45">
        <v>2.27</v>
      </c>
      <c r="G45">
        <v>0.5299999999999998</v>
      </c>
      <c r="H45" s="1">
        <v>0.93975903614457834</v>
      </c>
      <c r="I45">
        <v>6</v>
      </c>
      <c r="K45" s="1">
        <v>0.30120481927710846</v>
      </c>
      <c r="L45">
        <v>59</v>
      </c>
      <c r="N45" s="1">
        <v>0.92771084337349397</v>
      </c>
      <c r="O45">
        <v>7</v>
      </c>
      <c r="Q45" s="1">
        <v>0.59036144578313254</v>
      </c>
      <c r="S45">
        <v>92.03</v>
      </c>
      <c r="T45">
        <v>7</v>
      </c>
      <c r="U45">
        <v>7</v>
      </c>
      <c r="V45">
        <v>14</v>
      </c>
    </row>
    <row r="46" spans="1:22" x14ac:dyDescent="0.3">
      <c r="A46" t="s">
        <v>396</v>
      </c>
      <c r="B46" t="s">
        <v>53</v>
      </c>
      <c r="C46">
        <v>53</v>
      </c>
      <c r="D46">
        <v>3.85</v>
      </c>
      <c r="E46">
        <v>3.99</v>
      </c>
      <c r="G46">
        <v>-0.14000000000000012</v>
      </c>
      <c r="H46" s="1">
        <v>0.40963855421686746</v>
      </c>
      <c r="I46">
        <v>50</v>
      </c>
      <c r="K46" s="1">
        <v>1</v>
      </c>
      <c r="L46">
        <v>1</v>
      </c>
      <c r="N46" s="1">
        <v>3.614457831325301E-2</v>
      </c>
      <c r="O46">
        <v>80</v>
      </c>
      <c r="Q46" s="1">
        <v>0.85542168674698793</v>
      </c>
      <c r="S46">
        <v>89.91</v>
      </c>
      <c r="T46">
        <v>50</v>
      </c>
      <c r="U46">
        <v>50</v>
      </c>
      <c r="V46">
        <v>100</v>
      </c>
    </row>
    <row r="47" spans="1:22" x14ac:dyDescent="0.3">
      <c r="A47" t="s">
        <v>397</v>
      </c>
      <c r="B47" t="s">
        <v>398</v>
      </c>
      <c r="C47">
        <v>41</v>
      </c>
      <c r="D47">
        <v>2.82</v>
      </c>
      <c r="E47">
        <v>3.41</v>
      </c>
      <c r="G47">
        <v>-0.5900000000000003</v>
      </c>
      <c r="H47" s="1">
        <v>9.6385542168674704E-2</v>
      </c>
      <c r="I47">
        <v>76</v>
      </c>
      <c r="K47" s="1">
        <v>0.31325301204819278</v>
      </c>
      <c r="L47">
        <v>56</v>
      </c>
      <c r="N47" s="1">
        <v>0.26506024096385544</v>
      </c>
      <c r="O47">
        <v>61</v>
      </c>
      <c r="Q47" s="1">
        <v>0.71084337349397586</v>
      </c>
      <c r="S47">
        <v>88.24</v>
      </c>
      <c r="T47">
        <v>76</v>
      </c>
      <c r="U47">
        <v>75</v>
      </c>
      <c r="V47">
        <v>151</v>
      </c>
    </row>
    <row r="48" spans="1:22" x14ac:dyDescent="0.3">
      <c r="A48" t="s">
        <v>399</v>
      </c>
      <c r="B48" t="s">
        <v>347</v>
      </c>
      <c r="C48">
        <v>39</v>
      </c>
      <c r="D48">
        <v>3.13</v>
      </c>
      <c r="E48">
        <v>2.85</v>
      </c>
      <c r="G48">
        <v>0.2799999999999998</v>
      </c>
      <c r="H48" s="1">
        <v>0.7831325301204819</v>
      </c>
      <c r="I48">
        <v>19</v>
      </c>
      <c r="K48" s="1">
        <v>0.71084337349397586</v>
      </c>
      <c r="L48">
        <v>24</v>
      </c>
      <c r="N48" s="1">
        <v>0.61445783132530118</v>
      </c>
      <c r="O48">
        <v>31</v>
      </c>
      <c r="Q48" s="1">
        <v>0.6506024096385542</v>
      </c>
      <c r="S48">
        <v>91.38</v>
      </c>
      <c r="T48">
        <v>20</v>
      </c>
      <c r="U48">
        <v>20</v>
      </c>
      <c r="V48">
        <v>40</v>
      </c>
    </row>
    <row r="49" spans="1:22" x14ac:dyDescent="0.3">
      <c r="A49" t="s">
        <v>400</v>
      </c>
      <c r="B49" t="s">
        <v>67</v>
      </c>
      <c r="C49">
        <v>61</v>
      </c>
      <c r="D49">
        <v>3.16</v>
      </c>
      <c r="E49">
        <v>3.3</v>
      </c>
      <c r="G49">
        <v>-0.13999999999999968</v>
      </c>
      <c r="H49" s="1">
        <v>0.33734939759036142</v>
      </c>
      <c r="I49">
        <v>56</v>
      </c>
      <c r="K49" s="1">
        <v>0.73493975903614461</v>
      </c>
      <c r="L49">
        <v>22</v>
      </c>
      <c r="N49" s="1">
        <v>0.3253012048192771</v>
      </c>
      <c r="O49">
        <v>57</v>
      </c>
      <c r="Q49" s="1">
        <v>0.93975903614457834</v>
      </c>
      <c r="S49">
        <v>89.38</v>
      </c>
      <c r="T49">
        <v>61</v>
      </c>
      <c r="U49">
        <v>49</v>
      </c>
      <c r="V49">
        <v>110</v>
      </c>
    </row>
    <row r="50" spans="1:22" x14ac:dyDescent="0.3">
      <c r="A50" t="s">
        <v>401</v>
      </c>
      <c r="B50" t="s">
        <v>66</v>
      </c>
      <c r="C50">
        <v>7</v>
      </c>
      <c r="D50">
        <v>3.17</v>
      </c>
      <c r="E50">
        <v>2.16</v>
      </c>
      <c r="G50">
        <v>1.0099999999999998</v>
      </c>
      <c r="H50" s="1">
        <v>1</v>
      </c>
      <c r="I50">
        <v>1</v>
      </c>
      <c r="K50" s="1">
        <v>0.75903614457831325</v>
      </c>
      <c r="L50">
        <v>20</v>
      </c>
      <c r="N50" s="1">
        <v>0.96385542168674698</v>
      </c>
      <c r="O50">
        <v>4</v>
      </c>
      <c r="Q50" s="1">
        <v>2.4096385542168676E-2</v>
      </c>
      <c r="S50">
        <v>93.15</v>
      </c>
      <c r="T50">
        <v>2</v>
      </c>
      <c r="U50">
        <v>1</v>
      </c>
      <c r="V50">
        <v>3</v>
      </c>
    </row>
    <row r="51" spans="1:22" x14ac:dyDescent="0.3">
      <c r="A51" t="s">
        <v>402</v>
      </c>
      <c r="B51" t="s">
        <v>80</v>
      </c>
      <c r="C51">
        <v>64</v>
      </c>
      <c r="D51">
        <v>3.26</v>
      </c>
      <c r="E51">
        <v>2.69</v>
      </c>
      <c r="G51">
        <v>0.56999999999999984</v>
      </c>
      <c r="H51" s="1">
        <v>0.90361445783132532</v>
      </c>
      <c r="I51">
        <v>9</v>
      </c>
      <c r="K51" s="1">
        <v>0.83132530120481929</v>
      </c>
      <c r="L51">
        <v>15</v>
      </c>
      <c r="N51" s="1">
        <v>0.72289156626506024</v>
      </c>
      <c r="O51">
        <v>24</v>
      </c>
      <c r="Q51" s="1">
        <v>0.98795180722891562</v>
      </c>
      <c r="S51">
        <v>91.85</v>
      </c>
      <c r="T51">
        <v>11</v>
      </c>
      <c r="U51">
        <v>6</v>
      </c>
      <c r="V51">
        <v>17</v>
      </c>
    </row>
    <row r="52" spans="1:22" x14ac:dyDescent="0.3">
      <c r="A52" t="s">
        <v>403</v>
      </c>
      <c r="B52" t="s">
        <v>65</v>
      </c>
      <c r="C52">
        <v>37</v>
      </c>
      <c r="D52">
        <v>3.11</v>
      </c>
      <c r="E52">
        <v>3.85</v>
      </c>
      <c r="G52">
        <v>-0.74000000000000021</v>
      </c>
      <c r="H52" s="1">
        <v>7.2289156626506021E-2</v>
      </c>
      <c r="I52">
        <v>77</v>
      </c>
      <c r="K52" s="1">
        <v>0.67469879518072284</v>
      </c>
      <c r="L52">
        <v>27</v>
      </c>
      <c r="N52" s="1">
        <v>8.4337349397590355E-2</v>
      </c>
      <c r="O52">
        <v>77</v>
      </c>
      <c r="Q52" s="1">
        <v>0.59036144578313254</v>
      </c>
      <c r="S52">
        <v>88.25</v>
      </c>
      <c r="T52">
        <v>75</v>
      </c>
      <c r="U52">
        <v>79</v>
      </c>
      <c r="V52">
        <v>154</v>
      </c>
    </row>
    <row r="53" spans="1:22" x14ac:dyDescent="0.3">
      <c r="A53" t="s">
        <v>404</v>
      </c>
      <c r="B53" t="s">
        <v>73</v>
      </c>
      <c r="C53">
        <v>50</v>
      </c>
      <c r="D53">
        <v>3.43</v>
      </c>
      <c r="E53">
        <v>3.43</v>
      </c>
      <c r="G53">
        <v>0</v>
      </c>
      <c r="H53" s="1">
        <v>0.46987951807228917</v>
      </c>
      <c r="I53">
        <v>45</v>
      </c>
      <c r="K53" s="1">
        <v>0.92771084337349397</v>
      </c>
      <c r="L53">
        <v>7</v>
      </c>
      <c r="N53" s="1">
        <v>0.24096385542168675</v>
      </c>
      <c r="O53">
        <v>64</v>
      </c>
      <c r="Q53" s="1">
        <v>0.80722891566265065</v>
      </c>
      <c r="S53">
        <v>89.95</v>
      </c>
      <c r="T53">
        <v>48</v>
      </c>
      <c r="U53">
        <v>39</v>
      </c>
      <c r="V53">
        <v>87</v>
      </c>
    </row>
    <row r="54" spans="1:22" x14ac:dyDescent="0.3">
      <c r="A54" t="s">
        <v>405</v>
      </c>
      <c r="B54" t="s">
        <v>80</v>
      </c>
      <c r="C54">
        <v>19</v>
      </c>
      <c r="D54">
        <v>3.19</v>
      </c>
      <c r="E54">
        <v>2.75</v>
      </c>
      <c r="G54">
        <v>0.43999999999999995</v>
      </c>
      <c r="H54" s="1">
        <v>0.85542168674698793</v>
      </c>
      <c r="I54">
        <v>11</v>
      </c>
      <c r="K54" s="1">
        <v>0.79518072289156627</v>
      </c>
      <c r="L54">
        <v>18</v>
      </c>
      <c r="N54" s="1">
        <v>0.66265060240963858</v>
      </c>
      <c r="O54">
        <v>28</v>
      </c>
      <c r="Q54" s="1">
        <v>0.20481927710843373</v>
      </c>
      <c r="S54">
        <v>91.6</v>
      </c>
      <c r="T54">
        <v>14</v>
      </c>
      <c r="U54">
        <v>11</v>
      </c>
      <c r="V54">
        <v>25</v>
      </c>
    </row>
    <row r="55" spans="1:22" x14ac:dyDescent="0.3">
      <c r="A55" t="s">
        <v>406</v>
      </c>
      <c r="B55" t="s">
        <v>76</v>
      </c>
      <c r="C55">
        <v>11</v>
      </c>
      <c r="D55">
        <v>2.66</v>
      </c>
      <c r="E55">
        <v>2.17</v>
      </c>
      <c r="G55">
        <v>0.49000000000000021</v>
      </c>
      <c r="H55" s="1">
        <v>0.95180722891566261</v>
      </c>
      <c r="I55">
        <v>5</v>
      </c>
      <c r="K55" s="1">
        <v>0.14457831325301204</v>
      </c>
      <c r="L55">
        <v>71</v>
      </c>
      <c r="N55" s="1">
        <v>0.95180722891566261</v>
      </c>
      <c r="O55">
        <v>5</v>
      </c>
      <c r="Q55" s="1">
        <v>8.4337349397590355E-2</v>
      </c>
      <c r="S55">
        <v>92.74</v>
      </c>
      <c r="T55">
        <v>4</v>
      </c>
      <c r="U55">
        <v>9</v>
      </c>
      <c r="V55">
        <v>13</v>
      </c>
    </row>
    <row r="56" spans="1:22" x14ac:dyDescent="0.3">
      <c r="A56" t="s">
        <v>407</v>
      </c>
      <c r="B56" t="s">
        <v>51</v>
      </c>
      <c r="C56">
        <v>49</v>
      </c>
      <c r="D56">
        <v>2.65</v>
      </c>
      <c r="E56">
        <v>1.89</v>
      </c>
      <c r="G56">
        <v>0.76</v>
      </c>
      <c r="H56" s="1">
        <v>0.98795180722891562</v>
      </c>
      <c r="I56">
        <v>2</v>
      </c>
      <c r="K56" s="1">
        <v>0.13253012048192772</v>
      </c>
      <c r="L56">
        <v>73</v>
      </c>
      <c r="N56" s="1">
        <v>1</v>
      </c>
      <c r="O56">
        <v>1</v>
      </c>
      <c r="Q56" s="1">
        <v>0.79518072289156627</v>
      </c>
      <c r="S56">
        <v>93.75</v>
      </c>
      <c r="T56">
        <v>1</v>
      </c>
      <c r="U56">
        <v>3</v>
      </c>
      <c r="V56">
        <v>4</v>
      </c>
    </row>
    <row r="57" spans="1:22" x14ac:dyDescent="0.3">
      <c r="A57" t="s">
        <v>408</v>
      </c>
      <c r="B57" t="s">
        <v>76</v>
      </c>
      <c r="C57">
        <v>37</v>
      </c>
      <c r="D57">
        <v>2.68</v>
      </c>
      <c r="E57">
        <v>2.65</v>
      </c>
      <c r="G57">
        <v>3.0000000000000249E-2</v>
      </c>
      <c r="H57" s="1">
        <v>0.6987951807228916</v>
      </c>
      <c r="I57">
        <v>25</v>
      </c>
      <c r="K57" s="1">
        <v>0.16867469879518071</v>
      </c>
      <c r="L57">
        <v>70</v>
      </c>
      <c r="N57" s="1">
        <v>0.75903614457831325</v>
      </c>
      <c r="O57">
        <v>20</v>
      </c>
      <c r="Q57" s="1">
        <v>0.59036144578313254</v>
      </c>
      <c r="S57">
        <v>91.52</v>
      </c>
      <c r="T57">
        <v>16</v>
      </c>
      <c r="U57">
        <v>37</v>
      </c>
      <c r="V57">
        <v>53</v>
      </c>
    </row>
    <row r="58" spans="1:22" x14ac:dyDescent="0.3">
      <c r="A58" t="s">
        <v>409</v>
      </c>
      <c r="B58" t="s">
        <v>53</v>
      </c>
      <c r="C58">
        <v>19</v>
      </c>
      <c r="D58">
        <v>3.75</v>
      </c>
      <c r="E58">
        <v>3.78</v>
      </c>
      <c r="G58">
        <v>-2.9999999999999805E-2</v>
      </c>
      <c r="H58" s="1">
        <v>0.48192771084337349</v>
      </c>
      <c r="I58">
        <v>43</v>
      </c>
      <c r="K58" s="1">
        <v>0.97590361445783136</v>
      </c>
      <c r="L58">
        <v>3</v>
      </c>
      <c r="N58" s="1">
        <v>9.6385542168674704E-2</v>
      </c>
      <c r="O58">
        <v>76</v>
      </c>
      <c r="Q58" s="1">
        <v>0.20481927710843373</v>
      </c>
      <c r="S58">
        <v>90.13</v>
      </c>
      <c r="T58">
        <v>43</v>
      </c>
      <c r="U58">
        <v>42</v>
      </c>
      <c r="V58">
        <v>85</v>
      </c>
    </row>
    <row r="59" spans="1:22" x14ac:dyDescent="0.3">
      <c r="A59" t="s">
        <v>410</v>
      </c>
      <c r="B59" t="s">
        <v>83</v>
      </c>
      <c r="C59">
        <v>22</v>
      </c>
      <c r="D59">
        <v>3.05</v>
      </c>
      <c r="E59">
        <v>3.2</v>
      </c>
      <c r="G59">
        <v>-0.15000000000000036</v>
      </c>
      <c r="H59" s="1">
        <v>0.3253012048192771</v>
      </c>
      <c r="I59">
        <v>57</v>
      </c>
      <c r="K59" s="1">
        <v>0.61445783132530118</v>
      </c>
      <c r="L59">
        <v>30</v>
      </c>
      <c r="N59" s="1">
        <v>0.36144578313253012</v>
      </c>
      <c r="O59">
        <v>53</v>
      </c>
      <c r="Q59" s="1">
        <v>0.33734939759036142</v>
      </c>
      <c r="S59">
        <v>89.34</v>
      </c>
      <c r="T59">
        <v>62</v>
      </c>
      <c r="U59">
        <v>52</v>
      </c>
      <c r="V59">
        <v>114</v>
      </c>
    </row>
    <row r="60" spans="1:22" x14ac:dyDescent="0.3">
      <c r="A60" t="s">
        <v>411</v>
      </c>
      <c r="B60" t="s">
        <v>59</v>
      </c>
      <c r="C60">
        <v>19</v>
      </c>
      <c r="D60">
        <v>2.89</v>
      </c>
      <c r="E60">
        <v>3.32</v>
      </c>
      <c r="G60">
        <v>-0.42999999999999972</v>
      </c>
      <c r="H60" s="1">
        <v>0.14457831325301204</v>
      </c>
      <c r="I60">
        <v>71</v>
      </c>
      <c r="K60" s="1">
        <v>0.42168674698795183</v>
      </c>
      <c r="L60">
        <v>49</v>
      </c>
      <c r="N60" s="1">
        <v>0.31325301204819278</v>
      </c>
      <c r="O60">
        <v>58</v>
      </c>
      <c r="Q60" s="1">
        <v>0.20481927710843373</v>
      </c>
      <c r="S60">
        <v>88.93</v>
      </c>
      <c r="T60">
        <v>70</v>
      </c>
      <c r="U60">
        <v>69</v>
      </c>
      <c r="V60">
        <v>139</v>
      </c>
    </row>
    <row r="61" spans="1:22" x14ac:dyDescent="0.3">
      <c r="A61" t="s">
        <v>412</v>
      </c>
      <c r="B61" t="s">
        <v>413</v>
      </c>
      <c r="C61">
        <v>18</v>
      </c>
      <c r="D61">
        <v>2.87</v>
      </c>
      <c r="E61">
        <v>3.2</v>
      </c>
      <c r="G61">
        <v>-0.33000000000000007</v>
      </c>
      <c r="H61" s="1">
        <v>0.20481927710843373</v>
      </c>
      <c r="I61">
        <v>67</v>
      </c>
      <c r="K61" s="1">
        <v>0.39759036144578314</v>
      </c>
      <c r="L61">
        <v>50</v>
      </c>
      <c r="N61" s="1">
        <v>0.36144578313253012</v>
      </c>
      <c r="O61">
        <v>53</v>
      </c>
      <c r="Q61" s="1">
        <v>0.18072289156626506</v>
      </c>
      <c r="S61">
        <v>88.81</v>
      </c>
      <c r="T61">
        <v>71</v>
      </c>
      <c r="U61">
        <v>63</v>
      </c>
      <c r="V61">
        <v>134</v>
      </c>
    </row>
    <row r="62" spans="1:22" x14ac:dyDescent="0.3">
      <c r="A62" t="s">
        <v>414</v>
      </c>
      <c r="B62" t="s">
        <v>75</v>
      </c>
      <c r="C62">
        <v>46</v>
      </c>
      <c r="D62">
        <v>2.84</v>
      </c>
      <c r="E62">
        <v>2.85</v>
      </c>
      <c r="G62">
        <v>-1.0000000000000231E-2</v>
      </c>
      <c r="H62" s="1">
        <v>0.57831325301204817</v>
      </c>
      <c r="I62">
        <v>35</v>
      </c>
      <c r="K62" s="1">
        <v>0.36144578313253012</v>
      </c>
      <c r="L62">
        <v>54</v>
      </c>
      <c r="N62" s="1">
        <v>0.61445783132530118</v>
      </c>
      <c r="O62">
        <v>31</v>
      </c>
      <c r="Q62" s="1">
        <v>0.75903614457831325</v>
      </c>
      <c r="S62">
        <v>90.78</v>
      </c>
      <c r="T62">
        <v>31</v>
      </c>
      <c r="U62">
        <v>40</v>
      </c>
      <c r="V62">
        <v>71</v>
      </c>
    </row>
    <row r="63" spans="1:22" x14ac:dyDescent="0.3">
      <c r="A63" t="s">
        <v>415</v>
      </c>
      <c r="B63" t="s">
        <v>64</v>
      </c>
      <c r="C63">
        <v>48</v>
      </c>
      <c r="D63">
        <v>2.63</v>
      </c>
      <c r="E63">
        <v>2.99</v>
      </c>
      <c r="G63">
        <v>-0.36000000000000032</v>
      </c>
      <c r="H63" s="1">
        <v>0.13253012048192772</v>
      </c>
      <c r="I63">
        <v>73</v>
      </c>
      <c r="K63" s="1">
        <v>9.6385542168674704E-2</v>
      </c>
      <c r="L63">
        <v>75</v>
      </c>
      <c r="N63" s="1">
        <v>0.50602409638554213</v>
      </c>
      <c r="O63">
        <v>42</v>
      </c>
      <c r="Q63" s="1">
        <v>0.7831325301204819</v>
      </c>
      <c r="S63">
        <v>88.58</v>
      </c>
      <c r="T63">
        <v>73</v>
      </c>
      <c r="U63">
        <v>67</v>
      </c>
      <c r="V63">
        <v>140</v>
      </c>
    </row>
    <row r="64" spans="1:22" x14ac:dyDescent="0.3">
      <c r="A64" t="s">
        <v>416</v>
      </c>
      <c r="B64" t="s">
        <v>66</v>
      </c>
      <c r="C64">
        <v>26</v>
      </c>
      <c r="D64">
        <v>2.94</v>
      </c>
      <c r="E64">
        <v>3.01</v>
      </c>
      <c r="G64">
        <v>-6.999999999999984E-2</v>
      </c>
      <c r="H64" s="1">
        <v>0.48192771084337349</v>
      </c>
      <c r="I64">
        <v>43</v>
      </c>
      <c r="K64" s="1">
        <v>0.44578313253012047</v>
      </c>
      <c r="L64">
        <v>47</v>
      </c>
      <c r="N64" s="1">
        <v>0.48192771084337349</v>
      </c>
      <c r="O64">
        <v>43</v>
      </c>
      <c r="Q64" s="1">
        <v>0.39759036144578314</v>
      </c>
      <c r="S64">
        <v>90.28</v>
      </c>
      <c r="T64">
        <v>40</v>
      </c>
      <c r="U64">
        <v>45</v>
      </c>
      <c r="V64">
        <v>85</v>
      </c>
    </row>
    <row r="65" spans="1:22" x14ac:dyDescent="0.3">
      <c r="A65" t="s">
        <v>417</v>
      </c>
      <c r="B65" t="s">
        <v>74</v>
      </c>
      <c r="C65">
        <v>16</v>
      </c>
      <c r="D65">
        <v>3.58</v>
      </c>
      <c r="E65">
        <v>4.29</v>
      </c>
      <c r="G65">
        <v>-0.71</v>
      </c>
      <c r="H65" s="1">
        <v>4.8192771084337352E-2</v>
      </c>
      <c r="I65">
        <v>79</v>
      </c>
      <c r="K65" s="1">
        <v>0.95180722891566261</v>
      </c>
      <c r="L65">
        <v>5</v>
      </c>
      <c r="N65" s="1">
        <v>1.2048192771084338E-2</v>
      </c>
      <c r="O65">
        <v>83</v>
      </c>
      <c r="Q65" s="1">
        <v>0.14457831325301204</v>
      </c>
      <c r="S65">
        <v>87.53</v>
      </c>
      <c r="T65">
        <v>81</v>
      </c>
      <c r="U65">
        <v>78</v>
      </c>
      <c r="V65">
        <v>159</v>
      </c>
    </row>
    <row r="66" spans="1:22" x14ac:dyDescent="0.3">
      <c r="A66" t="s">
        <v>418</v>
      </c>
      <c r="B66" t="s">
        <v>61</v>
      </c>
      <c r="C66">
        <v>16</v>
      </c>
      <c r="D66">
        <v>2.63</v>
      </c>
      <c r="E66">
        <v>2.61</v>
      </c>
      <c r="G66">
        <v>2.0000000000000018E-2</v>
      </c>
      <c r="H66" s="1">
        <v>0.66265060240963858</v>
      </c>
      <c r="I66">
        <v>28</v>
      </c>
      <c r="K66" s="1">
        <v>9.6385542168674704E-2</v>
      </c>
      <c r="L66">
        <v>75</v>
      </c>
      <c r="N66" s="1">
        <v>0.79518072289156627</v>
      </c>
      <c r="O66">
        <v>18</v>
      </c>
      <c r="Q66" s="1">
        <v>0.14457831325301204</v>
      </c>
      <c r="S66">
        <v>91.48</v>
      </c>
      <c r="T66">
        <v>18</v>
      </c>
      <c r="U66">
        <v>38</v>
      </c>
      <c r="V66">
        <v>56</v>
      </c>
    </row>
    <row r="67" spans="1:22" x14ac:dyDescent="0.3">
      <c r="A67" t="s">
        <v>419</v>
      </c>
      <c r="B67" t="s">
        <v>70</v>
      </c>
      <c r="C67">
        <v>39</v>
      </c>
      <c r="D67">
        <v>3.36</v>
      </c>
      <c r="E67">
        <v>3.66</v>
      </c>
      <c r="G67">
        <v>-0.30000000000000027</v>
      </c>
      <c r="H67" s="1">
        <v>0.28915662650602408</v>
      </c>
      <c r="I67">
        <v>59</v>
      </c>
      <c r="K67" s="1">
        <v>0.87951807228915657</v>
      </c>
      <c r="L67">
        <v>10</v>
      </c>
      <c r="N67" s="1">
        <v>0.15662650602409639</v>
      </c>
      <c r="O67">
        <v>71</v>
      </c>
      <c r="Q67" s="1">
        <v>0.6506024096385542</v>
      </c>
      <c r="S67">
        <v>89.42</v>
      </c>
      <c r="T67">
        <v>59</v>
      </c>
      <c r="U67">
        <v>60</v>
      </c>
      <c r="V67">
        <v>119</v>
      </c>
    </row>
    <row r="68" spans="1:22" x14ac:dyDescent="0.3">
      <c r="A68" t="s">
        <v>420</v>
      </c>
      <c r="B68" t="s">
        <v>56</v>
      </c>
      <c r="C68">
        <v>37</v>
      </c>
      <c r="D68">
        <v>2.74</v>
      </c>
      <c r="E68">
        <v>2.64</v>
      </c>
      <c r="G68">
        <v>0.10000000000000009</v>
      </c>
      <c r="H68" s="1">
        <v>0.60240963855421692</v>
      </c>
      <c r="I68">
        <v>32</v>
      </c>
      <c r="K68" s="1">
        <v>0.20481927710843373</v>
      </c>
      <c r="L68">
        <v>66</v>
      </c>
      <c r="N68" s="1">
        <v>0.7831325301204819</v>
      </c>
      <c r="O68">
        <v>19</v>
      </c>
      <c r="Q68" s="1">
        <v>0.59036144578313254</v>
      </c>
      <c r="S68">
        <v>90.29</v>
      </c>
      <c r="T68">
        <v>38</v>
      </c>
      <c r="U68">
        <v>31</v>
      </c>
      <c r="V68">
        <v>69</v>
      </c>
    </row>
    <row r="69" spans="1:22" x14ac:dyDescent="0.3">
      <c r="A69" t="s">
        <v>421</v>
      </c>
      <c r="B69" t="s">
        <v>64</v>
      </c>
      <c r="C69">
        <v>39</v>
      </c>
      <c r="D69">
        <v>2.77</v>
      </c>
      <c r="E69">
        <v>2.85</v>
      </c>
      <c r="G69">
        <v>-8.0000000000000071E-2</v>
      </c>
      <c r="H69" s="1">
        <v>0.36144578313253012</v>
      </c>
      <c r="I69">
        <v>53</v>
      </c>
      <c r="K69" s="1">
        <v>0.24096385542168675</v>
      </c>
      <c r="L69">
        <v>62</v>
      </c>
      <c r="N69" s="1">
        <v>0.61445783132530118</v>
      </c>
      <c r="O69">
        <v>31</v>
      </c>
      <c r="Q69" s="1">
        <v>0.6506024096385542</v>
      </c>
      <c r="S69">
        <v>89.46</v>
      </c>
      <c r="T69">
        <v>58</v>
      </c>
      <c r="U69">
        <v>47</v>
      </c>
      <c r="V69">
        <v>105</v>
      </c>
    </row>
    <row r="70" spans="1:22" x14ac:dyDescent="0.3">
      <c r="A70" t="s">
        <v>422</v>
      </c>
      <c r="B70" t="s">
        <v>72</v>
      </c>
      <c r="C70">
        <v>24</v>
      </c>
      <c r="D70">
        <v>2.77</v>
      </c>
      <c r="E70">
        <v>2.44</v>
      </c>
      <c r="G70">
        <v>0.33000000000000007</v>
      </c>
      <c r="H70" s="1">
        <v>0.77108433734939763</v>
      </c>
      <c r="I70">
        <v>20</v>
      </c>
      <c r="K70" s="1">
        <v>0.24096385542168675</v>
      </c>
      <c r="L70">
        <v>62</v>
      </c>
      <c r="N70" s="1">
        <v>0.87951807228915657</v>
      </c>
      <c r="O70">
        <v>11</v>
      </c>
      <c r="Q70" s="1">
        <v>0.37349397590361444</v>
      </c>
      <c r="S70">
        <v>90.91</v>
      </c>
      <c r="T70">
        <v>28</v>
      </c>
      <c r="U70">
        <v>14</v>
      </c>
      <c r="V70">
        <v>42</v>
      </c>
    </row>
    <row r="71" spans="1:22" x14ac:dyDescent="0.3">
      <c r="A71" t="s">
        <v>423</v>
      </c>
      <c r="B71" t="s">
        <v>58</v>
      </c>
      <c r="C71">
        <v>40</v>
      </c>
      <c r="D71">
        <v>3.64</v>
      </c>
      <c r="E71">
        <v>3.42</v>
      </c>
      <c r="G71">
        <v>0.2200000000000002</v>
      </c>
      <c r="H71" s="1">
        <v>0.60240963855421692</v>
      </c>
      <c r="I71">
        <v>32</v>
      </c>
      <c r="K71" s="1">
        <v>0.96385542168674698</v>
      </c>
      <c r="L71">
        <v>4</v>
      </c>
      <c r="N71" s="1">
        <v>0.25301204819277107</v>
      </c>
      <c r="O71">
        <v>63</v>
      </c>
      <c r="Q71" s="1">
        <v>0.6987951807228916</v>
      </c>
      <c r="S71">
        <v>90.11</v>
      </c>
      <c r="T71">
        <v>45</v>
      </c>
      <c r="U71">
        <v>24</v>
      </c>
      <c r="V71">
        <v>69</v>
      </c>
    </row>
    <row r="72" spans="1:22" x14ac:dyDescent="0.3">
      <c r="A72" t="s">
        <v>424</v>
      </c>
      <c r="B72" t="s">
        <v>85</v>
      </c>
      <c r="C72">
        <v>12</v>
      </c>
      <c r="D72">
        <v>3.25</v>
      </c>
      <c r="E72">
        <v>3.07</v>
      </c>
      <c r="G72">
        <v>0.18000000000000016</v>
      </c>
      <c r="H72" s="1">
        <v>0.53012048192771088</v>
      </c>
      <c r="I72">
        <v>40</v>
      </c>
      <c r="K72" s="1">
        <v>0.80722891566265065</v>
      </c>
      <c r="L72">
        <v>16</v>
      </c>
      <c r="N72" s="1">
        <v>0.43373493975903615</v>
      </c>
      <c r="O72">
        <v>47</v>
      </c>
      <c r="Q72" s="1">
        <v>9.6385542168674704E-2</v>
      </c>
      <c r="S72">
        <v>89.91</v>
      </c>
      <c r="T72">
        <v>50</v>
      </c>
      <c r="U72">
        <v>26</v>
      </c>
      <c r="V72">
        <v>76</v>
      </c>
    </row>
    <row r="73" spans="1:22" x14ac:dyDescent="0.3">
      <c r="A73" t="s">
        <v>425</v>
      </c>
      <c r="B73" t="s">
        <v>84</v>
      </c>
      <c r="C73">
        <v>21</v>
      </c>
      <c r="D73">
        <v>2.95</v>
      </c>
      <c r="E73">
        <v>2.72</v>
      </c>
      <c r="G73">
        <v>0.22999999999999998</v>
      </c>
      <c r="H73" s="1">
        <v>0.79518072289156627</v>
      </c>
      <c r="I73">
        <v>17</v>
      </c>
      <c r="K73" s="1">
        <v>0.45783132530120479</v>
      </c>
      <c r="L73">
        <v>46</v>
      </c>
      <c r="N73" s="1">
        <v>0.68674698795180722</v>
      </c>
      <c r="O73">
        <v>26</v>
      </c>
      <c r="Q73" s="1">
        <v>0.28915662650602408</v>
      </c>
      <c r="S73">
        <v>91.54</v>
      </c>
      <c r="T73">
        <v>15</v>
      </c>
      <c r="U73">
        <v>22</v>
      </c>
      <c r="V73">
        <v>37</v>
      </c>
    </row>
    <row r="74" spans="1:22" x14ac:dyDescent="0.3">
      <c r="A74" t="s">
        <v>426</v>
      </c>
      <c r="B74" t="s">
        <v>69</v>
      </c>
      <c r="C74">
        <v>23</v>
      </c>
      <c r="D74">
        <v>2.96</v>
      </c>
      <c r="E74">
        <v>2.7</v>
      </c>
      <c r="G74">
        <v>0.25999999999999979</v>
      </c>
      <c r="H74" s="1">
        <v>0.75903614457831325</v>
      </c>
      <c r="I74">
        <v>21</v>
      </c>
      <c r="K74" s="1">
        <v>0.46987951807228917</v>
      </c>
      <c r="L74">
        <v>45</v>
      </c>
      <c r="N74" s="1">
        <v>0.71084337349397586</v>
      </c>
      <c r="O74">
        <v>25</v>
      </c>
      <c r="Q74" s="1">
        <v>0.36144578313253012</v>
      </c>
      <c r="S74">
        <v>91.29</v>
      </c>
      <c r="T74">
        <v>22</v>
      </c>
      <c r="U74">
        <v>21</v>
      </c>
      <c r="V74">
        <v>43</v>
      </c>
    </row>
    <row r="75" spans="1:22" x14ac:dyDescent="0.3">
      <c r="A75" t="s">
        <v>427</v>
      </c>
      <c r="B75" t="s">
        <v>57</v>
      </c>
      <c r="C75">
        <v>50</v>
      </c>
      <c r="D75">
        <v>3.03</v>
      </c>
      <c r="E75">
        <v>3.07</v>
      </c>
      <c r="G75">
        <v>-4.0000000000000036E-2</v>
      </c>
      <c r="H75" s="1">
        <v>0.44578313253012047</v>
      </c>
      <c r="I75">
        <v>46</v>
      </c>
      <c r="K75" s="1">
        <v>0.5662650602409639</v>
      </c>
      <c r="L75">
        <v>37</v>
      </c>
      <c r="N75" s="1">
        <v>0.43373493975903615</v>
      </c>
      <c r="O75">
        <v>47</v>
      </c>
      <c r="Q75" s="1">
        <v>0.80722891566265065</v>
      </c>
      <c r="S75">
        <v>90.11</v>
      </c>
      <c r="T75">
        <v>45</v>
      </c>
      <c r="U75">
        <v>44</v>
      </c>
      <c r="V75">
        <v>89</v>
      </c>
    </row>
    <row r="76" spans="1:22" x14ac:dyDescent="0.3">
      <c r="A76" t="s">
        <v>428</v>
      </c>
      <c r="B76" t="s">
        <v>57</v>
      </c>
      <c r="C76">
        <v>21</v>
      </c>
      <c r="D76">
        <v>2.83</v>
      </c>
      <c r="E76">
        <v>3.18</v>
      </c>
      <c r="G76">
        <v>-0.35000000000000009</v>
      </c>
      <c r="H76" s="1">
        <v>0.3493975903614458</v>
      </c>
      <c r="I76">
        <v>55</v>
      </c>
      <c r="K76" s="1">
        <v>0.3493975903614458</v>
      </c>
      <c r="L76">
        <v>55</v>
      </c>
      <c r="N76" s="1">
        <v>0.38554216867469882</v>
      </c>
      <c r="O76">
        <v>52</v>
      </c>
      <c r="Q76" s="1">
        <v>0.28915662650602408</v>
      </c>
      <c r="S76">
        <v>90.11</v>
      </c>
      <c r="T76">
        <v>45</v>
      </c>
      <c r="U76">
        <v>64</v>
      </c>
      <c r="V76">
        <v>109</v>
      </c>
    </row>
    <row r="77" spans="1:22" x14ac:dyDescent="0.3">
      <c r="A77" t="s">
        <v>429</v>
      </c>
      <c r="B77" t="s">
        <v>71</v>
      </c>
      <c r="C77">
        <v>29</v>
      </c>
      <c r="D77">
        <v>3.01</v>
      </c>
      <c r="E77">
        <v>3.99</v>
      </c>
      <c r="G77">
        <v>-0.98000000000000043</v>
      </c>
      <c r="H77" s="1">
        <v>2.4096385542168676E-2</v>
      </c>
      <c r="I77">
        <v>82</v>
      </c>
      <c r="K77" s="1">
        <v>0.53012048192771088</v>
      </c>
      <c r="L77">
        <v>40</v>
      </c>
      <c r="N77" s="1">
        <v>3.614457831325301E-2</v>
      </c>
      <c r="O77">
        <v>80</v>
      </c>
      <c r="Q77" s="1">
        <v>0.49397590361445781</v>
      </c>
      <c r="S77">
        <v>87.11</v>
      </c>
      <c r="T77">
        <v>82</v>
      </c>
      <c r="U77">
        <v>81</v>
      </c>
      <c r="V77">
        <v>163</v>
      </c>
    </row>
    <row r="78" spans="1:22" x14ac:dyDescent="0.3">
      <c r="A78" t="s">
        <v>430</v>
      </c>
      <c r="B78" t="s">
        <v>81</v>
      </c>
      <c r="C78">
        <v>50</v>
      </c>
      <c r="D78">
        <v>3.07</v>
      </c>
      <c r="E78">
        <v>2.75</v>
      </c>
      <c r="G78">
        <v>0.31999999999999984</v>
      </c>
      <c r="H78" s="1">
        <v>0.79518072289156627</v>
      </c>
      <c r="I78">
        <v>17</v>
      </c>
      <c r="K78" s="1">
        <v>0.66265060240963858</v>
      </c>
      <c r="L78">
        <v>29</v>
      </c>
      <c r="N78" s="1">
        <v>0.66265060240963858</v>
      </c>
      <c r="O78">
        <v>28</v>
      </c>
      <c r="Q78" s="1">
        <v>0.80722891566265065</v>
      </c>
      <c r="S78">
        <v>91.35</v>
      </c>
      <c r="T78">
        <v>21</v>
      </c>
      <c r="U78">
        <v>16</v>
      </c>
      <c r="V78">
        <v>37</v>
      </c>
    </row>
    <row r="79" spans="1:22" x14ac:dyDescent="0.3">
      <c r="A79" t="s">
        <v>431</v>
      </c>
      <c r="B79" t="s">
        <v>71</v>
      </c>
      <c r="C79">
        <v>32</v>
      </c>
      <c r="D79">
        <v>3</v>
      </c>
      <c r="E79">
        <v>3.16</v>
      </c>
      <c r="G79">
        <v>-0.16000000000000014</v>
      </c>
      <c r="H79" s="1">
        <v>0.43373493975903615</v>
      </c>
      <c r="I79">
        <v>48</v>
      </c>
      <c r="K79" s="1">
        <v>0.51807228915662651</v>
      </c>
      <c r="L79">
        <v>41</v>
      </c>
      <c r="N79" s="1">
        <v>0.40963855421686746</v>
      </c>
      <c r="O79">
        <v>50</v>
      </c>
      <c r="Q79" s="1">
        <v>0.53012048192771088</v>
      </c>
      <c r="S79">
        <v>90.15</v>
      </c>
      <c r="T79">
        <v>42</v>
      </c>
      <c r="U79">
        <v>54</v>
      </c>
      <c r="V79">
        <v>96</v>
      </c>
    </row>
    <row r="80" spans="1:22" x14ac:dyDescent="0.3">
      <c r="A80" t="s">
        <v>432</v>
      </c>
      <c r="B80" t="s">
        <v>67</v>
      </c>
      <c r="C80">
        <v>21</v>
      </c>
      <c r="D80">
        <v>3.18</v>
      </c>
      <c r="E80">
        <v>3.64</v>
      </c>
      <c r="G80">
        <v>-0.45999999999999996</v>
      </c>
      <c r="H80" s="1">
        <v>0.24096385542168675</v>
      </c>
      <c r="I80">
        <v>63</v>
      </c>
      <c r="K80" s="1">
        <v>0.7831325301204819</v>
      </c>
      <c r="L80">
        <v>19</v>
      </c>
      <c r="N80" s="1">
        <v>0.16867469879518071</v>
      </c>
      <c r="O80">
        <v>70</v>
      </c>
      <c r="Q80" s="1">
        <v>0.28915662650602408</v>
      </c>
      <c r="S80">
        <v>89.47</v>
      </c>
      <c r="T80">
        <v>57</v>
      </c>
      <c r="U80">
        <v>71</v>
      </c>
      <c r="V80">
        <v>128</v>
      </c>
    </row>
    <row r="81" spans="1:22" x14ac:dyDescent="0.3">
      <c r="A81" t="s">
        <v>433</v>
      </c>
      <c r="B81" t="s">
        <v>79</v>
      </c>
      <c r="C81">
        <v>47</v>
      </c>
      <c r="D81">
        <v>2.78</v>
      </c>
      <c r="E81">
        <v>2.9</v>
      </c>
      <c r="G81">
        <v>-0.12000000000000011</v>
      </c>
      <c r="H81" s="1">
        <v>0.54216867469879515</v>
      </c>
      <c r="I81">
        <v>38</v>
      </c>
      <c r="K81" s="1">
        <v>0.27710843373493976</v>
      </c>
      <c r="L81">
        <v>61</v>
      </c>
      <c r="N81" s="1">
        <v>0.57831325301204817</v>
      </c>
      <c r="O81">
        <v>36</v>
      </c>
      <c r="Q81" s="1">
        <v>0.77108433734939763</v>
      </c>
      <c r="S81">
        <v>90.95</v>
      </c>
      <c r="T81">
        <v>27</v>
      </c>
      <c r="U81">
        <v>48</v>
      </c>
      <c r="V81">
        <v>75</v>
      </c>
    </row>
    <row r="82" spans="1:22" x14ac:dyDescent="0.3">
      <c r="A82" t="s">
        <v>434</v>
      </c>
      <c r="B82" t="s">
        <v>63</v>
      </c>
      <c r="C82">
        <v>33</v>
      </c>
      <c r="D82">
        <v>3.17</v>
      </c>
      <c r="E82">
        <v>3.61</v>
      </c>
      <c r="G82">
        <v>-0.43999999999999995</v>
      </c>
      <c r="H82" s="1">
        <v>0.16867469879518071</v>
      </c>
      <c r="I82">
        <v>70</v>
      </c>
      <c r="K82" s="1">
        <v>0.75903614457831325</v>
      </c>
      <c r="L82">
        <v>20</v>
      </c>
      <c r="N82" s="1">
        <v>0.18072289156626506</v>
      </c>
      <c r="O82">
        <v>69</v>
      </c>
      <c r="Q82" s="1">
        <v>0.54216867469879515</v>
      </c>
      <c r="S82">
        <v>89.1</v>
      </c>
      <c r="T82">
        <v>68</v>
      </c>
      <c r="U82">
        <v>70</v>
      </c>
      <c r="V82">
        <v>138</v>
      </c>
    </row>
    <row r="83" spans="1:22" x14ac:dyDescent="0.3">
      <c r="A83" t="s">
        <v>435</v>
      </c>
      <c r="B83" t="s">
        <v>52</v>
      </c>
      <c r="C83">
        <v>56</v>
      </c>
      <c r="D83">
        <v>2.79</v>
      </c>
      <c r="E83">
        <v>3.11</v>
      </c>
      <c r="G83">
        <v>-0.31999999999999984</v>
      </c>
      <c r="H83" s="1">
        <v>0.31325301204819278</v>
      </c>
      <c r="I83">
        <v>58</v>
      </c>
      <c r="K83" s="1">
        <v>0.28915662650602408</v>
      </c>
      <c r="L83">
        <v>60</v>
      </c>
      <c r="N83" s="1">
        <v>0.42168674698795183</v>
      </c>
      <c r="O83">
        <v>49</v>
      </c>
      <c r="Q83" s="1">
        <v>0.87951807228915657</v>
      </c>
      <c r="S83">
        <v>89.58</v>
      </c>
      <c r="T83">
        <v>55</v>
      </c>
      <c r="U83">
        <v>62</v>
      </c>
      <c r="V83">
        <v>117</v>
      </c>
    </row>
    <row r="84" spans="1:22" x14ac:dyDescent="0.3">
      <c r="A84" t="s">
        <v>436</v>
      </c>
      <c r="B84" t="s">
        <v>83</v>
      </c>
      <c r="C84">
        <v>52</v>
      </c>
      <c r="D84">
        <v>2.64</v>
      </c>
      <c r="E84">
        <v>2.4500000000000002</v>
      </c>
      <c r="G84">
        <v>0.18999999999999995</v>
      </c>
      <c r="H84" s="1">
        <v>0.72289156626506024</v>
      </c>
      <c r="I84">
        <v>24</v>
      </c>
      <c r="K84" s="1">
        <v>0.12048192771084337</v>
      </c>
      <c r="L84">
        <v>74</v>
      </c>
      <c r="N84" s="1">
        <v>0.86746987951807231</v>
      </c>
      <c r="O84">
        <v>12</v>
      </c>
      <c r="Q84" s="1">
        <v>0.84337349397590367</v>
      </c>
      <c r="S84">
        <v>91.07</v>
      </c>
      <c r="T84">
        <v>25</v>
      </c>
      <c r="U84">
        <v>25</v>
      </c>
      <c r="V84">
        <v>50</v>
      </c>
    </row>
    <row r="85" spans="1:22" x14ac:dyDescent="0.3">
      <c r="N85" s="1"/>
    </row>
  </sheetData>
  <sheetProtection algorithmName="SHA-512" hashValue="L/kiCrcNyaywY3YF9H4Ay+GNeJQEO4BQb+2Adsdo+H/rtPxf2AKW628EWXHMDIqMxQSCzSvKVTjvHEW85jTmUQ==" saltValue="X0Yl85UjWC3f09OdYO5XhA==" spinCount="100000" sheet="1" objects="1" scenarios="1" selectLockedCells="1" selectUnlockedCells="1"/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Player Cards</vt:lpstr>
      <vt:lpstr>Goalie Card</vt:lpstr>
      <vt:lpstr>Ranks for Cards and Graph</vt:lpstr>
      <vt:lpstr>G Ranks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Cody</dc:creator>
  <cp:lastModifiedBy>cody hatcher</cp:lastModifiedBy>
  <dcterms:created xsi:type="dcterms:W3CDTF">2020-01-24T05:27:26Z</dcterms:created>
  <dcterms:modified xsi:type="dcterms:W3CDTF">2023-06-15T23:17:05Z</dcterms:modified>
</cp:coreProperties>
</file>